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0" yWindow="0" windowWidth="25230" windowHeight="13215"/>
  </bookViews>
  <sheets>
    <sheet name="解説" sheetId="1" r:id="rId1"/>
    <sheet name="グラフ" sheetId="5" r:id="rId2"/>
    <sheet name="csv" sheetId="2" r:id="rId3"/>
    <sheet name="calc" sheetId="4" r:id="rId4"/>
    <sheet name="table" sheetId="3" r:id="rId5"/>
  </sheets>
  <definedNames>
    <definedName name="URI">table!$AF$1</definedName>
    <definedName name="愛知県">table!$F$24:$AC$24</definedName>
    <definedName name="愛媛県">table!$F$39:$AC$39</definedName>
    <definedName name="茨城県">table!$F$9:$AC$9</definedName>
    <definedName name="岡山県">table!$F$34:$AC$34</definedName>
    <definedName name="沖縄県">table!$F$48:$AC$48</definedName>
    <definedName name="岩手県">table!$F$4:$AC$4</definedName>
    <definedName name="岐阜県">table!$F$22:$AC$22</definedName>
    <definedName name="宮崎県">table!$F$46:$AC$46</definedName>
    <definedName name="宮城県">table!$F$5:$AC$5</definedName>
    <definedName name="京都府">table!$F$27:$AC$27</definedName>
    <definedName name="熊本県">table!$F$44:$AC$44</definedName>
    <definedName name="群馬県">table!$F$11:$AC$11</definedName>
    <definedName name="広島県">table!$F$35:$AC$35</definedName>
    <definedName name="香川県">table!$F$38:$AC$38</definedName>
    <definedName name="高知県">table!$F$40:$AC$40</definedName>
    <definedName name="佐賀県">table!$F$42:$AC$42</definedName>
    <definedName name="埼玉県">table!$F$12:$AC$12</definedName>
    <definedName name="三重県">table!$F$25:$AC$25</definedName>
    <definedName name="山形県">table!$F$7:$AC$7</definedName>
    <definedName name="山口県">table!$F$36:$AC$36</definedName>
    <definedName name="山梨県">table!$F$20:$AC$20</definedName>
    <definedName name="滋賀県">table!$F$26:$AC$26</definedName>
    <definedName name="鹿児島県">table!$F$47:$AC$47</definedName>
    <definedName name="秋田県">table!$F$6:$AC$6</definedName>
    <definedName name="新潟県">table!$F$16:$AC$16</definedName>
    <definedName name="神奈川県">table!$F$15:$AC$15</definedName>
    <definedName name="青森県">table!$F$3:$AC$3</definedName>
    <definedName name="静岡県">table!$F$23:$AC$23</definedName>
    <definedName name="石川県">table!$F$18:$AC$18</definedName>
    <definedName name="千葉県">table!$F$13:$AC$13</definedName>
    <definedName name="大阪府">table!$F$28:$AC$28</definedName>
    <definedName name="大分県">table!$F$45:$AC$45</definedName>
    <definedName name="地域平均">table!$F$1:$AC$1</definedName>
    <definedName name="長崎県">table!$F$43:$AC$43</definedName>
    <definedName name="長野県">table!$F$21:$AC$21</definedName>
    <definedName name="鳥取県">table!$F$32:$AC$32</definedName>
    <definedName name="都道府県">table!$E$1:$E$48</definedName>
    <definedName name="島根県">table!$F$33:$AC$33</definedName>
    <definedName name="東京都">table!$F$14:$AC$14</definedName>
    <definedName name="徳島県">table!$F$37:$AC$37</definedName>
    <definedName name="栃木県">table!$F$10:$AC$10</definedName>
    <definedName name="奈良県">table!$F$30:$AC$30</definedName>
    <definedName name="富山県">table!$F$17:$AC$17</definedName>
    <definedName name="福井県">table!$F$19:$AC$19</definedName>
    <definedName name="福岡県">table!$F$41:$AC$41</definedName>
    <definedName name="福島県">table!$F$8:$AC$8</definedName>
    <definedName name="兵庫県">table!$F$29:$AC$29</definedName>
    <definedName name="北海道">table!$F$2:$AC$2</definedName>
    <definedName name="和歌山県">table!$F$31:$AC$31</definedName>
  </definedNames>
  <calcPr calcId="152511"/>
</workbook>
</file>

<file path=xl/calcChain.xml><?xml version="1.0" encoding="utf-8"?>
<calcChain xmlns="http://schemas.openxmlformats.org/spreadsheetml/2006/main">
  <c r="AF1" i="3" l="1"/>
  <c r="TD35" i="4" l="1"/>
  <c r="TD36" i="4"/>
  <c r="TD37" i="4"/>
  <c r="TD38" i="4"/>
  <c r="TD39" i="4"/>
  <c r="TD40" i="4"/>
  <c r="HM35" i="4"/>
  <c r="HM36" i="4"/>
  <c r="HM37" i="4"/>
  <c r="HM38" i="4"/>
  <c r="HM39" i="4"/>
  <c r="HM40" i="4"/>
  <c r="S35" i="4"/>
  <c r="T35" i="4"/>
  <c r="U35" i="4"/>
  <c r="V35" i="4"/>
  <c r="W35" i="4"/>
  <c r="X35" i="4"/>
  <c r="Y35" i="4"/>
  <c r="Z35" i="4"/>
  <c r="AA35" i="4"/>
  <c r="AB35" i="4"/>
  <c r="AC35" i="4"/>
  <c r="AD35" i="4"/>
  <c r="AE35" i="4"/>
  <c r="AF35" i="4"/>
  <c r="AG35" i="4"/>
  <c r="AH35" i="4"/>
  <c r="AI35" i="4"/>
  <c r="AJ35" i="4"/>
  <c r="AK35" i="4"/>
  <c r="AL35" i="4"/>
  <c r="AM35" i="4"/>
  <c r="AN35" i="4"/>
  <c r="AO35" i="4"/>
  <c r="AP35" i="4"/>
  <c r="AQ35" i="4"/>
  <c r="AR35" i="4"/>
  <c r="AS35" i="4"/>
  <c r="AT35" i="4"/>
  <c r="AU35" i="4"/>
  <c r="AV35" i="4"/>
  <c r="AW35" i="4"/>
  <c r="AX35" i="4"/>
  <c r="AY35" i="4"/>
  <c r="AZ35" i="4"/>
  <c r="BA35" i="4"/>
  <c r="BB35" i="4"/>
  <c r="BC35" i="4"/>
  <c r="BD35" i="4"/>
  <c r="BE35" i="4"/>
  <c r="BF35" i="4"/>
  <c r="BG35" i="4"/>
  <c r="BH35" i="4"/>
  <c r="BI35" i="4"/>
  <c r="BJ35" i="4"/>
  <c r="BK35" i="4"/>
  <c r="BL35" i="4"/>
  <c r="BM35" i="4"/>
  <c r="BN35" i="4"/>
  <c r="BO35" i="4"/>
  <c r="BP35" i="4"/>
  <c r="BQ35" i="4"/>
  <c r="BR35" i="4"/>
  <c r="BS35" i="4"/>
  <c r="BT35" i="4"/>
  <c r="BU35" i="4"/>
  <c r="BV35" i="4"/>
  <c r="BW35" i="4"/>
  <c r="BX35" i="4"/>
  <c r="BY35" i="4"/>
  <c r="BZ35" i="4"/>
  <c r="CA35" i="4"/>
  <c r="CB35" i="4"/>
  <c r="CC35" i="4"/>
  <c r="CD35" i="4"/>
  <c r="CE35" i="4"/>
  <c r="CF35" i="4"/>
  <c r="CG35" i="4"/>
  <c r="CH35" i="4"/>
  <c r="CI35" i="4"/>
  <c r="CJ35" i="4"/>
  <c r="CK35" i="4"/>
  <c r="CL35" i="4"/>
  <c r="CM35" i="4"/>
  <c r="CN35" i="4"/>
  <c r="CO35" i="4"/>
  <c r="CP35" i="4"/>
  <c r="CQ35" i="4"/>
  <c r="CR35" i="4"/>
  <c r="CS35" i="4"/>
  <c r="CT35" i="4"/>
  <c r="CU35" i="4"/>
  <c r="CV35" i="4"/>
  <c r="CW35" i="4"/>
  <c r="CX35" i="4"/>
  <c r="CY35" i="4"/>
  <c r="CZ35" i="4"/>
  <c r="DA35" i="4"/>
  <c r="DB35" i="4"/>
  <c r="DC35" i="4"/>
  <c r="DD35" i="4"/>
  <c r="DE35" i="4"/>
  <c r="DF35" i="4"/>
  <c r="DG35" i="4"/>
  <c r="DH35" i="4"/>
  <c r="DI35" i="4"/>
  <c r="DJ35" i="4"/>
  <c r="DK35" i="4"/>
  <c r="DL35" i="4"/>
  <c r="DM35" i="4"/>
  <c r="DN35" i="4"/>
  <c r="DO35" i="4"/>
  <c r="DP35" i="4"/>
  <c r="DQ35" i="4"/>
  <c r="DR35" i="4"/>
  <c r="DS35" i="4"/>
  <c r="DT35" i="4"/>
  <c r="DU35" i="4"/>
  <c r="DV35" i="4"/>
  <c r="DW35" i="4"/>
  <c r="DX35" i="4"/>
  <c r="DY35" i="4"/>
  <c r="DZ35" i="4"/>
  <c r="EA35" i="4"/>
  <c r="EB35" i="4"/>
  <c r="EC35" i="4"/>
  <c r="ED35" i="4"/>
  <c r="EE35" i="4"/>
  <c r="EF35" i="4"/>
  <c r="EG35" i="4"/>
  <c r="EH35" i="4"/>
  <c r="EI35" i="4"/>
  <c r="EJ35" i="4"/>
  <c r="EK35" i="4"/>
  <c r="EL35" i="4"/>
  <c r="EM35" i="4"/>
  <c r="EN35" i="4"/>
  <c r="EO35" i="4"/>
  <c r="EP35" i="4"/>
  <c r="EQ35" i="4"/>
  <c r="ER35" i="4"/>
  <c r="ES35" i="4"/>
  <c r="ET35" i="4"/>
  <c r="EU35" i="4"/>
  <c r="EV35" i="4"/>
  <c r="EW35" i="4"/>
  <c r="EX35" i="4"/>
  <c r="EY35" i="4"/>
  <c r="EZ35" i="4"/>
  <c r="FA35" i="4"/>
  <c r="FB35" i="4"/>
  <c r="FC35" i="4"/>
  <c r="FD35" i="4"/>
  <c r="FE35" i="4"/>
  <c r="FF35" i="4"/>
  <c r="FG35" i="4"/>
  <c r="FH35" i="4"/>
  <c r="FI35" i="4"/>
  <c r="FJ35" i="4"/>
  <c r="FK35" i="4"/>
  <c r="FL35" i="4"/>
  <c r="FM35" i="4"/>
  <c r="FN35" i="4"/>
  <c r="FO35" i="4"/>
  <c r="FP35" i="4"/>
  <c r="FQ35" i="4"/>
  <c r="FR35" i="4"/>
  <c r="FS35" i="4"/>
  <c r="FT35" i="4"/>
  <c r="FU35" i="4"/>
  <c r="FV35" i="4"/>
  <c r="FW35" i="4"/>
  <c r="FX35" i="4"/>
  <c r="FY35" i="4"/>
  <c r="FZ35" i="4"/>
  <c r="GA35" i="4"/>
  <c r="GB35" i="4"/>
  <c r="GC35" i="4"/>
  <c r="GD35" i="4"/>
  <c r="GE35" i="4"/>
  <c r="GF35" i="4"/>
  <c r="GG35" i="4"/>
  <c r="GH35" i="4"/>
  <c r="GI35" i="4"/>
  <c r="GJ35" i="4"/>
  <c r="GK35" i="4"/>
  <c r="GL35" i="4"/>
  <c r="GM35" i="4"/>
  <c r="GN35" i="4"/>
  <c r="GO35" i="4"/>
  <c r="GP35" i="4"/>
  <c r="GQ35" i="4"/>
  <c r="GR35" i="4"/>
  <c r="GS35" i="4"/>
  <c r="GT35" i="4"/>
  <c r="GU35" i="4"/>
  <c r="GV35" i="4"/>
  <c r="GW35" i="4"/>
  <c r="GX35" i="4"/>
  <c r="GY35" i="4"/>
  <c r="GZ35" i="4"/>
  <c r="HA35" i="4"/>
  <c r="HB35" i="4"/>
  <c r="HC35" i="4"/>
  <c r="HD35" i="4"/>
  <c r="HE35" i="4"/>
  <c r="HF35" i="4"/>
  <c r="HG35" i="4"/>
  <c r="HH35" i="4"/>
  <c r="HI35" i="4"/>
  <c r="HJ35" i="4"/>
  <c r="HK35" i="4"/>
  <c r="S36" i="4"/>
  <c r="T36" i="4"/>
  <c r="U36" i="4"/>
  <c r="V36" i="4"/>
  <c r="W36" i="4"/>
  <c r="X36" i="4"/>
  <c r="Y36" i="4"/>
  <c r="Z36" i="4"/>
  <c r="AA36" i="4"/>
  <c r="AB36" i="4"/>
  <c r="AC36" i="4"/>
  <c r="AD36" i="4"/>
  <c r="AE36" i="4"/>
  <c r="AF36" i="4"/>
  <c r="AG36" i="4"/>
  <c r="AH36" i="4"/>
  <c r="AI36" i="4"/>
  <c r="AJ36" i="4"/>
  <c r="AK36" i="4"/>
  <c r="AL36" i="4"/>
  <c r="AM36" i="4"/>
  <c r="AN36" i="4"/>
  <c r="AO36" i="4"/>
  <c r="AP36" i="4"/>
  <c r="AQ36" i="4"/>
  <c r="AR36" i="4"/>
  <c r="AS36" i="4"/>
  <c r="AT36" i="4"/>
  <c r="AU36" i="4"/>
  <c r="AV36" i="4"/>
  <c r="AW36" i="4"/>
  <c r="AX36" i="4"/>
  <c r="AY36" i="4"/>
  <c r="AZ36" i="4"/>
  <c r="BA36" i="4"/>
  <c r="BB36" i="4"/>
  <c r="BC36" i="4"/>
  <c r="BD36" i="4"/>
  <c r="BE36" i="4"/>
  <c r="BF36" i="4"/>
  <c r="BG36" i="4"/>
  <c r="BH36" i="4"/>
  <c r="BI36" i="4"/>
  <c r="BJ36" i="4"/>
  <c r="BK36" i="4"/>
  <c r="BL36" i="4"/>
  <c r="BM36" i="4"/>
  <c r="BN36" i="4"/>
  <c r="BO36" i="4"/>
  <c r="BP36" i="4"/>
  <c r="BQ36" i="4"/>
  <c r="BR36" i="4"/>
  <c r="BS36" i="4"/>
  <c r="BT36" i="4"/>
  <c r="BU36" i="4"/>
  <c r="BV36" i="4"/>
  <c r="BW36" i="4"/>
  <c r="BX36" i="4"/>
  <c r="BY36" i="4"/>
  <c r="BZ36" i="4"/>
  <c r="CA36" i="4"/>
  <c r="CB36" i="4"/>
  <c r="CC36" i="4"/>
  <c r="CD36" i="4"/>
  <c r="CE36" i="4"/>
  <c r="CF36" i="4"/>
  <c r="CG36" i="4"/>
  <c r="CH36" i="4"/>
  <c r="CI36" i="4"/>
  <c r="CJ36" i="4"/>
  <c r="CK36" i="4"/>
  <c r="CL36" i="4"/>
  <c r="CM36" i="4"/>
  <c r="CN36" i="4"/>
  <c r="CO36" i="4"/>
  <c r="CP36" i="4"/>
  <c r="CQ36" i="4"/>
  <c r="CR36" i="4"/>
  <c r="CS36" i="4"/>
  <c r="CT36" i="4"/>
  <c r="CU36" i="4"/>
  <c r="CV36" i="4"/>
  <c r="CW36" i="4"/>
  <c r="CX36" i="4"/>
  <c r="CY36" i="4"/>
  <c r="CZ36" i="4"/>
  <c r="DA36" i="4"/>
  <c r="DB36" i="4"/>
  <c r="DC36" i="4"/>
  <c r="DD36" i="4"/>
  <c r="DE36" i="4"/>
  <c r="DF36" i="4"/>
  <c r="DG36" i="4"/>
  <c r="DH36" i="4"/>
  <c r="DI36" i="4"/>
  <c r="DJ36" i="4"/>
  <c r="DK36" i="4"/>
  <c r="DL36" i="4"/>
  <c r="DM36" i="4"/>
  <c r="DN36" i="4"/>
  <c r="DO36" i="4"/>
  <c r="DP36" i="4"/>
  <c r="DQ36" i="4"/>
  <c r="DR36" i="4"/>
  <c r="DS36" i="4"/>
  <c r="DT36" i="4"/>
  <c r="DU36" i="4"/>
  <c r="DV36" i="4"/>
  <c r="DW36" i="4"/>
  <c r="DX36" i="4"/>
  <c r="DY36" i="4"/>
  <c r="DZ36" i="4"/>
  <c r="EA36" i="4"/>
  <c r="EB36" i="4"/>
  <c r="EC36" i="4"/>
  <c r="ED36" i="4"/>
  <c r="EE36" i="4"/>
  <c r="EF36" i="4"/>
  <c r="EG36" i="4"/>
  <c r="EH36" i="4"/>
  <c r="EI36" i="4"/>
  <c r="EJ36" i="4"/>
  <c r="EK36" i="4"/>
  <c r="EL36" i="4"/>
  <c r="EM36" i="4"/>
  <c r="EN36" i="4"/>
  <c r="EO36" i="4"/>
  <c r="EP36" i="4"/>
  <c r="EQ36" i="4"/>
  <c r="ER36" i="4"/>
  <c r="ES36" i="4"/>
  <c r="ET36" i="4"/>
  <c r="EU36" i="4"/>
  <c r="EV36" i="4"/>
  <c r="EW36" i="4"/>
  <c r="EX36" i="4"/>
  <c r="EY36" i="4"/>
  <c r="EZ36" i="4"/>
  <c r="FA36" i="4"/>
  <c r="FB36" i="4"/>
  <c r="FC36" i="4"/>
  <c r="FD36" i="4"/>
  <c r="FE36" i="4"/>
  <c r="FF36" i="4"/>
  <c r="FG36" i="4"/>
  <c r="FH36" i="4"/>
  <c r="FI36" i="4"/>
  <c r="FJ36" i="4"/>
  <c r="FK36" i="4"/>
  <c r="FL36" i="4"/>
  <c r="FM36" i="4"/>
  <c r="FN36" i="4"/>
  <c r="FO36" i="4"/>
  <c r="FP36" i="4"/>
  <c r="FQ36" i="4"/>
  <c r="FR36" i="4"/>
  <c r="FS36" i="4"/>
  <c r="FT36" i="4"/>
  <c r="FU36" i="4"/>
  <c r="FV36" i="4"/>
  <c r="FW36" i="4"/>
  <c r="FX36" i="4"/>
  <c r="FY36" i="4"/>
  <c r="FZ36" i="4"/>
  <c r="GA36" i="4"/>
  <c r="GB36" i="4"/>
  <c r="GC36" i="4"/>
  <c r="GD36" i="4"/>
  <c r="GE36" i="4"/>
  <c r="GF36" i="4"/>
  <c r="GG36" i="4"/>
  <c r="GH36" i="4"/>
  <c r="GI36" i="4"/>
  <c r="GJ36" i="4"/>
  <c r="GK36" i="4"/>
  <c r="GL36" i="4"/>
  <c r="GM36" i="4"/>
  <c r="GN36" i="4"/>
  <c r="GO36" i="4"/>
  <c r="GP36" i="4"/>
  <c r="GQ36" i="4"/>
  <c r="GR36" i="4"/>
  <c r="GS36" i="4"/>
  <c r="GT36" i="4"/>
  <c r="GU36" i="4"/>
  <c r="GV36" i="4"/>
  <c r="GW36" i="4"/>
  <c r="GX36" i="4"/>
  <c r="GY36" i="4"/>
  <c r="GZ36" i="4"/>
  <c r="HA36" i="4"/>
  <c r="HB36" i="4"/>
  <c r="HC36" i="4"/>
  <c r="HD36" i="4"/>
  <c r="HE36" i="4"/>
  <c r="HF36" i="4"/>
  <c r="HG36" i="4"/>
  <c r="HH36" i="4"/>
  <c r="HI36" i="4"/>
  <c r="HJ36" i="4"/>
  <c r="HK36" i="4"/>
  <c r="S37" i="4"/>
  <c r="T37" i="4"/>
  <c r="U37" i="4"/>
  <c r="V37" i="4"/>
  <c r="W37" i="4"/>
  <c r="X37" i="4"/>
  <c r="Y37" i="4"/>
  <c r="Z37" i="4"/>
  <c r="AA37" i="4"/>
  <c r="AB37" i="4"/>
  <c r="AC37" i="4"/>
  <c r="AD37" i="4"/>
  <c r="AE37" i="4"/>
  <c r="AF37" i="4"/>
  <c r="AG37" i="4"/>
  <c r="AH37" i="4"/>
  <c r="AI37" i="4"/>
  <c r="AJ37" i="4"/>
  <c r="AK37" i="4"/>
  <c r="AL37" i="4"/>
  <c r="AM37" i="4"/>
  <c r="AN37" i="4"/>
  <c r="AO37" i="4"/>
  <c r="AP37" i="4"/>
  <c r="AQ37" i="4"/>
  <c r="AR37" i="4"/>
  <c r="AS37" i="4"/>
  <c r="AT37" i="4"/>
  <c r="AU37" i="4"/>
  <c r="AV37" i="4"/>
  <c r="AW37" i="4"/>
  <c r="AX37" i="4"/>
  <c r="AY37" i="4"/>
  <c r="AZ37" i="4"/>
  <c r="BA37" i="4"/>
  <c r="BB37" i="4"/>
  <c r="BC37" i="4"/>
  <c r="BD37" i="4"/>
  <c r="BE37" i="4"/>
  <c r="BF37" i="4"/>
  <c r="BG37" i="4"/>
  <c r="BH37" i="4"/>
  <c r="BI37" i="4"/>
  <c r="BJ37" i="4"/>
  <c r="BK37" i="4"/>
  <c r="BL37" i="4"/>
  <c r="BM37" i="4"/>
  <c r="BN37" i="4"/>
  <c r="BO37" i="4"/>
  <c r="BP37" i="4"/>
  <c r="BQ37" i="4"/>
  <c r="BR37" i="4"/>
  <c r="BS37" i="4"/>
  <c r="BT37" i="4"/>
  <c r="BU37" i="4"/>
  <c r="BV37" i="4"/>
  <c r="BW37" i="4"/>
  <c r="BX37" i="4"/>
  <c r="BY37" i="4"/>
  <c r="BZ37" i="4"/>
  <c r="CA37" i="4"/>
  <c r="CB37" i="4"/>
  <c r="CC37" i="4"/>
  <c r="CD37" i="4"/>
  <c r="CE37" i="4"/>
  <c r="CF37" i="4"/>
  <c r="CG37" i="4"/>
  <c r="CH37" i="4"/>
  <c r="CI37" i="4"/>
  <c r="CJ37" i="4"/>
  <c r="CK37" i="4"/>
  <c r="CL37" i="4"/>
  <c r="CM37" i="4"/>
  <c r="CN37" i="4"/>
  <c r="CO37" i="4"/>
  <c r="CP37" i="4"/>
  <c r="CQ37" i="4"/>
  <c r="CR37" i="4"/>
  <c r="CS37" i="4"/>
  <c r="CT37" i="4"/>
  <c r="CU37" i="4"/>
  <c r="CV37" i="4"/>
  <c r="CW37" i="4"/>
  <c r="CX37" i="4"/>
  <c r="CY37" i="4"/>
  <c r="CZ37" i="4"/>
  <c r="DA37" i="4"/>
  <c r="DB37" i="4"/>
  <c r="DC37" i="4"/>
  <c r="DD37" i="4"/>
  <c r="DE37" i="4"/>
  <c r="DF37" i="4"/>
  <c r="DG37" i="4"/>
  <c r="DH37" i="4"/>
  <c r="DI37" i="4"/>
  <c r="DJ37" i="4"/>
  <c r="DK37" i="4"/>
  <c r="DL37" i="4"/>
  <c r="DM37" i="4"/>
  <c r="DN37" i="4"/>
  <c r="DO37" i="4"/>
  <c r="DP37" i="4"/>
  <c r="DQ37" i="4"/>
  <c r="DR37" i="4"/>
  <c r="DS37" i="4"/>
  <c r="DT37" i="4"/>
  <c r="DU37" i="4"/>
  <c r="DV37" i="4"/>
  <c r="DW37" i="4"/>
  <c r="DX37" i="4"/>
  <c r="DY37" i="4"/>
  <c r="DZ37" i="4"/>
  <c r="EA37" i="4"/>
  <c r="EB37" i="4"/>
  <c r="EC37" i="4"/>
  <c r="ED37" i="4"/>
  <c r="EE37" i="4"/>
  <c r="EF37" i="4"/>
  <c r="EG37" i="4"/>
  <c r="EH37" i="4"/>
  <c r="EI37" i="4"/>
  <c r="EJ37" i="4"/>
  <c r="EK37" i="4"/>
  <c r="EL37" i="4"/>
  <c r="EM37" i="4"/>
  <c r="EN37" i="4"/>
  <c r="EO37" i="4"/>
  <c r="EP37" i="4"/>
  <c r="EQ37" i="4"/>
  <c r="ER37" i="4"/>
  <c r="ES37" i="4"/>
  <c r="ET37" i="4"/>
  <c r="EU37" i="4"/>
  <c r="EV37" i="4"/>
  <c r="EW37" i="4"/>
  <c r="EX37" i="4"/>
  <c r="EY37" i="4"/>
  <c r="EZ37" i="4"/>
  <c r="FA37" i="4"/>
  <c r="FB37" i="4"/>
  <c r="FC37" i="4"/>
  <c r="FD37" i="4"/>
  <c r="FE37" i="4"/>
  <c r="FF37" i="4"/>
  <c r="FG37" i="4"/>
  <c r="FH37" i="4"/>
  <c r="FI37" i="4"/>
  <c r="FJ37" i="4"/>
  <c r="FK37" i="4"/>
  <c r="FL37" i="4"/>
  <c r="FM37" i="4"/>
  <c r="FN37" i="4"/>
  <c r="FO37" i="4"/>
  <c r="FP37" i="4"/>
  <c r="FQ37" i="4"/>
  <c r="FR37" i="4"/>
  <c r="FS37" i="4"/>
  <c r="FT37" i="4"/>
  <c r="FU37" i="4"/>
  <c r="FV37" i="4"/>
  <c r="FW37" i="4"/>
  <c r="FX37" i="4"/>
  <c r="FY37" i="4"/>
  <c r="FZ37" i="4"/>
  <c r="GA37" i="4"/>
  <c r="GB37" i="4"/>
  <c r="GC37" i="4"/>
  <c r="GD37" i="4"/>
  <c r="GE37" i="4"/>
  <c r="GF37" i="4"/>
  <c r="GG37" i="4"/>
  <c r="GH37" i="4"/>
  <c r="GI37" i="4"/>
  <c r="GJ37" i="4"/>
  <c r="GK37" i="4"/>
  <c r="GL37" i="4"/>
  <c r="GM37" i="4"/>
  <c r="GN37" i="4"/>
  <c r="GO37" i="4"/>
  <c r="GP37" i="4"/>
  <c r="GQ37" i="4"/>
  <c r="GR37" i="4"/>
  <c r="GS37" i="4"/>
  <c r="GT37" i="4"/>
  <c r="GU37" i="4"/>
  <c r="GV37" i="4"/>
  <c r="GW37" i="4"/>
  <c r="GX37" i="4"/>
  <c r="GY37" i="4"/>
  <c r="GZ37" i="4"/>
  <c r="HA37" i="4"/>
  <c r="HB37" i="4"/>
  <c r="HC37" i="4"/>
  <c r="HD37" i="4"/>
  <c r="HE37" i="4"/>
  <c r="HF37" i="4"/>
  <c r="HG37" i="4"/>
  <c r="HH37" i="4"/>
  <c r="HI37" i="4"/>
  <c r="HJ37" i="4"/>
  <c r="HK37" i="4"/>
  <c r="S38" i="4"/>
  <c r="T38" i="4"/>
  <c r="U38" i="4"/>
  <c r="V38" i="4"/>
  <c r="W38" i="4"/>
  <c r="X38" i="4"/>
  <c r="Y38" i="4"/>
  <c r="Z38" i="4"/>
  <c r="AA38" i="4"/>
  <c r="AB38" i="4"/>
  <c r="AC38" i="4"/>
  <c r="AD38" i="4"/>
  <c r="AE38" i="4"/>
  <c r="AF38" i="4"/>
  <c r="AG38" i="4"/>
  <c r="AH38" i="4"/>
  <c r="AI38" i="4"/>
  <c r="AJ38" i="4"/>
  <c r="AK38" i="4"/>
  <c r="AL38" i="4"/>
  <c r="AM38" i="4"/>
  <c r="AN38" i="4"/>
  <c r="AO38" i="4"/>
  <c r="AP38" i="4"/>
  <c r="AQ38" i="4"/>
  <c r="AR38" i="4"/>
  <c r="AS38" i="4"/>
  <c r="AT38" i="4"/>
  <c r="AU38" i="4"/>
  <c r="AV38" i="4"/>
  <c r="AW38" i="4"/>
  <c r="AX38" i="4"/>
  <c r="AY38" i="4"/>
  <c r="AZ38" i="4"/>
  <c r="BA38" i="4"/>
  <c r="BB38" i="4"/>
  <c r="BC38" i="4"/>
  <c r="BD38" i="4"/>
  <c r="BE38" i="4"/>
  <c r="BF38" i="4"/>
  <c r="BG38" i="4"/>
  <c r="BH38" i="4"/>
  <c r="BI38" i="4"/>
  <c r="BJ38" i="4"/>
  <c r="BK38" i="4"/>
  <c r="BL38" i="4"/>
  <c r="BM38" i="4"/>
  <c r="BN38" i="4"/>
  <c r="BO38" i="4"/>
  <c r="BP38" i="4"/>
  <c r="BQ38" i="4"/>
  <c r="BR38" i="4"/>
  <c r="BS38" i="4"/>
  <c r="BT38" i="4"/>
  <c r="BU38" i="4"/>
  <c r="BV38" i="4"/>
  <c r="BW38" i="4"/>
  <c r="BX38" i="4"/>
  <c r="BY38" i="4"/>
  <c r="BZ38" i="4"/>
  <c r="CA38" i="4"/>
  <c r="CB38" i="4"/>
  <c r="CC38" i="4"/>
  <c r="CD38" i="4"/>
  <c r="CE38" i="4"/>
  <c r="CF38" i="4"/>
  <c r="CG38" i="4"/>
  <c r="CH38" i="4"/>
  <c r="CI38" i="4"/>
  <c r="CJ38" i="4"/>
  <c r="CK38" i="4"/>
  <c r="CL38" i="4"/>
  <c r="CM38" i="4"/>
  <c r="CN38" i="4"/>
  <c r="CO38" i="4"/>
  <c r="CP38" i="4"/>
  <c r="CQ38" i="4"/>
  <c r="CR38" i="4"/>
  <c r="CS38" i="4"/>
  <c r="CT38" i="4"/>
  <c r="CU38" i="4"/>
  <c r="CV38" i="4"/>
  <c r="CW38" i="4"/>
  <c r="CX38" i="4"/>
  <c r="CY38" i="4"/>
  <c r="CZ38" i="4"/>
  <c r="DA38" i="4"/>
  <c r="DB38" i="4"/>
  <c r="DC38" i="4"/>
  <c r="DD38" i="4"/>
  <c r="DE38" i="4"/>
  <c r="DF38" i="4"/>
  <c r="DG38" i="4"/>
  <c r="DH38" i="4"/>
  <c r="DI38" i="4"/>
  <c r="DJ38" i="4"/>
  <c r="DK38" i="4"/>
  <c r="DL38" i="4"/>
  <c r="DM38" i="4"/>
  <c r="DN38" i="4"/>
  <c r="DO38" i="4"/>
  <c r="DP38" i="4"/>
  <c r="DQ38" i="4"/>
  <c r="DR38" i="4"/>
  <c r="DS38" i="4"/>
  <c r="DT38" i="4"/>
  <c r="DU38" i="4"/>
  <c r="DV38" i="4"/>
  <c r="DW38" i="4"/>
  <c r="DX38" i="4"/>
  <c r="DY38" i="4"/>
  <c r="DZ38" i="4"/>
  <c r="EA38" i="4"/>
  <c r="EB38" i="4"/>
  <c r="EC38" i="4"/>
  <c r="ED38" i="4"/>
  <c r="EE38" i="4"/>
  <c r="EF38" i="4"/>
  <c r="EG38" i="4"/>
  <c r="EH38" i="4"/>
  <c r="EI38" i="4"/>
  <c r="EJ38" i="4"/>
  <c r="EK38" i="4"/>
  <c r="EL38" i="4"/>
  <c r="EM38" i="4"/>
  <c r="EN38" i="4"/>
  <c r="EO38" i="4"/>
  <c r="EP38" i="4"/>
  <c r="EQ38" i="4"/>
  <c r="ER38" i="4"/>
  <c r="ES38" i="4"/>
  <c r="ET38" i="4"/>
  <c r="EU38" i="4"/>
  <c r="EV38" i="4"/>
  <c r="EW38" i="4"/>
  <c r="EX38" i="4"/>
  <c r="EY38" i="4"/>
  <c r="EZ38" i="4"/>
  <c r="FA38" i="4"/>
  <c r="FB38" i="4"/>
  <c r="FC38" i="4"/>
  <c r="FD38" i="4"/>
  <c r="FE38" i="4"/>
  <c r="FF38" i="4"/>
  <c r="FG38" i="4"/>
  <c r="FH38" i="4"/>
  <c r="FI38" i="4"/>
  <c r="FJ38" i="4"/>
  <c r="FK38" i="4"/>
  <c r="FL38" i="4"/>
  <c r="FM38" i="4"/>
  <c r="FN38" i="4"/>
  <c r="FO38" i="4"/>
  <c r="FP38" i="4"/>
  <c r="FQ38" i="4"/>
  <c r="FR38" i="4"/>
  <c r="FS38" i="4"/>
  <c r="FT38" i="4"/>
  <c r="FU38" i="4"/>
  <c r="FV38" i="4"/>
  <c r="FW38" i="4"/>
  <c r="FX38" i="4"/>
  <c r="FY38" i="4"/>
  <c r="FZ38" i="4"/>
  <c r="GA38" i="4"/>
  <c r="GB38" i="4"/>
  <c r="GC38" i="4"/>
  <c r="GD38" i="4"/>
  <c r="GE38" i="4"/>
  <c r="GF38" i="4"/>
  <c r="GG38" i="4"/>
  <c r="GH38" i="4"/>
  <c r="GI38" i="4"/>
  <c r="GJ38" i="4"/>
  <c r="GK38" i="4"/>
  <c r="GL38" i="4"/>
  <c r="GM38" i="4"/>
  <c r="GN38" i="4"/>
  <c r="GO38" i="4"/>
  <c r="GP38" i="4"/>
  <c r="GQ38" i="4"/>
  <c r="GR38" i="4"/>
  <c r="GS38" i="4"/>
  <c r="GT38" i="4"/>
  <c r="GU38" i="4"/>
  <c r="GV38" i="4"/>
  <c r="GW38" i="4"/>
  <c r="GX38" i="4"/>
  <c r="GY38" i="4"/>
  <c r="GZ38" i="4"/>
  <c r="HA38" i="4"/>
  <c r="HB38" i="4"/>
  <c r="HC38" i="4"/>
  <c r="HD38" i="4"/>
  <c r="HE38" i="4"/>
  <c r="HF38" i="4"/>
  <c r="HG38" i="4"/>
  <c r="HH38" i="4"/>
  <c r="HI38" i="4"/>
  <c r="HJ38" i="4"/>
  <c r="HK38" i="4"/>
  <c r="S39" i="4"/>
  <c r="T39" i="4"/>
  <c r="U39" i="4"/>
  <c r="V39" i="4"/>
  <c r="W39" i="4"/>
  <c r="X39" i="4"/>
  <c r="Y39" i="4"/>
  <c r="Z39" i="4"/>
  <c r="AA39" i="4"/>
  <c r="AB39" i="4"/>
  <c r="AC39" i="4"/>
  <c r="AD39" i="4"/>
  <c r="AE39" i="4"/>
  <c r="AF39" i="4"/>
  <c r="AG39" i="4"/>
  <c r="AH39" i="4"/>
  <c r="AI39" i="4"/>
  <c r="AJ39" i="4"/>
  <c r="AK39" i="4"/>
  <c r="AL39" i="4"/>
  <c r="AM39" i="4"/>
  <c r="AN39" i="4"/>
  <c r="AO39" i="4"/>
  <c r="AP39" i="4"/>
  <c r="AQ39" i="4"/>
  <c r="AR39" i="4"/>
  <c r="AS39" i="4"/>
  <c r="AT39" i="4"/>
  <c r="AU39" i="4"/>
  <c r="AV39" i="4"/>
  <c r="AW39" i="4"/>
  <c r="AX39" i="4"/>
  <c r="AY39" i="4"/>
  <c r="AZ39" i="4"/>
  <c r="BA39" i="4"/>
  <c r="BB39" i="4"/>
  <c r="BC39" i="4"/>
  <c r="BD39" i="4"/>
  <c r="BE39" i="4"/>
  <c r="BF39" i="4"/>
  <c r="BG39" i="4"/>
  <c r="BH39" i="4"/>
  <c r="BI39" i="4"/>
  <c r="BJ39" i="4"/>
  <c r="BK39" i="4"/>
  <c r="BL39" i="4"/>
  <c r="BM39" i="4"/>
  <c r="BN39" i="4"/>
  <c r="BO39" i="4"/>
  <c r="BP39" i="4"/>
  <c r="BQ39" i="4"/>
  <c r="BR39" i="4"/>
  <c r="BS39" i="4"/>
  <c r="BT39" i="4"/>
  <c r="BU39" i="4"/>
  <c r="BV39" i="4"/>
  <c r="BW39" i="4"/>
  <c r="BX39" i="4"/>
  <c r="BY39" i="4"/>
  <c r="BZ39" i="4"/>
  <c r="CA39" i="4"/>
  <c r="CB39" i="4"/>
  <c r="CC39" i="4"/>
  <c r="CD39" i="4"/>
  <c r="CE39" i="4"/>
  <c r="CF39" i="4"/>
  <c r="CG39" i="4"/>
  <c r="CH39" i="4"/>
  <c r="CI39" i="4"/>
  <c r="CJ39" i="4"/>
  <c r="CK39" i="4"/>
  <c r="CL39" i="4"/>
  <c r="CM39" i="4"/>
  <c r="CN39" i="4"/>
  <c r="CO39" i="4"/>
  <c r="CP39" i="4"/>
  <c r="CQ39" i="4"/>
  <c r="CR39" i="4"/>
  <c r="CS39" i="4"/>
  <c r="CT39" i="4"/>
  <c r="CU39" i="4"/>
  <c r="CV39" i="4"/>
  <c r="CW39" i="4"/>
  <c r="CX39" i="4"/>
  <c r="CY39" i="4"/>
  <c r="CZ39" i="4"/>
  <c r="DA39" i="4"/>
  <c r="DB39" i="4"/>
  <c r="DC39" i="4"/>
  <c r="DD39" i="4"/>
  <c r="DE39" i="4"/>
  <c r="DF39" i="4"/>
  <c r="DG39" i="4"/>
  <c r="DH39" i="4"/>
  <c r="DI39" i="4"/>
  <c r="DJ39" i="4"/>
  <c r="DK39" i="4"/>
  <c r="DL39" i="4"/>
  <c r="DM39" i="4"/>
  <c r="DN39" i="4"/>
  <c r="DO39" i="4"/>
  <c r="DP39" i="4"/>
  <c r="DQ39" i="4"/>
  <c r="DR39" i="4"/>
  <c r="DS39" i="4"/>
  <c r="DT39" i="4"/>
  <c r="DU39" i="4"/>
  <c r="DV39" i="4"/>
  <c r="DW39" i="4"/>
  <c r="DX39" i="4"/>
  <c r="DY39" i="4"/>
  <c r="DZ39" i="4"/>
  <c r="EA39" i="4"/>
  <c r="EB39" i="4"/>
  <c r="EC39" i="4"/>
  <c r="ED39" i="4"/>
  <c r="EE39" i="4"/>
  <c r="EF39" i="4"/>
  <c r="EG39" i="4"/>
  <c r="EH39" i="4"/>
  <c r="EI39" i="4"/>
  <c r="EJ39" i="4"/>
  <c r="EK39" i="4"/>
  <c r="EL39" i="4"/>
  <c r="EM39" i="4"/>
  <c r="EN39" i="4"/>
  <c r="EO39" i="4"/>
  <c r="EP39" i="4"/>
  <c r="EQ39" i="4"/>
  <c r="ER39" i="4"/>
  <c r="ES39" i="4"/>
  <c r="ET39" i="4"/>
  <c r="EU39" i="4"/>
  <c r="EV39" i="4"/>
  <c r="EW39" i="4"/>
  <c r="EX39" i="4"/>
  <c r="EY39" i="4"/>
  <c r="EZ39" i="4"/>
  <c r="FA39" i="4"/>
  <c r="FB39" i="4"/>
  <c r="FC39" i="4"/>
  <c r="FD39" i="4"/>
  <c r="FE39" i="4"/>
  <c r="FF39" i="4"/>
  <c r="FG39" i="4"/>
  <c r="FH39" i="4"/>
  <c r="FI39" i="4"/>
  <c r="FJ39" i="4"/>
  <c r="FK39" i="4"/>
  <c r="FL39" i="4"/>
  <c r="FM39" i="4"/>
  <c r="FN39" i="4"/>
  <c r="FO39" i="4"/>
  <c r="FP39" i="4"/>
  <c r="FQ39" i="4"/>
  <c r="FR39" i="4"/>
  <c r="FS39" i="4"/>
  <c r="FT39" i="4"/>
  <c r="FU39" i="4"/>
  <c r="FV39" i="4"/>
  <c r="FW39" i="4"/>
  <c r="FX39" i="4"/>
  <c r="FY39" i="4"/>
  <c r="FZ39" i="4"/>
  <c r="GA39" i="4"/>
  <c r="GB39" i="4"/>
  <c r="GC39" i="4"/>
  <c r="GD39" i="4"/>
  <c r="GE39" i="4"/>
  <c r="GF39" i="4"/>
  <c r="GG39" i="4"/>
  <c r="GH39" i="4"/>
  <c r="GI39" i="4"/>
  <c r="GJ39" i="4"/>
  <c r="GK39" i="4"/>
  <c r="GL39" i="4"/>
  <c r="GM39" i="4"/>
  <c r="GN39" i="4"/>
  <c r="GO39" i="4"/>
  <c r="GP39" i="4"/>
  <c r="GQ39" i="4"/>
  <c r="GR39" i="4"/>
  <c r="GS39" i="4"/>
  <c r="GT39" i="4"/>
  <c r="GU39" i="4"/>
  <c r="GV39" i="4"/>
  <c r="GW39" i="4"/>
  <c r="GX39" i="4"/>
  <c r="GY39" i="4"/>
  <c r="GZ39" i="4"/>
  <c r="HA39" i="4"/>
  <c r="HB39" i="4"/>
  <c r="HC39" i="4"/>
  <c r="HD39" i="4"/>
  <c r="HE39" i="4"/>
  <c r="HF39" i="4"/>
  <c r="HG39" i="4"/>
  <c r="HH39" i="4"/>
  <c r="HI39" i="4"/>
  <c r="HJ39" i="4"/>
  <c r="HK39" i="4"/>
  <c r="S40" i="4"/>
  <c r="T40" i="4"/>
  <c r="U40" i="4"/>
  <c r="V40" i="4"/>
  <c r="W40" i="4"/>
  <c r="X40" i="4"/>
  <c r="Y40" i="4"/>
  <c r="Z40" i="4"/>
  <c r="AA40" i="4"/>
  <c r="AB40" i="4"/>
  <c r="AC40" i="4"/>
  <c r="AD40" i="4"/>
  <c r="AE40" i="4"/>
  <c r="AF40" i="4"/>
  <c r="AG40" i="4"/>
  <c r="AH40" i="4"/>
  <c r="AI40" i="4"/>
  <c r="AJ40" i="4"/>
  <c r="AK40" i="4"/>
  <c r="AL40" i="4"/>
  <c r="AM40" i="4"/>
  <c r="AN40" i="4"/>
  <c r="AO40" i="4"/>
  <c r="AP40" i="4"/>
  <c r="AQ40" i="4"/>
  <c r="AR40" i="4"/>
  <c r="AS40" i="4"/>
  <c r="AT40" i="4"/>
  <c r="AU40" i="4"/>
  <c r="AV40" i="4"/>
  <c r="AW40" i="4"/>
  <c r="AX40" i="4"/>
  <c r="AY40" i="4"/>
  <c r="AZ40" i="4"/>
  <c r="BA40" i="4"/>
  <c r="BB40" i="4"/>
  <c r="BC40" i="4"/>
  <c r="BD40" i="4"/>
  <c r="BE40" i="4"/>
  <c r="BF40" i="4"/>
  <c r="BG40" i="4"/>
  <c r="BH40" i="4"/>
  <c r="BI40" i="4"/>
  <c r="BJ40" i="4"/>
  <c r="BK40" i="4"/>
  <c r="BL40" i="4"/>
  <c r="BM40" i="4"/>
  <c r="BN40" i="4"/>
  <c r="BO40" i="4"/>
  <c r="BP40" i="4"/>
  <c r="BQ40" i="4"/>
  <c r="BR40" i="4"/>
  <c r="BS40" i="4"/>
  <c r="BT40" i="4"/>
  <c r="BU40" i="4"/>
  <c r="BV40" i="4"/>
  <c r="BW40" i="4"/>
  <c r="BX40" i="4"/>
  <c r="BY40" i="4"/>
  <c r="BZ40" i="4"/>
  <c r="CA40" i="4"/>
  <c r="CB40" i="4"/>
  <c r="CC40" i="4"/>
  <c r="CD40" i="4"/>
  <c r="CE40" i="4"/>
  <c r="CF40" i="4"/>
  <c r="CG40" i="4"/>
  <c r="CH40" i="4"/>
  <c r="CI40" i="4"/>
  <c r="CJ40" i="4"/>
  <c r="CK40" i="4"/>
  <c r="CL40" i="4"/>
  <c r="CM40" i="4"/>
  <c r="CN40" i="4"/>
  <c r="CO40" i="4"/>
  <c r="CP40" i="4"/>
  <c r="CQ40" i="4"/>
  <c r="CR40" i="4"/>
  <c r="CS40" i="4"/>
  <c r="CT40" i="4"/>
  <c r="CU40" i="4"/>
  <c r="CV40" i="4"/>
  <c r="CW40" i="4"/>
  <c r="CX40" i="4"/>
  <c r="CY40" i="4"/>
  <c r="CZ40" i="4"/>
  <c r="DA40" i="4"/>
  <c r="DB40" i="4"/>
  <c r="DC40" i="4"/>
  <c r="DD40" i="4"/>
  <c r="DE40" i="4"/>
  <c r="DF40" i="4"/>
  <c r="DG40" i="4"/>
  <c r="DH40" i="4"/>
  <c r="DI40" i="4"/>
  <c r="DJ40" i="4"/>
  <c r="DK40" i="4"/>
  <c r="DL40" i="4"/>
  <c r="DM40" i="4"/>
  <c r="DN40" i="4"/>
  <c r="DO40" i="4"/>
  <c r="DP40" i="4"/>
  <c r="DQ40" i="4"/>
  <c r="DR40" i="4"/>
  <c r="DS40" i="4"/>
  <c r="DT40" i="4"/>
  <c r="DU40" i="4"/>
  <c r="DV40" i="4"/>
  <c r="DW40" i="4"/>
  <c r="DX40" i="4"/>
  <c r="DY40" i="4"/>
  <c r="DZ40" i="4"/>
  <c r="EA40" i="4"/>
  <c r="EB40" i="4"/>
  <c r="EC40" i="4"/>
  <c r="ED40" i="4"/>
  <c r="EE40" i="4"/>
  <c r="EF40" i="4"/>
  <c r="EG40" i="4"/>
  <c r="EH40" i="4"/>
  <c r="EI40" i="4"/>
  <c r="EJ40" i="4"/>
  <c r="EK40" i="4"/>
  <c r="EL40" i="4"/>
  <c r="EM40" i="4"/>
  <c r="EN40" i="4"/>
  <c r="EO40" i="4"/>
  <c r="EP40" i="4"/>
  <c r="EQ40" i="4"/>
  <c r="ER40" i="4"/>
  <c r="ES40" i="4"/>
  <c r="ET40" i="4"/>
  <c r="EU40" i="4"/>
  <c r="EV40" i="4"/>
  <c r="EW40" i="4"/>
  <c r="EX40" i="4"/>
  <c r="EY40" i="4"/>
  <c r="EZ40" i="4"/>
  <c r="FA40" i="4"/>
  <c r="FB40" i="4"/>
  <c r="FC40" i="4"/>
  <c r="FD40" i="4"/>
  <c r="FE40" i="4"/>
  <c r="FF40" i="4"/>
  <c r="FG40" i="4"/>
  <c r="FH40" i="4"/>
  <c r="FI40" i="4"/>
  <c r="FJ40" i="4"/>
  <c r="FK40" i="4"/>
  <c r="FL40" i="4"/>
  <c r="FM40" i="4"/>
  <c r="FN40" i="4"/>
  <c r="FO40" i="4"/>
  <c r="FP40" i="4"/>
  <c r="FQ40" i="4"/>
  <c r="FR40" i="4"/>
  <c r="FS40" i="4"/>
  <c r="FT40" i="4"/>
  <c r="FU40" i="4"/>
  <c r="FV40" i="4"/>
  <c r="FW40" i="4"/>
  <c r="FX40" i="4"/>
  <c r="FY40" i="4"/>
  <c r="FZ40" i="4"/>
  <c r="GA40" i="4"/>
  <c r="GB40" i="4"/>
  <c r="GC40" i="4"/>
  <c r="GD40" i="4"/>
  <c r="GE40" i="4"/>
  <c r="GF40" i="4"/>
  <c r="GG40" i="4"/>
  <c r="GH40" i="4"/>
  <c r="GI40" i="4"/>
  <c r="GJ40" i="4"/>
  <c r="GK40" i="4"/>
  <c r="GL40" i="4"/>
  <c r="GM40" i="4"/>
  <c r="GN40" i="4"/>
  <c r="GO40" i="4"/>
  <c r="GP40" i="4"/>
  <c r="GQ40" i="4"/>
  <c r="GR40" i="4"/>
  <c r="GS40" i="4"/>
  <c r="GT40" i="4"/>
  <c r="GU40" i="4"/>
  <c r="GV40" i="4"/>
  <c r="GW40" i="4"/>
  <c r="GX40" i="4"/>
  <c r="GY40" i="4"/>
  <c r="GZ40" i="4"/>
  <c r="HA40" i="4"/>
  <c r="HB40" i="4"/>
  <c r="HC40" i="4"/>
  <c r="HD40" i="4"/>
  <c r="HE40" i="4"/>
  <c r="HF40" i="4"/>
  <c r="HG40" i="4"/>
  <c r="HH40" i="4"/>
  <c r="HI40" i="4"/>
  <c r="HJ40" i="4"/>
  <c r="HK40" i="4"/>
  <c r="S3" i="4"/>
  <c r="S34" i="4"/>
  <c r="N13" i="4"/>
  <c r="N14" i="4"/>
  <c r="O2" i="4"/>
  <c r="O3" i="4"/>
  <c r="O4" i="4"/>
  <c r="O5" i="4"/>
  <c r="O6" i="4"/>
  <c r="O7" i="4"/>
  <c r="O8" i="4"/>
  <c r="O9" i="4"/>
  <c r="O10" i="4"/>
  <c r="O11" i="4"/>
  <c r="O12" i="4"/>
  <c r="O13" i="4"/>
  <c r="O14" i="4"/>
  <c r="P2" i="4"/>
  <c r="P3" i="4"/>
  <c r="P4" i="4"/>
  <c r="P5" i="4"/>
  <c r="P6" i="4"/>
  <c r="P7" i="4"/>
  <c r="P8" i="4"/>
  <c r="P9" i="4"/>
  <c r="P10" i="4"/>
  <c r="P11" i="4"/>
  <c r="P12" i="4"/>
  <c r="P13" i="4"/>
  <c r="P14" i="4"/>
  <c r="K13" i="4"/>
  <c r="K14" i="4"/>
  <c r="L2" i="4"/>
  <c r="L3" i="4"/>
  <c r="L4" i="4"/>
  <c r="L5" i="4"/>
  <c r="L6" i="4"/>
  <c r="L7" i="4"/>
  <c r="L8" i="4"/>
  <c r="L9" i="4"/>
  <c r="L10" i="4"/>
  <c r="L11" i="4"/>
  <c r="L12" i="4"/>
  <c r="L13" i="4"/>
  <c r="L14" i="4"/>
  <c r="M2" i="4"/>
  <c r="M3" i="4"/>
  <c r="M4" i="4"/>
  <c r="M5" i="4"/>
  <c r="M6" i="4"/>
  <c r="M7" i="4"/>
  <c r="M8" i="4"/>
  <c r="M9" i="4"/>
  <c r="M10" i="4"/>
  <c r="M11" i="4"/>
  <c r="M12" i="4"/>
  <c r="M13" i="4"/>
  <c r="M14" i="4"/>
  <c r="I2" i="4"/>
  <c r="I3" i="4"/>
  <c r="I4" i="4"/>
  <c r="I5" i="4"/>
  <c r="I6" i="4"/>
  <c r="I7" i="4"/>
  <c r="I8" i="4"/>
  <c r="I9" i="4"/>
  <c r="I10" i="4"/>
  <c r="I11" i="4"/>
  <c r="I12" i="4"/>
  <c r="I13" i="4"/>
  <c r="I14" i="4"/>
  <c r="J2" i="4"/>
  <c r="J3" i="4"/>
  <c r="J4" i="4"/>
  <c r="J5" i="4"/>
  <c r="J6" i="4"/>
  <c r="J7" i="4"/>
  <c r="J8" i="4"/>
  <c r="J9" i="4"/>
  <c r="J10" i="4"/>
  <c r="J11" i="4"/>
  <c r="J12" i="4"/>
  <c r="J13" i="4"/>
  <c r="J14" i="4"/>
  <c r="H13" i="4"/>
  <c r="H14" i="4"/>
  <c r="E13" i="4"/>
  <c r="E14" i="4"/>
  <c r="F2" i="4"/>
  <c r="F3" i="4"/>
  <c r="F4" i="4"/>
  <c r="F5" i="4"/>
  <c r="F6" i="4"/>
  <c r="F7" i="4"/>
  <c r="F8" i="4"/>
  <c r="F9" i="4"/>
  <c r="F10" i="4"/>
  <c r="F11" i="4"/>
  <c r="F12" i="4"/>
  <c r="F13" i="4"/>
  <c r="F14" i="4"/>
  <c r="G2" i="4"/>
  <c r="G3" i="4"/>
  <c r="G4" i="4"/>
  <c r="G5" i="4"/>
  <c r="G6" i="4"/>
  <c r="G7" i="4"/>
  <c r="G8" i="4"/>
  <c r="G9" i="4"/>
  <c r="G10" i="4"/>
  <c r="G11" i="4"/>
  <c r="G12" i="4"/>
  <c r="G13" i="4"/>
  <c r="G14" i="4"/>
  <c r="D13" i="4"/>
  <c r="D14" i="4"/>
  <c r="C13" i="4"/>
  <c r="C14" i="4"/>
  <c r="U56" i="4" l="1"/>
  <c r="X56" i="4" s="1"/>
  <c r="U53" i="4"/>
  <c r="X53" i="4" s="1"/>
  <c r="U52" i="4"/>
  <c r="X52" i="4" s="1"/>
  <c r="U51" i="4"/>
  <c r="X51" i="4" s="1"/>
  <c r="U55" i="4"/>
  <c r="X55" i="4" s="1"/>
  <c r="U54" i="4"/>
  <c r="X54" i="4" s="1"/>
  <c r="C3" i="4"/>
  <c r="C4" i="4"/>
  <c r="C5" i="4"/>
  <c r="C6" i="4"/>
  <c r="C7" i="4"/>
  <c r="C8" i="4"/>
  <c r="C9" i="4"/>
  <c r="C10" i="4"/>
  <c r="C11" i="4"/>
  <c r="C12" i="4"/>
  <c r="C2" i="4"/>
  <c r="HM3" i="4" l="1"/>
  <c r="HM4" i="4"/>
  <c r="HM5" i="4"/>
  <c r="HM6" i="4"/>
  <c r="HM7" i="4"/>
  <c r="HM8" i="4"/>
  <c r="HM9" i="4"/>
  <c r="HM10" i="4"/>
  <c r="HM11" i="4"/>
  <c r="HM12" i="4"/>
  <c r="HM13" i="4"/>
  <c r="HM14" i="4"/>
  <c r="HM15" i="4"/>
  <c r="HM16" i="4"/>
  <c r="HM17" i="4"/>
  <c r="HM18" i="4"/>
  <c r="HM19" i="4"/>
  <c r="HM20" i="4"/>
  <c r="HM21" i="4"/>
  <c r="HM22" i="4"/>
  <c r="HM23" i="4"/>
  <c r="HM24" i="4"/>
  <c r="HM25" i="4"/>
  <c r="HM26" i="4"/>
  <c r="HM27" i="4"/>
  <c r="HM28" i="4"/>
  <c r="HM29" i="4"/>
  <c r="HM30" i="4"/>
  <c r="HM31" i="4"/>
  <c r="HM32" i="4"/>
  <c r="HM33" i="4"/>
  <c r="HM34" i="4"/>
  <c r="HM2" i="4"/>
  <c r="D3" i="4"/>
  <c r="D4" i="4"/>
  <c r="D5" i="4"/>
  <c r="D6" i="4"/>
  <c r="D7" i="4"/>
  <c r="HM43" i="4" s="1"/>
  <c r="D8" i="4"/>
  <c r="D9" i="4"/>
  <c r="D10" i="4"/>
  <c r="D11" i="4"/>
  <c r="D12" i="4"/>
  <c r="D2" i="4"/>
  <c r="TD34" i="4" l="1"/>
  <c r="HK34" i="4"/>
  <c r="HJ34" i="4"/>
  <c r="HI34" i="4"/>
  <c r="HH34" i="4"/>
  <c r="HG34" i="4"/>
  <c r="HF34" i="4"/>
  <c r="HE34" i="4"/>
  <c r="HD34" i="4"/>
  <c r="HC34" i="4"/>
  <c r="HB34" i="4"/>
  <c r="HA34" i="4"/>
  <c r="GZ34" i="4"/>
  <c r="GY34" i="4"/>
  <c r="GX34" i="4"/>
  <c r="GW34" i="4"/>
  <c r="GV34" i="4"/>
  <c r="GU34" i="4"/>
  <c r="GT34" i="4"/>
  <c r="GS34" i="4"/>
  <c r="GR34" i="4"/>
  <c r="GQ34" i="4"/>
  <c r="GP34" i="4"/>
  <c r="GO34" i="4"/>
  <c r="GN34" i="4"/>
  <c r="GM34" i="4"/>
  <c r="GL34" i="4"/>
  <c r="GK34" i="4"/>
  <c r="GJ34" i="4"/>
  <c r="GI34" i="4"/>
  <c r="GH34" i="4"/>
  <c r="GG34" i="4"/>
  <c r="GF34" i="4"/>
  <c r="GE34" i="4"/>
  <c r="GD34" i="4"/>
  <c r="GC34" i="4"/>
  <c r="GB34" i="4"/>
  <c r="GA34" i="4"/>
  <c r="FZ34" i="4"/>
  <c r="FY34" i="4"/>
  <c r="FX34" i="4"/>
  <c r="FW34" i="4"/>
  <c r="FV34" i="4"/>
  <c r="FU34" i="4"/>
  <c r="FT34" i="4"/>
  <c r="FS34" i="4"/>
  <c r="FR34" i="4"/>
  <c r="FQ34" i="4"/>
  <c r="FP34" i="4"/>
  <c r="FO34" i="4"/>
  <c r="FN34" i="4"/>
  <c r="FM34" i="4"/>
  <c r="FL34" i="4"/>
  <c r="FK34" i="4"/>
  <c r="FJ34" i="4"/>
  <c r="FI34" i="4"/>
  <c r="FH34" i="4"/>
  <c r="FG34" i="4"/>
  <c r="FF34" i="4"/>
  <c r="FE34" i="4"/>
  <c r="FD34" i="4"/>
  <c r="FC34" i="4"/>
  <c r="FB34" i="4"/>
  <c r="FA34" i="4"/>
  <c r="EZ34" i="4"/>
  <c r="EY34" i="4"/>
  <c r="EX34" i="4"/>
  <c r="EW34" i="4"/>
  <c r="EV34" i="4"/>
  <c r="EU34" i="4"/>
  <c r="ET34" i="4"/>
  <c r="ES34" i="4"/>
  <c r="ER34" i="4"/>
  <c r="EQ34" i="4"/>
  <c r="EP34" i="4"/>
  <c r="EO34" i="4"/>
  <c r="EN34" i="4"/>
  <c r="EM34" i="4"/>
  <c r="EL34" i="4"/>
  <c r="EK34" i="4"/>
  <c r="EJ34" i="4"/>
  <c r="EI34" i="4"/>
  <c r="EH34" i="4"/>
  <c r="EG34" i="4"/>
  <c r="EF34" i="4"/>
  <c r="EE34" i="4"/>
  <c r="ED34" i="4"/>
  <c r="EC34" i="4"/>
  <c r="EB34" i="4"/>
  <c r="EA34" i="4"/>
  <c r="DZ34" i="4"/>
  <c r="DY34" i="4"/>
  <c r="DX34" i="4"/>
  <c r="DW34" i="4"/>
  <c r="DV34" i="4"/>
  <c r="DU34" i="4"/>
  <c r="DT34" i="4"/>
  <c r="DS34" i="4"/>
  <c r="DR34" i="4"/>
  <c r="DQ34" i="4"/>
  <c r="DP34" i="4"/>
  <c r="DO34" i="4"/>
  <c r="DN34" i="4"/>
  <c r="DM34" i="4"/>
  <c r="DL34" i="4"/>
  <c r="DK34" i="4"/>
  <c r="DJ34" i="4"/>
  <c r="DI34" i="4"/>
  <c r="DH34" i="4"/>
  <c r="DG34" i="4"/>
  <c r="DF34" i="4"/>
  <c r="DE34" i="4"/>
  <c r="DD34" i="4"/>
  <c r="DC34" i="4"/>
  <c r="DB34" i="4"/>
  <c r="DA34" i="4"/>
  <c r="CZ34" i="4"/>
  <c r="CY34" i="4"/>
  <c r="CX34" i="4"/>
  <c r="CW34" i="4"/>
  <c r="CV34" i="4"/>
  <c r="CU34" i="4"/>
  <c r="CT34" i="4"/>
  <c r="CS34" i="4"/>
  <c r="CR34" i="4"/>
  <c r="CQ34" i="4"/>
  <c r="CP34" i="4"/>
  <c r="CO34" i="4"/>
  <c r="CN34" i="4"/>
  <c r="CM34" i="4"/>
  <c r="CL34" i="4"/>
  <c r="CK34" i="4"/>
  <c r="CJ34" i="4"/>
  <c r="CI34" i="4"/>
  <c r="CH34" i="4"/>
  <c r="CG34" i="4"/>
  <c r="CF34" i="4"/>
  <c r="CE34" i="4"/>
  <c r="CD34" i="4"/>
  <c r="CC34" i="4"/>
  <c r="CB34" i="4"/>
  <c r="CA34" i="4"/>
  <c r="BZ34" i="4"/>
  <c r="BY34" i="4"/>
  <c r="BX34" i="4"/>
  <c r="BW34" i="4"/>
  <c r="BV34" i="4"/>
  <c r="BU34" i="4"/>
  <c r="BT34" i="4"/>
  <c r="BS34" i="4"/>
  <c r="BR34" i="4"/>
  <c r="BQ34" i="4"/>
  <c r="BP34" i="4"/>
  <c r="BO34" i="4"/>
  <c r="BN34" i="4"/>
  <c r="BM34" i="4"/>
  <c r="BL34" i="4"/>
  <c r="BK34" i="4"/>
  <c r="BJ34" i="4"/>
  <c r="BI34" i="4"/>
  <c r="BH34" i="4"/>
  <c r="BG34" i="4"/>
  <c r="BF34" i="4"/>
  <c r="BE34" i="4"/>
  <c r="BD34" i="4"/>
  <c r="BC34" i="4"/>
  <c r="BB34" i="4"/>
  <c r="BA34" i="4"/>
  <c r="AZ34" i="4"/>
  <c r="AY34" i="4"/>
  <c r="AX34" i="4"/>
  <c r="AW34" i="4"/>
  <c r="AV34" i="4"/>
  <c r="AU34" i="4"/>
  <c r="AT34" i="4"/>
  <c r="AS34" i="4"/>
  <c r="AR34" i="4"/>
  <c r="AQ34" i="4"/>
  <c r="AP34" i="4"/>
  <c r="AO34" i="4"/>
  <c r="AN34" i="4"/>
  <c r="AM34" i="4"/>
  <c r="AL34" i="4"/>
  <c r="AK34" i="4"/>
  <c r="AJ34" i="4"/>
  <c r="AI34" i="4"/>
  <c r="AH34" i="4"/>
  <c r="AG34" i="4"/>
  <c r="AF34" i="4"/>
  <c r="AE34" i="4"/>
  <c r="AD34" i="4"/>
  <c r="AC34" i="4"/>
  <c r="AB34" i="4"/>
  <c r="AA34" i="4"/>
  <c r="Z34" i="4"/>
  <c r="Y34" i="4"/>
  <c r="X34" i="4"/>
  <c r="W34" i="4"/>
  <c r="V34" i="4"/>
  <c r="U34" i="4"/>
  <c r="T34" i="4"/>
  <c r="TD33" i="4"/>
  <c r="HK33" i="4"/>
  <c r="HJ33" i="4"/>
  <c r="HI33" i="4"/>
  <c r="HH33" i="4"/>
  <c r="HG33" i="4"/>
  <c r="HF33" i="4"/>
  <c r="HE33" i="4"/>
  <c r="HD33" i="4"/>
  <c r="HC33" i="4"/>
  <c r="HB33" i="4"/>
  <c r="HA33" i="4"/>
  <c r="GZ33" i="4"/>
  <c r="GY33" i="4"/>
  <c r="GX33" i="4"/>
  <c r="GW33" i="4"/>
  <c r="GV33" i="4"/>
  <c r="GU33" i="4"/>
  <c r="GT33" i="4"/>
  <c r="GS33" i="4"/>
  <c r="GR33" i="4"/>
  <c r="GQ33" i="4"/>
  <c r="GP33" i="4"/>
  <c r="GO33" i="4"/>
  <c r="GN33" i="4"/>
  <c r="GM33" i="4"/>
  <c r="GL33" i="4"/>
  <c r="GK33" i="4"/>
  <c r="GJ33" i="4"/>
  <c r="GI33" i="4"/>
  <c r="GH33" i="4"/>
  <c r="GG33" i="4"/>
  <c r="GF33" i="4"/>
  <c r="GE33" i="4"/>
  <c r="GD33" i="4"/>
  <c r="GC33" i="4"/>
  <c r="GB33" i="4"/>
  <c r="GA33" i="4"/>
  <c r="FZ33" i="4"/>
  <c r="FY33" i="4"/>
  <c r="FX33" i="4"/>
  <c r="FW33" i="4"/>
  <c r="FV33" i="4"/>
  <c r="FU33" i="4"/>
  <c r="FT33" i="4"/>
  <c r="FS33" i="4"/>
  <c r="FR33" i="4"/>
  <c r="FQ33" i="4"/>
  <c r="FP33" i="4"/>
  <c r="FO33" i="4"/>
  <c r="FN33" i="4"/>
  <c r="FM33" i="4"/>
  <c r="FL33" i="4"/>
  <c r="FK33" i="4"/>
  <c r="FJ33" i="4"/>
  <c r="FI33" i="4"/>
  <c r="FH33" i="4"/>
  <c r="FG33" i="4"/>
  <c r="FF33" i="4"/>
  <c r="FE33" i="4"/>
  <c r="FD33" i="4"/>
  <c r="FC33" i="4"/>
  <c r="FB33" i="4"/>
  <c r="FA33" i="4"/>
  <c r="EZ33" i="4"/>
  <c r="EY33" i="4"/>
  <c r="EX33" i="4"/>
  <c r="EW33" i="4"/>
  <c r="EV33" i="4"/>
  <c r="EU33" i="4"/>
  <c r="ET33" i="4"/>
  <c r="ES33" i="4"/>
  <c r="ER33" i="4"/>
  <c r="EQ33" i="4"/>
  <c r="EP33" i="4"/>
  <c r="EO33" i="4"/>
  <c r="EN33" i="4"/>
  <c r="EM33" i="4"/>
  <c r="EL33" i="4"/>
  <c r="EK33" i="4"/>
  <c r="EJ33" i="4"/>
  <c r="EI33" i="4"/>
  <c r="EH33" i="4"/>
  <c r="EG33" i="4"/>
  <c r="EF33" i="4"/>
  <c r="EE33" i="4"/>
  <c r="ED33" i="4"/>
  <c r="EC33" i="4"/>
  <c r="EB33" i="4"/>
  <c r="EA33" i="4"/>
  <c r="DZ33" i="4"/>
  <c r="DY33" i="4"/>
  <c r="DX33" i="4"/>
  <c r="DW33" i="4"/>
  <c r="DV33" i="4"/>
  <c r="DU33" i="4"/>
  <c r="DT33" i="4"/>
  <c r="DS33" i="4"/>
  <c r="DR33" i="4"/>
  <c r="DQ33" i="4"/>
  <c r="DP33" i="4"/>
  <c r="DO33" i="4"/>
  <c r="DN33" i="4"/>
  <c r="DM33" i="4"/>
  <c r="DL33" i="4"/>
  <c r="DK33" i="4"/>
  <c r="DJ33" i="4"/>
  <c r="DI33" i="4"/>
  <c r="DH33" i="4"/>
  <c r="DG33" i="4"/>
  <c r="DF33" i="4"/>
  <c r="DE33" i="4"/>
  <c r="DD33" i="4"/>
  <c r="DC33" i="4"/>
  <c r="DB33" i="4"/>
  <c r="DA33" i="4"/>
  <c r="CZ33" i="4"/>
  <c r="CY33" i="4"/>
  <c r="CX33" i="4"/>
  <c r="CW33" i="4"/>
  <c r="CV33" i="4"/>
  <c r="CU33" i="4"/>
  <c r="CT33" i="4"/>
  <c r="CS33" i="4"/>
  <c r="CR33" i="4"/>
  <c r="CQ33" i="4"/>
  <c r="CP33" i="4"/>
  <c r="CO33" i="4"/>
  <c r="CN33" i="4"/>
  <c r="CM33" i="4"/>
  <c r="CL33" i="4"/>
  <c r="CK33" i="4"/>
  <c r="CJ33" i="4"/>
  <c r="CI33" i="4"/>
  <c r="CH33" i="4"/>
  <c r="CG33" i="4"/>
  <c r="CF33" i="4"/>
  <c r="CE33" i="4"/>
  <c r="CD33" i="4"/>
  <c r="CC33" i="4"/>
  <c r="CB33" i="4"/>
  <c r="CA33" i="4"/>
  <c r="BZ33" i="4"/>
  <c r="BY33" i="4"/>
  <c r="BX33" i="4"/>
  <c r="BW33" i="4"/>
  <c r="BV33" i="4"/>
  <c r="BU33" i="4"/>
  <c r="BT33" i="4"/>
  <c r="BS33" i="4"/>
  <c r="BR33" i="4"/>
  <c r="BQ33" i="4"/>
  <c r="BP33" i="4"/>
  <c r="BO33" i="4"/>
  <c r="BN33" i="4"/>
  <c r="BM33" i="4"/>
  <c r="BL33" i="4"/>
  <c r="BK33" i="4"/>
  <c r="BJ33" i="4"/>
  <c r="BI33" i="4"/>
  <c r="BH33" i="4"/>
  <c r="BG33" i="4"/>
  <c r="BF33" i="4"/>
  <c r="BE33" i="4"/>
  <c r="BD33" i="4"/>
  <c r="BC33" i="4"/>
  <c r="BB33" i="4"/>
  <c r="BA33" i="4"/>
  <c r="AZ33" i="4"/>
  <c r="AY33" i="4"/>
  <c r="AX33" i="4"/>
  <c r="AW33" i="4"/>
  <c r="AV33" i="4"/>
  <c r="AU33" i="4"/>
  <c r="AT33" i="4"/>
  <c r="AS33" i="4"/>
  <c r="AR33" i="4"/>
  <c r="AQ33" i="4"/>
  <c r="AP33" i="4"/>
  <c r="AO33" i="4"/>
  <c r="AN33" i="4"/>
  <c r="AM33" i="4"/>
  <c r="AL33" i="4"/>
  <c r="AK33" i="4"/>
  <c r="AJ33" i="4"/>
  <c r="AI33" i="4"/>
  <c r="AH33" i="4"/>
  <c r="AG33" i="4"/>
  <c r="AF33" i="4"/>
  <c r="AE33" i="4"/>
  <c r="AD33" i="4"/>
  <c r="AC33" i="4"/>
  <c r="AB33" i="4"/>
  <c r="AA33" i="4"/>
  <c r="Z33" i="4"/>
  <c r="Y33" i="4"/>
  <c r="X33" i="4"/>
  <c r="W33" i="4"/>
  <c r="V33" i="4"/>
  <c r="U33" i="4"/>
  <c r="T33" i="4"/>
  <c r="S33" i="4"/>
  <c r="TD32" i="4"/>
  <c r="HK32" i="4"/>
  <c r="HJ32" i="4"/>
  <c r="HI32" i="4"/>
  <c r="HH32" i="4"/>
  <c r="HG32" i="4"/>
  <c r="HF32" i="4"/>
  <c r="HE32" i="4"/>
  <c r="HD32" i="4"/>
  <c r="HC32" i="4"/>
  <c r="HB32" i="4"/>
  <c r="HA32" i="4"/>
  <c r="GZ32" i="4"/>
  <c r="GY32" i="4"/>
  <c r="GX32" i="4"/>
  <c r="GW32" i="4"/>
  <c r="GV32" i="4"/>
  <c r="GU32" i="4"/>
  <c r="GT32" i="4"/>
  <c r="GS32" i="4"/>
  <c r="GR32" i="4"/>
  <c r="GQ32" i="4"/>
  <c r="GP32" i="4"/>
  <c r="GO32" i="4"/>
  <c r="GN32" i="4"/>
  <c r="GM32" i="4"/>
  <c r="GL32" i="4"/>
  <c r="GK32" i="4"/>
  <c r="GJ32" i="4"/>
  <c r="GI32" i="4"/>
  <c r="GH32" i="4"/>
  <c r="GG32" i="4"/>
  <c r="GF32" i="4"/>
  <c r="GE32" i="4"/>
  <c r="GD32" i="4"/>
  <c r="GC32" i="4"/>
  <c r="GB32" i="4"/>
  <c r="GA32" i="4"/>
  <c r="FZ32" i="4"/>
  <c r="FY32" i="4"/>
  <c r="FX32" i="4"/>
  <c r="FW32" i="4"/>
  <c r="FV32" i="4"/>
  <c r="FU32" i="4"/>
  <c r="FT32" i="4"/>
  <c r="FS32" i="4"/>
  <c r="FR32" i="4"/>
  <c r="FQ32" i="4"/>
  <c r="FP32" i="4"/>
  <c r="FO32" i="4"/>
  <c r="FN32" i="4"/>
  <c r="FM32" i="4"/>
  <c r="FL32" i="4"/>
  <c r="FK32" i="4"/>
  <c r="FJ32" i="4"/>
  <c r="FI32" i="4"/>
  <c r="FH32" i="4"/>
  <c r="FG32" i="4"/>
  <c r="FF32" i="4"/>
  <c r="FE32" i="4"/>
  <c r="FD32" i="4"/>
  <c r="FC32" i="4"/>
  <c r="FB32" i="4"/>
  <c r="FA32" i="4"/>
  <c r="EZ32" i="4"/>
  <c r="EY32" i="4"/>
  <c r="EX32" i="4"/>
  <c r="EW32" i="4"/>
  <c r="EV32" i="4"/>
  <c r="EU32" i="4"/>
  <c r="ET32" i="4"/>
  <c r="ES32" i="4"/>
  <c r="ER32" i="4"/>
  <c r="EQ32" i="4"/>
  <c r="EP32" i="4"/>
  <c r="EO32" i="4"/>
  <c r="EN32" i="4"/>
  <c r="EM32" i="4"/>
  <c r="EL32" i="4"/>
  <c r="EK32" i="4"/>
  <c r="EJ32" i="4"/>
  <c r="EI32" i="4"/>
  <c r="EH32" i="4"/>
  <c r="EG32" i="4"/>
  <c r="EF32" i="4"/>
  <c r="EE32" i="4"/>
  <c r="ED32" i="4"/>
  <c r="EC32" i="4"/>
  <c r="EB32" i="4"/>
  <c r="EA32" i="4"/>
  <c r="DZ32" i="4"/>
  <c r="DY32" i="4"/>
  <c r="DX32" i="4"/>
  <c r="DW32" i="4"/>
  <c r="DV32" i="4"/>
  <c r="DU32" i="4"/>
  <c r="DT32" i="4"/>
  <c r="DS32" i="4"/>
  <c r="DR32" i="4"/>
  <c r="DQ32" i="4"/>
  <c r="DP32" i="4"/>
  <c r="DO32" i="4"/>
  <c r="DN32" i="4"/>
  <c r="DM32" i="4"/>
  <c r="DL32" i="4"/>
  <c r="DK32" i="4"/>
  <c r="DJ32" i="4"/>
  <c r="DI32" i="4"/>
  <c r="DH32" i="4"/>
  <c r="DG32" i="4"/>
  <c r="DF32" i="4"/>
  <c r="DE32" i="4"/>
  <c r="DD32" i="4"/>
  <c r="DC32" i="4"/>
  <c r="DB32" i="4"/>
  <c r="DA32" i="4"/>
  <c r="CZ32" i="4"/>
  <c r="CY32" i="4"/>
  <c r="CX32" i="4"/>
  <c r="CW32" i="4"/>
  <c r="CV32" i="4"/>
  <c r="CU32" i="4"/>
  <c r="CT32" i="4"/>
  <c r="CS32" i="4"/>
  <c r="CR32" i="4"/>
  <c r="CQ32" i="4"/>
  <c r="CP32" i="4"/>
  <c r="CO32" i="4"/>
  <c r="CN32" i="4"/>
  <c r="CM32" i="4"/>
  <c r="CL32" i="4"/>
  <c r="CK32" i="4"/>
  <c r="CJ32" i="4"/>
  <c r="CI32" i="4"/>
  <c r="CH32" i="4"/>
  <c r="CG32" i="4"/>
  <c r="CF32" i="4"/>
  <c r="CE32" i="4"/>
  <c r="CD32" i="4"/>
  <c r="CC32" i="4"/>
  <c r="CB32" i="4"/>
  <c r="CA32" i="4"/>
  <c r="BZ32" i="4"/>
  <c r="BY32" i="4"/>
  <c r="BX32" i="4"/>
  <c r="BW32" i="4"/>
  <c r="BV32" i="4"/>
  <c r="BU32" i="4"/>
  <c r="BT32" i="4"/>
  <c r="BS32" i="4"/>
  <c r="BR32" i="4"/>
  <c r="BQ32" i="4"/>
  <c r="BP32" i="4"/>
  <c r="BO32" i="4"/>
  <c r="BN32" i="4"/>
  <c r="BM32" i="4"/>
  <c r="BL32" i="4"/>
  <c r="BK32" i="4"/>
  <c r="BJ32" i="4"/>
  <c r="BI32" i="4"/>
  <c r="BH32" i="4"/>
  <c r="BG32" i="4"/>
  <c r="BF32" i="4"/>
  <c r="BE32" i="4"/>
  <c r="BD32" i="4"/>
  <c r="BC32" i="4"/>
  <c r="BB32" i="4"/>
  <c r="BA32" i="4"/>
  <c r="AZ32" i="4"/>
  <c r="AY32" i="4"/>
  <c r="AX32" i="4"/>
  <c r="AW32" i="4"/>
  <c r="AV32" i="4"/>
  <c r="AU32" i="4"/>
  <c r="AT32" i="4"/>
  <c r="AS32" i="4"/>
  <c r="AR32" i="4"/>
  <c r="AQ32" i="4"/>
  <c r="AP32" i="4"/>
  <c r="AO32" i="4"/>
  <c r="AN32" i="4"/>
  <c r="AM32" i="4"/>
  <c r="AL32" i="4"/>
  <c r="AK32" i="4"/>
  <c r="AJ32" i="4"/>
  <c r="AI32" i="4"/>
  <c r="AH32" i="4"/>
  <c r="AG32" i="4"/>
  <c r="AF32" i="4"/>
  <c r="AE32" i="4"/>
  <c r="AD32" i="4"/>
  <c r="AC32" i="4"/>
  <c r="AB32" i="4"/>
  <c r="AA32" i="4"/>
  <c r="Z32" i="4"/>
  <c r="Y32" i="4"/>
  <c r="X32" i="4"/>
  <c r="W32" i="4"/>
  <c r="V32" i="4"/>
  <c r="U32" i="4"/>
  <c r="T32" i="4"/>
  <c r="S32" i="4"/>
  <c r="TD31" i="4"/>
  <c r="HK31" i="4"/>
  <c r="HJ31" i="4"/>
  <c r="HI31" i="4"/>
  <c r="HH31" i="4"/>
  <c r="HG31" i="4"/>
  <c r="HF31" i="4"/>
  <c r="HE31" i="4"/>
  <c r="HD31" i="4"/>
  <c r="HC31" i="4"/>
  <c r="HB31" i="4"/>
  <c r="HA31" i="4"/>
  <c r="GZ31" i="4"/>
  <c r="GY31" i="4"/>
  <c r="GX31" i="4"/>
  <c r="GW31" i="4"/>
  <c r="GV31" i="4"/>
  <c r="GU31" i="4"/>
  <c r="GT31" i="4"/>
  <c r="GS31" i="4"/>
  <c r="GR31" i="4"/>
  <c r="GQ31" i="4"/>
  <c r="GP31" i="4"/>
  <c r="GO31" i="4"/>
  <c r="GN31" i="4"/>
  <c r="GM31" i="4"/>
  <c r="GL31" i="4"/>
  <c r="GK31" i="4"/>
  <c r="GJ31" i="4"/>
  <c r="GI31" i="4"/>
  <c r="GH31" i="4"/>
  <c r="GG31" i="4"/>
  <c r="GF31" i="4"/>
  <c r="GE31" i="4"/>
  <c r="GD31" i="4"/>
  <c r="GC31" i="4"/>
  <c r="GB31" i="4"/>
  <c r="GA31" i="4"/>
  <c r="FZ31" i="4"/>
  <c r="FY31" i="4"/>
  <c r="FX31" i="4"/>
  <c r="FW31" i="4"/>
  <c r="FV31" i="4"/>
  <c r="FU31" i="4"/>
  <c r="FT31" i="4"/>
  <c r="FS31" i="4"/>
  <c r="FR31" i="4"/>
  <c r="FQ31" i="4"/>
  <c r="FP31" i="4"/>
  <c r="FO31" i="4"/>
  <c r="FN31" i="4"/>
  <c r="FM31" i="4"/>
  <c r="FL31" i="4"/>
  <c r="FK31" i="4"/>
  <c r="FJ31" i="4"/>
  <c r="FI31" i="4"/>
  <c r="FH31" i="4"/>
  <c r="FG31" i="4"/>
  <c r="FF31" i="4"/>
  <c r="FE31" i="4"/>
  <c r="FD31" i="4"/>
  <c r="FC31" i="4"/>
  <c r="FB31" i="4"/>
  <c r="FA31" i="4"/>
  <c r="EZ31" i="4"/>
  <c r="EY31" i="4"/>
  <c r="EX31" i="4"/>
  <c r="EW31" i="4"/>
  <c r="EV31" i="4"/>
  <c r="EU31" i="4"/>
  <c r="ET31" i="4"/>
  <c r="ES31" i="4"/>
  <c r="ER31" i="4"/>
  <c r="EQ31" i="4"/>
  <c r="EP31" i="4"/>
  <c r="EO31" i="4"/>
  <c r="EN31" i="4"/>
  <c r="EM31" i="4"/>
  <c r="EL31" i="4"/>
  <c r="EK31" i="4"/>
  <c r="EJ31" i="4"/>
  <c r="EI31" i="4"/>
  <c r="EH31" i="4"/>
  <c r="EG31" i="4"/>
  <c r="EF31" i="4"/>
  <c r="EE31" i="4"/>
  <c r="ED31" i="4"/>
  <c r="EC31" i="4"/>
  <c r="EB31" i="4"/>
  <c r="EA31" i="4"/>
  <c r="DZ31" i="4"/>
  <c r="DY31" i="4"/>
  <c r="DX31" i="4"/>
  <c r="DW31" i="4"/>
  <c r="DV31" i="4"/>
  <c r="DU31" i="4"/>
  <c r="DT31" i="4"/>
  <c r="DS31" i="4"/>
  <c r="DR31" i="4"/>
  <c r="DQ31" i="4"/>
  <c r="DP31" i="4"/>
  <c r="DO31" i="4"/>
  <c r="DN31" i="4"/>
  <c r="DM31" i="4"/>
  <c r="DL31" i="4"/>
  <c r="DK31" i="4"/>
  <c r="DJ31" i="4"/>
  <c r="DI31" i="4"/>
  <c r="DH31" i="4"/>
  <c r="DG31" i="4"/>
  <c r="DF31" i="4"/>
  <c r="DE31" i="4"/>
  <c r="DD31" i="4"/>
  <c r="DC31" i="4"/>
  <c r="DB31" i="4"/>
  <c r="DA31" i="4"/>
  <c r="CZ31" i="4"/>
  <c r="CY31" i="4"/>
  <c r="CX31" i="4"/>
  <c r="CW31" i="4"/>
  <c r="CV31" i="4"/>
  <c r="CU31" i="4"/>
  <c r="CT31" i="4"/>
  <c r="CS31" i="4"/>
  <c r="CR31" i="4"/>
  <c r="CQ31" i="4"/>
  <c r="CP31" i="4"/>
  <c r="CO31" i="4"/>
  <c r="CN31" i="4"/>
  <c r="CM31" i="4"/>
  <c r="CL31" i="4"/>
  <c r="CK31" i="4"/>
  <c r="CJ31" i="4"/>
  <c r="CI31" i="4"/>
  <c r="CH31" i="4"/>
  <c r="CG31" i="4"/>
  <c r="CF31" i="4"/>
  <c r="CE31" i="4"/>
  <c r="CD31" i="4"/>
  <c r="CC31" i="4"/>
  <c r="CB31" i="4"/>
  <c r="CA31" i="4"/>
  <c r="BZ31" i="4"/>
  <c r="BY31" i="4"/>
  <c r="BX31" i="4"/>
  <c r="BW31" i="4"/>
  <c r="BV31" i="4"/>
  <c r="BU31" i="4"/>
  <c r="BT31" i="4"/>
  <c r="BS31" i="4"/>
  <c r="BR31" i="4"/>
  <c r="BQ31" i="4"/>
  <c r="BP31" i="4"/>
  <c r="BO31" i="4"/>
  <c r="BN31" i="4"/>
  <c r="BM31" i="4"/>
  <c r="BL31" i="4"/>
  <c r="BK31" i="4"/>
  <c r="BJ31" i="4"/>
  <c r="BI31" i="4"/>
  <c r="BH31" i="4"/>
  <c r="BG31" i="4"/>
  <c r="BF31" i="4"/>
  <c r="BE31" i="4"/>
  <c r="BD31" i="4"/>
  <c r="BC31" i="4"/>
  <c r="BB31" i="4"/>
  <c r="BA31" i="4"/>
  <c r="AZ31" i="4"/>
  <c r="AY31" i="4"/>
  <c r="AX31" i="4"/>
  <c r="AW31" i="4"/>
  <c r="AV31" i="4"/>
  <c r="AU31" i="4"/>
  <c r="AT31" i="4"/>
  <c r="AS31" i="4"/>
  <c r="AR31" i="4"/>
  <c r="AQ31" i="4"/>
  <c r="AP31" i="4"/>
  <c r="AO31" i="4"/>
  <c r="AN31" i="4"/>
  <c r="AM31" i="4"/>
  <c r="AL31" i="4"/>
  <c r="AK31" i="4"/>
  <c r="AJ31" i="4"/>
  <c r="AI31" i="4"/>
  <c r="AH31" i="4"/>
  <c r="AG31" i="4"/>
  <c r="AF31" i="4"/>
  <c r="AE31" i="4"/>
  <c r="AD31" i="4"/>
  <c r="AC31" i="4"/>
  <c r="AB31" i="4"/>
  <c r="AA31" i="4"/>
  <c r="Z31" i="4"/>
  <c r="Y31" i="4"/>
  <c r="X31" i="4"/>
  <c r="W31" i="4"/>
  <c r="V31" i="4"/>
  <c r="U31" i="4"/>
  <c r="T31" i="4"/>
  <c r="S31" i="4"/>
  <c r="TD30" i="4"/>
  <c r="HK30" i="4"/>
  <c r="HJ30" i="4"/>
  <c r="HI30" i="4"/>
  <c r="HH30" i="4"/>
  <c r="HG30" i="4"/>
  <c r="HF30" i="4"/>
  <c r="HE30" i="4"/>
  <c r="HD30" i="4"/>
  <c r="HC30" i="4"/>
  <c r="HB30" i="4"/>
  <c r="HA30" i="4"/>
  <c r="GZ30" i="4"/>
  <c r="GY30" i="4"/>
  <c r="GX30" i="4"/>
  <c r="GW30" i="4"/>
  <c r="GV30" i="4"/>
  <c r="GU30" i="4"/>
  <c r="GT30" i="4"/>
  <c r="GS30" i="4"/>
  <c r="GR30" i="4"/>
  <c r="GQ30" i="4"/>
  <c r="GP30" i="4"/>
  <c r="GO30" i="4"/>
  <c r="GN30" i="4"/>
  <c r="GM30" i="4"/>
  <c r="GL30" i="4"/>
  <c r="GK30" i="4"/>
  <c r="GJ30" i="4"/>
  <c r="GI30" i="4"/>
  <c r="GH30" i="4"/>
  <c r="GG30" i="4"/>
  <c r="GF30" i="4"/>
  <c r="GE30" i="4"/>
  <c r="GD30" i="4"/>
  <c r="GC30" i="4"/>
  <c r="GB30" i="4"/>
  <c r="GA30" i="4"/>
  <c r="FZ30" i="4"/>
  <c r="FY30" i="4"/>
  <c r="FX30" i="4"/>
  <c r="FW30" i="4"/>
  <c r="FV30" i="4"/>
  <c r="FU30" i="4"/>
  <c r="FT30" i="4"/>
  <c r="FS30" i="4"/>
  <c r="FR30" i="4"/>
  <c r="FQ30" i="4"/>
  <c r="FP30" i="4"/>
  <c r="FO30" i="4"/>
  <c r="FN30" i="4"/>
  <c r="FM30" i="4"/>
  <c r="FL30" i="4"/>
  <c r="FK30" i="4"/>
  <c r="FJ30" i="4"/>
  <c r="FI30" i="4"/>
  <c r="FH30" i="4"/>
  <c r="FG30" i="4"/>
  <c r="FF30" i="4"/>
  <c r="FE30" i="4"/>
  <c r="FD30" i="4"/>
  <c r="FC30" i="4"/>
  <c r="FB30" i="4"/>
  <c r="FA30" i="4"/>
  <c r="EZ30" i="4"/>
  <c r="EY30" i="4"/>
  <c r="EX30" i="4"/>
  <c r="EW30" i="4"/>
  <c r="EV30" i="4"/>
  <c r="EU30" i="4"/>
  <c r="ET30" i="4"/>
  <c r="ES30" i="4"/>
  <c r="ER30" i="4"/>
  <c r="EQ30" i="4"/>
  <c r="EP30" i="4"/>
  <c r="EO30" i="4"/>
  <c r="EN30" i="4"/>
  <c r="EM30" i="4"/>
  <c r="EL30" i="4"/>
  <c r="EK30" i="4"/>
  <c r="EJ30" i="4"/>
  <c r="EI30" i="4"/>
  <c r="EH30" i="4"/>
  <c r="EG30" i="4"/>
  <c r="EF30" i="4"/>
  <c r="EE30" i="4"/>
  <c r="ED30" i="4"/>
  <c r="EC30" i="4"/>
  <c r="EB30" i="4"/>
  <c r="EA30" i="4"/>
  <c r="DZ30" i="4"/>
  <c r="DY30" i="4"/>
  <c r="DX30" i="4"/>
  <c r="DW30" i="4"/>
  <c r="DV30" i="4"/>
  <c r="DU30" i="4"/>
  <c r="DT30" i="4"/>
  <c r="DS30" i="4"/>
  <c r="DR30" i="4"/>
  <c r="DQ30" i="4"/>
  <c r="DP30" i="4"/>
  <c r="DO30" i="4"/>
  <c r="DN30" i="4"/>
  <c r="DM30" i="4"/>
  <c r="DL30" i="4"/>
  <c r="DK30" i="4"/>
  <c r="DJ30" i="4"/>
  <c r="DI30" i="4"/>
  <c r="DH30" i="4"/>
  <c r="DG30" i="4"/>
  <c r="DF30" i="4"/>
  <c r="DE30" i="4"/>
  <c r="DD30" i="4"/>
  <c r="DC30" i="4"/>
  <c r="DB30" i="4"/>
  <c r="DA30" i="4"/>
  <c r="CZ30" i="4"/>
  <c r="CY30" i="4"/>
  <c r="CX30" i="4"/>
  <c r="CW30" i="4"/>
  <c r="CV30" i="4"/>
  <c r="CU30" i="4"/>
  <c r="CT30" i="4"/>
  <c r="CS30" i="4"/>
  <c r="CR30" i="4"/>
  <c r="CQ30" i="4"/>
  <c r="CP30" i="4"/>
  <c r="CO30" i="4"/>
  <c r="CN30" i="4"/>
  <c r="CM30" i="4"/>
  <c r="CL30" i="4"/>
  <c r="CK30" i="4"/>
  <c r="CJ30" i="4"/>
  <c r="CI30" i="4"/>
  <c r="CH30" i="4"/>
  <c r="CG30" i="4"/>
  <c r="CF30" i="4"/>
  <c r="CE30" i="4"/>
  <c r="CD30" i="4"/>
  <c r="CC30" i="4"/>
  <c r="CB30" i="4"/>
  <c r="CA30" i="4"/>
  <c r="BZ30" i="4"/>
  <c r="BY30" i="4"/>
  <c r="BX30" i="4"/>
  <c r="BW30" i="4"/>
  <c r="BV30" i="4"/>
  <c r="BU30" i="4"/>
  <c r="BT30" i="4"/>
  <c r="BS30" i="4"/>
  <c r="BR30" i="4"/>
  <c r="BQ30" i="4"/>
  <c r="BP30" i="4"/>
  <c r="BO30" i="4"/>
  <c r="BN30" i="4"/>
  <c r="BM30" i="4"/>
  <c r="BL30" i="4"/>
  <c r="BK30" i="4"/>
  <c r="BJ30" i="4"/>
  <c r="BI30" i="4"/>
  <c r="BH30" i="4"/>
  <c r="BG30" i="4"/>
  <c r="BF30" i="4"/>
  <c r="BE30" i="4"/>
  <c r="BD30" i="4"/>
  <c r="BC30" i="4"/>
  <c r="BB30" i="4"/>
  <c r="BA30" i="4"/>
  <c r="AZ30" i="4"/>
  <c r="AY30" i="4"/>
  <c r="AX30" i="4"/>
  <c r="AW30" i="4"/>
  <c r="AV30" i="4"/>
  <c r="AU30" i="4"/>
  <c r="AT30" i="4"/>
  <c r="AS30" i="4"/>
  <c r="AR30" i="4"/>
  <c r="AQ30" i="4"/>
  <c r="AP30" i="4"/>
  <c r="AO30" i="4"/>
  <c r="AN30" i="4"/>
  <c r="AM30" i="4"/>
  <c r="AL30" i="4"/>
  <c r="AK30" i="4"/>
  <c r="AJ30" i="4"/>
  <c r="AI30" i="4"/>
  <c r="AH30" i="4"/>
  <c r="AG30" i="4"/>
  <c r="AF30" i="4"/>
  <c r="AE30" i="4"/>
  <c r="AD30" i="4"/>
  <c r="AC30" i="4"/>
  <c r="AB30" i="4"/>
  <c r="AA30" i="4"/>
  <c r="Z30" i="4"/>
  <c r="Y30" i="4"/>
  <c r="X30" i="4"/>
  <c r="W30" i="4"/>
  <c r="V30" i="4"/>
  <c r="U30" i="4"/>
  <c r="T30" i="4"/>
  <c r="S30" i="4"/>
  <c r="TD29" i="4"/>
  <c r="HK29" i="4"/>
  <c r="HJ29" i="4"/>
  <c r="HI29" i="4"/>
  <c r="HH29" i="4"/>
  <c r="HG29" i="4"/>
  <c r="HF29" i="4"/>
  <c r="HE29" i="4"/>
  <c r="HD29" i="4"/>
  <c r="HC29" i="4"/>
  <c r="HB29" i="4"/>
  <c r="HA29" i="4"/>
  <c r="GZ29" i="4"/>
  <c r="GY29" i="4"/>
  <c r="GX29" i="4"/>
  <c r="GW29" i="4"/>
  <c r="GV29" i="4"/>
  <c r="GU29" i="4"/>
  <c r="GT29" i="4"/>
  <c r="GS29" i="4"/>
  <c r="GR29" i="4"/>
  <c r="GQ29" i="4"/>
  <c r="GP29" i="4"/>
  <c r="GO29" i="4"/>
  <c r="GN29" i="4"/>
  <c r="GM29" i="4"/>
  <c r="GL29" i="4"/>
  <c r="GK29" i="4"/>
  <c r="GJ29" i="4"/>
  <c r="GI29" i="4"/>
  <c r="GH29" i="4"/>
  <c r="GG29" i="4"/>
  <c r="GF29" i="4"/>
  <c r="GE29" i="4"/>
  <c r="GD29" i="4"/>
  <c r="GC29" i="4"/>
  <c r="GB29" i="4"/>
  <c r="GA29" i="4"/>
  <c r="FZ29" i="4"/>
  <c r="FY29" i="4"/>
  <c r="FX29" i="4"/>
  <c r="FW29" i="4"/>
  <c r="FV29" i="4"/>
  <c r="FU29" i="4"/>
  <c r="FT29" i="4"/>
  <c r="FS29" i="4"/>
  <c r="FR29" i="4"/>
  <c r="FQ29" i="4"/>
  <c r="FP29" i="4"/>
  <c r="FO29" i="4"/>
  <c r="FN29" i="4"/>
  <c r="FM29" i="4"/>
  <c r="FL29" i="4"/>
  <c r="FK29" i="4"/>
  <c r="FJ29" i="4"/>
  <c r="FI29" i="4"/>
  <c r="FH29" i="4"/>
  <c r="FG29" i="4"/>
  <c r="FF29" i="4"/>
  <c r="FE29" i="4"/>
  <c r="FD29" i="4"/>
  <c r="FC29" i="4"/>
  <c r="FB29" i="4"/>
  <c r="FA29" i="4"/>
  <c r="EZ29" i="4"/>
  <c r="EY29" i="4"/>
  <c r="EX29" i="4"/>
  <c r="EW29" i="4"/>
  <c r="EV29" i="4"/>
  <c r="EU29" i="4"/>
  <c r="ET29" i="4"/>
  <c r="ES29" i="4"/>
  <c r="ER29" i="4"/>
  <c r="EQ29" i="4"/>
  <c r="EP29" i="4"/>
  <c r="EO29" i="4"/>
  <c r="EN29" i="4"/>
  <c r="EM29" i="4"/>
  <c r="EL29" i="4"/>
  <c r="EK29" i="4"/>
  <c r="EJ29" i="4"/>
  <c r="EI29" i="4"/>
  <c r="EH29" i="4"/>
  <c r="EG29" i="4"/>
  <c r="EF29" i="4"/>
  <c r="EE29" i="4"/>
  <c r="ED29" i="4"/>
  <c r="EC29" i="4"/>
  <c r="EB29" i="4"/>
  <c r="EA29" i="4"/>
  <c r="DZ29" i="4"/>
  <c r="DY29" i="4"/>
  <c r="DX29" i="4"/>
  <c r="DW29" i="4"/>
  <c r="DV29" i="4"/>
  <c r="DU29" i="4"/>
  <c r="DT29" i="4"/>
  <c r="DS29" i="4"/>
  <c r="DR29" i="4"/>
  <c r="DQ29" i="4"/>
  <c r="DP29" i="4"/>
  <c r="DO29" i="4"/>
  <c r="DN29" i="4"/>
  <c r="DM29" i="4"/>
  <c r="DL29" i="4"/>
  <c r="DK29" i="4"/>
  <c r="DJ29" i="4"/>
  <c r="DI29" i="4"/>
  <c r="DH29" i="4"/>
  <c r="DG29" i="4"/>
  <c r="DF29" i="4"/>
  <c r="DE29" i="4"/>
  <c r="DD29" i="4"/>
  <c r="DC29" i="4"/>
  <c r="DB29" i="4"/>
  <c r="DA29" i="4"/>
  <c r="CZ29" i="4"/>
  <c r="CY29" i="4"/>
  <c r="CX29" i="4"/>
  <c r="CW29" i="4"/>
  <c r="CV29" i="4"/>
  <c r="CU29" i="4"/>
  <c r="CT29" i="4"/>
  <c r="CS29" i="4"/>
  <c r="CR29" i="4"/>
  <c r="CQ29" i="4"/>
  <c r="CP29" i="4"/>
  <c r="CO29" i="4"/>
  <c r="CN29" i="4"/>
  <c r="CM29" i="4"/>
  <c r="CL29" i="4"/>
  <c r="CK29" i="4"/>
  <c r="CJ29" i="4"/>
  <c r="CI29" i="4"/>
  <c r="CH29" i="4"/>
  <c r="CG29" i="4"/>
  <c r="CF29" i="4"/>
  <c r="CE29" i="4"/>
  <c r="CD29" i="4"/>
  <c r="CC29" i="4"/>
  <c r="CB29" i="4"/>
  <c r="CA29" i="4"/>
  <c r="BZ29" i="4"/>
  <c r="BY29" i="4"/>
  <c r="BX29" i="4"/>
  <c r="BW29" i="4"/>
  <c r="BV29" i="4"/>
  <c r="BU29" i="4"/>
  <c r="BT29" i="4"/>
  <c r="BS29" i="4"/>
  <c r="BR29" i="4"/>
  <c r="BQ29" i="4"/>
  <c r="BP29" i="4"/>
  <c r="BO29" i="4"/>
  <c r="BN29" i="4"/>
  <c r="BM29" i="4"/>
  <c r="BL29" i="4"/>
  <c r="BK29" i="4"/>
  <c r="BJ29" i="4"/>
  <c r="BI29" i="4"/>
  <c r="BH29" i="4"/>
  <c r="BG29" i="4"/>
  <c r="BF29" i="4"/>
  <c r="BE29" i="4"/>
  <c r="BD29" i="4"/>
  <c r="BC29" i="4"/>
  <c r="BB29" i="4"/>
  <c r="BA29" i="4"/>
  <c r="AZ29" i="4"/>
  <c r="AY29" i="4"/>
  <c r="AX29" i="4"/>
  <c r="AW29" i="4"/>
  <c r="AV29" i="4"/>
  <c r="AU29" i="4"/>
  <c r="AT29" i="4"/>
  <c r="AS29" i="4"/>
  <c r="AR29" i="4"/>
  <c r="AQ29" i="4"/>
  <c r="AP29" i="4"/>
  <c r="AO29" i="4"/>
  <c r="AN29" i="4"/>
  <c r="AM29" i="4"/>
  <c r="AL29" i="4"/>
  <c r="AK29" i="4"/>
  <c r="AJ29" i="4"/>
  <c r="AI29" i="4"/>
  <c r="AH29" i="4"/>
  <c r="AG29" i="4"/>
  <c r="AF29" i="4"/>
  <c r="AE29" i="4"/>
  <c r="AD29" i="4"/>
  <c r="AC29" i="4"/>
  <c r="AB29" i="4"/>
  <c r="AA29" i="4"/>
  <c r="Z29" i="4"/>
  <c r="Y29" i="4"/>
  <c r="X29" i="4"/>
  <c r="W29" i="4"/>
  <c r="V29" i="4"/>
  <c r="U29" i="4"/>
  <c r="T29" i="4"/>
  <c r="S29" i="4"/>
  <c r="TD28" i="4"/>
  <c r="HK28" i="4"/>
  <c r="HJ28" i="4"/>
  <c r="HI28" i="4"/>
  <c r="HH28" i="4"/>
  <c r="HG28" i="4"/>
  <c r="HF28" i="4"/>
  <c r="HE28" i="4"/>
  <c r="HD28" i="4"/>
  <c r="HC28" i="4"/>
  <c r="HB28" i="4"/>
  <c r="HA28" i="4"/>
  <c r="GZ28" i="4"/>
  <c r="GY28" i="4"/>
  <c r="GX28" i="4"/>
  <c r="GW28" i="4"/>
  <c r="GV28" i="4"/>
  <c r="GU28" i="4"/>
  <c r="GT28" i="4"/>
  <c r="GS28" i="4"/>
  <c r="GR28" i="4"/>
  <c r="GQ28" i="4"/>
  <c r="GP28" i="4"/>
  <c r="GO28" i="4"/>
  <c r="GN28" i="4"/>
  <c r="GM28" i="4"/>
  <c r="GL28" i="4"/>
  <c r="GK28" i="4"/>
  <c r="GJ28" i="4"/>
  <c r="GI28" i="4"/>
  <c r="GH28" i="4"/>
  <c r="GG28" i="4"/>
  <c r="GF28" i="4"/>
  <c r="GE28" i="4"/>
  <c r="GD28" i="4"/>
  <c r="GC28" i="4"/>
  <c r="GB28" i="4"/>
  <c r="GA28" i="4"/>
  <c r="FZ28" i="4"/>
  <c r="FY28" i="4"/>
  <c r="FX28" i="4"/>
  <c r="FW28" i="4"/>
  <c r="FV28" i="4"/>
  <c r="FU28" i="4"/>
  <c r="FT28" i="4"/>
  <c r="FS28" i="4"/>
  <c r="FR28" i="4"/>
  <c r="FQ28" i="4"/>
  <c r="FP28" i="4"/>
  <c r="FO28" i="4"/>
  <c r="FN28" i="4"/>
  <c r="FM28" i="4"/>
  <c r="FL28" i="4"/>
  <c r="FK28" i="4"/>
  <c r="FJ28" i="4"/>
  <c r="FI28" i="4"/>
  <c r="FH28" i="4"/>
  <c r="FG28" i="4"/>
  <c r="FF28" i="4"/>
  <c r="FE28" i="4"/>
  <c r="FD28" i="4"/>
  <c r="FC28" i="4"/>
  <c r="FB28" i="4"/>
  <c r="FA28" i="4"/>
  <c r="EZ28" i="4"/>
  <c r="EY28" i="4"/>
  <c r="EX28" i="4"/>
  <c r="EW28" i="4"/>
  <c r="EV28" i="4"/>
  <c r="EU28" i="4"/>
  <c r="ET28" i="4"/>
  <c r="ES28" i="4"/>
  <c r="ER28" i="4"/>
  <c r="EQ28" i="4"/>
  <c r="EP28" i="4"/>
  <c r="EO28" i="4"/>
  <c r="EN28" i="4"/>
  <c r="EM28" i="4"/>
  <c r="EL28" i="4"/>
  <c r="EK28" i="4"/>
  <c r="EJ28" i="4"/>
  <c r="EI28" i="4"/>
  <c r="EH28" i="4"/>
  <c r="EG28" i="4"/>
  <c r="EF28" i="4"/>
  <c r="EE28" i="4"/>
  <c r="ED28" i="4"/>
  <c r="EC28" i="4"/>
  <c r="EB28" i="4"/>
  <c r="EA28" i="4"/>
  <c r="DZ28" i="4"/>
  <c r="DY28" i="4"/>
  <c r="DX28" i="4"/>
  <c r="DW28" i="4"/>
  <c r="DV28" i="4"/>
  <c r="DU28" i="4"/>
  <c r="DT28" i="4"/>
  <c r="DS28" i="4"/>
  <c r="DR28" i="4"/>
  <c r="DQ28" i="4"/>
  <c r="DP28" i="4"/>
  <c r="DO28" i="4"/>
  <c r="DN28" i="4"/>
  <c r="DM28" i="4"/>
  <c r="DL28" i="4"/>
  <c r="DK28" i="4"/>
  <c r="DJ28" i="4"/>
  <c r="DI28" i="4"/>
  <c r="DH28" i="4"/>
  <c r="DG28" i="4"/>
  <c r="DF28" i="4"/>
  <c r="DE28" i="4"/>
  <c r="DD28" i="4"/>
  <c r="DC28" i="4"/>
  <c r="DB28" i="4"/>
  <c r="DA28" i="4"/>
  <c r="CZ28" i="4"/>
  <c r="CY28" i="4"/>
  <c r="CX28" i="4"/>
  <c r="CW28" i="4"/>
  <c r="CV28" i="4"/>
  <c r="CU28" i="4"/>
  <c r="CT28" i="4"/>
  <c r="CS28" i="4"/>
  <c r="CR28" i="4"/>
  <c r="CQ28" i="4"/>
  <c r="CP28" i="4"/>
  <c r="CO28" i="4"/>
  <c r="CN28" i="4"/>
  <c r="CM28" i="4"/>
  <c r="CL28" i="4"/>
  <c r="CK28" i="4"/>
  <c r="CJ28" i="4"/>
  <c r="CI28" i="4"/>
  <c r="CH28" i="4"/>
  <c r="CG28" i="4"/>
  <c r="CF28" i="4"/>
  <c r="CE28" i="4"/>
  <c r="CD28" i="4"/>
  <c r="CC28" i="4"/>
  <c r="CB28" i="4"/>
  <c r="CA28" i="4"/>
  <c r="BZ28" i="4"/>
  <c r="BY28" i="4"/>
  <c r="BX28" i="4"/>
  <c r="BW28" i="4"/>
  <c r="BV28" i="4"/>
  <c r="BU28" i="4"/>
  <c r="BT28" i="4"/>
  <c r="BS28" i="4"/>
  <c r="BR28" i="4"/>
  <c r="BQ28" i="4"/>
  <c r="BP28" i="4"/>
  <c r="BO28" i="4"/>
  <c r="BN28" i="4"/>
  <c r="BM28" i="4"/>
  <c r="BL28" i="4"/>
  <c r="BK28" i="4"/>
  <c r="BJ28" i="4"/>
  <c r="BI28" i="4"/>
  <c r="BH28" i="4"/>
  <c r="BG28" i="4"/>
  <c r="BF28" i="4"/>
  <c r="BE28" i="4"/>
  <c r="BD28" i="4"/>
  <c r="BC28" i="4"/>
  <c r="BB28" i="4"/>
  <c r="BA28" i="4"/>
  <c r="AZ28" i="4"/>
  <c r="AY28" i="4"/>
  <c r="AX28" i="4"/>
  <c r="AW28" i="4"/>
  <c r="AV28" i="4"/>
  <c r="AU28" i="4"/>
  <c r="AT28" i="4"/>
  <c r="AS28" i="4"/>
  <c r="AR28" i="4"/>
  <c r="AQ28" i="4"/>
  <c r="AP28" i="4"/>
  <c r="AO28" i="4"/>
  <c r="AN28" i="4"/>
  <c r="AM28" i="4"/>
  <c r="AL28" i="4"/>
  <c r="AK28" i="4"/>
  <c r="AJ28" i="4"/>
  <c r="AI28" i="4"/>
  <c r="AH28" i="4"/>
  <c r="AG28" i="4"/>
  <c r="AF28" i="4"/>
  <c r="AE28" i="4"/>
  <c r="AD28" i="4"/>
  <c r="AC28" i="4"/>
  <c r="AB28" i="4"/>
  <c r="AA28" i="4"/>
  <c r="Z28" i="4"/>
  <c r="Y28" i="4"/>
  <c r="X28" i="4"/>
  <c r="W28" i="4"/>
  <c r="V28" i="4"/>
  <c r="U28" i="4"/>
  <c r="T28" i="4"/>
  <c r="S28" i="4"/>
  <c r="TD27" i="4"/>
  <c r="HK27" i="4"/>
  <c r="HJ27" i="4"/>
  <c r="HI27" i="4"/>
  <c r="HH27" i="4"/>
  <c r="HG27" i="4"/>
  <c r="HF27" i="4"/>
  <c r="HE27" i="4"/>
  <c r="HD27" i="4"/>
  <c r="HC27" i="4"/>
  <c r="HB27" i="4"/>
  <c r="HA27" i="4"/>
  <c r="GZ27" i="4"/>
  <c r="GY27" i="4"/>
  <c r="GX27" i="4"/>
  <c r="GW27" i="4"/>
  <c r="GV27" i="4"/>
  <c r="GU27" i="4"/>
  <c r="GT27" i="4"/>
  <c r="GS27" i="4"/>
  <c r="GR27" i="4"/>
  <c r="GQ27" i="4"/>
  <c r="GP27" i="4"/>
  <c r="GO27" i="4"/>
  <c r="GN27" i="4"/>
  <c r="GM27" i="4"/>
  <c r="GL27" i="4"/>
  <c r="GK27" i="4"/>
  <c r="GJ27" i="4"/>
  <c r="GI27" i="4"/>
  <c r="GH27" i="4"/>
  <c r="GG27" i="4"/>
  <c r="GF27" i="4"/>
  <c r="GE27" i="4"/>
  <c r="GD27" i="4"/>
  <c r="GC27" i="4"/>
  <c r="GB27" i="4"/>
  <c r="GA27" i="4"/>
  <c r="FZ27" i="4"/>
  <c r="FY27" i="4"/>
  <c r="FX27" i="4"/>
  <c r="FW27" i="4"/>
  <c r="FV27" i="4"/>
  <c r="FU27" i="4"/>
  <c r="FT27" i="4"/>
  <c r="FS27" i="4"/>
  <c r="FR27" i="4"/>
  <c r="FQ27" i="4"/>
  <c r="FP27" i="4"/>
  <c r="FO27" i="4"/>
  <c r="FN27" i="4"/>
  <c r="FM27" i="4"/>
  <c r="FL27" i="4"/>
  <c r="FK27" i="4"/>
  <c r="FJ27" i="4"/>
  <c r="FI27" i="4"/>
  <c r="FH27" i="4"/>
  <c r="FG27" i="4"/>
  <c r="FF27" i="4"/>
  <c r="FE27" i="4"/>
  <c r="FD27" i="4"/>
  <c r="FC27" i="4"/>
  <c r="FB27" i="4"/>
  <c r="FA27" i="4"/>
  <c r="EZ27" i="4"/>
  <c r="EY27" i="4"/>
  <c r="EX27" i="4"/>
  <c r="EW27" i="4"/>
  <c r="EV27" i="4"/>
  <c r="EU27" i="4"/>
  <c r="ET27" i="4"/>
  <c r="ES27" i="4"/>
  <c r="ER27" i="4"/>
  <c r="EQ27" i="4"/>
  <c r="EP27" i="4"/>
  <c r="EO27" i="4"/>
  <c r="EN27" i="4"/>
  <c r="EM27" i="4"/>
  <c r="EL27" i="4"/>
  <c r="EK27" i="4"/>
  <c r="EJ27" i="4"/>
  <c r="EI27" i="4"/>
  <c r="EH27" i="4"/>
  <c r="EG27" i="4"/>
  <c r="EF27" i="4"/>
  <c r="EE27" i="4"/>
  <c r="ED27" i="4"/>
  <c r="EC27" i="4"/>
  <c r="EB27" i="4"/>
  <c r="EA27" i="4"/>
  <c r="DZ27" i="4"/>
  <c r="DY27" i="4"/>
  <c r="DX27" i="4"/>
  <c r="DW27" i="4"/>
  <c r="DV27" i="4"/>
  <c r="DU27" i="4"/>
  <c r="DT27" i="4"/>
  <c r="DS27" i="4"/>
  <c r="DR27" i="4"/>
  <c r="DQ27" i="4"/>
  <c r="DP27" i="4"/>
  <c r="DO27" i="4"/>
  <c r="DN27" i="4"/>
  <c r="DM27" i="4"/>
  <c r="DL27" i="4"/>
  <c r="DK27" i="4"/>
  <c r="DJ27" i="4"/>
  <c r="DI27" i="4"/>
  <c r="DH27" i="4"/>
  <c r="DG27" i="4"/>
  <c r="DF27" i="4"/>
  <c r="DE27" i="4"/>
  <c r="DD27" i="4"/>
  <c r="DC27" i="4"/>
  <c r="DB27" i="4"/>
  <c r="DA27" i="4"/>
  <c r="CZ27" i="4"/>
  <c r="CY27" i="4"/>
  <c r="CX27" i="4"/>
  <c r="CW27" i="4"/>
  <c r="CV27" i="4"/>
  <c r="CU27" i="4"/>
  <c r="CT27" i="4"/>
  <c r="CS27" i="4"/>
  <c r="CR27" i="4"/>
  <c r="CQ27" i="4"/>
  <c r="CP27" i="4"/>
  <c r="CO27" i="4"/>
  <c r="CN27" i="4"/>
  <c r="CM27" i="4"/>
  <c r="CL27" i="4"/>
  <c r="CK27" i="4"/>
  <c r="CJ27" i="4"/>
  <c r="CI27" i="4"/>
  <c r="CH27" i="4"/>
  <c r="CG27" i="4"/>
  <c r="CF27" i="4"/>
  <c r="CE27" i="4"/>
  <c r="CD27" i="4"/>
  <c r="CC27" i="4"/>
  <c r="CB27" i="4"/>
  <c r="CA27" i="4"/>
  <c r="BZ27" i="4"/>
  <c r="BY27" i="4"/>
  <c r="BX27" i="4"/>
  <c r="BW27" i="4"/>
  <c r="BV27" i="4"/>
  <c r="BU27" i="4"/>
  <c r="BT27" i="4"/>
  <c r="BS27" i="4"/>
  <c r="BR27" i="4"/>
  <c r="BQ27" i="4"/>
  <c r="BP27" i="4"/>
  <c r="BO27" i="4"/>
  <c r="BN27" i="4"/>
  <c r="BM27" i="4"/>
  <c r="BL27" i="4"/>
  <c r="BK27" i="4"/>
  <c r="BJ27" i="4"/>
  <c r="BI27" i="4"/>
  <c r="BH27" i="4"/>
  <c r="BG27" i="4"/>
  <c r="BF27" i="4"/>
  <c r="BE27" i="4"/>
  <c r="BD27" i="4"/>
  <c r="BC27" i="4"/>
  <c r="BB27" i="4"/>
  <c r="BA27" i="4"/>
  <c r="AZ27" i="4"/>
  <c r="AY27" i="4"/>
  <c r="AX27" i="4"/>
  <c r="AW27" i="4"/>
  <c r="AV27" i="4"/>
  <c r="AU27" i="4"/>
  <c r="AT27" i="4"/>
  <c r="AS27" i="4"/>
  <c r="AR27" i="4"/>
  <c r="AQ27" i="4"/>
  <c r="AP27" i="4"/>
  <c r="AO27" i="4"/>
  <c r="AN27" i="4"/>
  <c r="AM27" i="4"/>
  <c r="AL27" i="4"/>
  <c r="AK27" i="4"/>
  <c r="AJ27" i="4"/>
  <c r="AI27" i="4"/>
  <c r="AH27" i="4"/>
  <c r="AG27" i="4"/>
  <c r="AF27" i="4"/>
  <c r="AE27" i="4"/>
  <c r="AD27" i="4"/>
  <c r="AC27" i="4"/>
  <c r="AB27" i="4"/>
  <c r="AA27" i="4"/>
  <c r="Z27" i="4"/>
  <c r="Y27" i="4"/>
  <c r="X27" i="4"/>
  <c r="W27" i="4"/>
  <c r="V27" i="4"/>
  <c r="U27" i="4"/>
  <c r="T27" i="4"/>
  <c r="S27" i="4"/>
  <c r="TD26" i="4"/>
  <c r="HK26" i="4"/>
  <c r="HJ26" i="4"/>
  <c r="HI26" i="4"/>
  <c r="HH26" i="4"/>
  <c r="HG26" i="4"/>
  <c r="HF26" i="4"/>
  <c r="HE26" i="4"/>
  <c r="HD26" i="4"/>
  <c r="HC26" i="4"/>
  <c r="HB26" i="4"/>
  <c r="HA26" i="4"/>
  <c r="GZ26" i="4"/>
  <c r="GY26" i="4"/>
  <c r="GX26" i="4"/>
  <c r="GW26" i="4"/>
  <c r="GV26" i="4"/>
  <c r="GU26" i="4"/>
  <c r="GT26" i="4"/>
  <c r="GS26" i="4"/>
  <c r="GR26" i="4"/>
  <c r="GQ26" i="4"/>
  <c r="GP26" i="4"/>
  <c r="GO26" i="4"/>
  <c r="GN26" i="4"/>
  <c r="GM26" i="4"/>
  <c r="GL26" i="4"/>
  <c r="GK26" i="4"/>
  <c r="GJ26" i="4"/>
  <c r="GI26" i="4"/>
  <c r="GH26" i="4"/>
  <c r="GG26" i="4"/>
  <c r="GF26" i="4"/>
  <c r="GE26" i="4"/>
  <c r="GD26" i="4"/>
  <c r="GC26" i="4"/>
  <c r="GB26" i="4"/>
  <c r="GA26" i="4"/>
  <c r="FZ26" i="4"/>
  <c r="FY26" i="4"/>
  <c r="FX26" i="4"/>
  <c r="FW26" i="4"/>
  <c r="FV26" i="4"/>
  <c r="FU26" i="4"/>
  <c r="FT26" i="4"/>
  <c r="FS26" i="4"/>
  <c r="FR26" i="4"/>
  <c r="FQ26" i="4"/>
  <c r="FP26" i="4"/>
  <c r="FO26" i="4"/>
  <c r="FN26" i="4"/>
  <c r="FM26" i="4"/>
  <c r="FL26" i="4"/>
  <c r="FK26" i="4"/>
  <c r="FJ26" i="4"/>
  <c r="FI26" i="4"/>
  <c r="FH26" i="4"/>
  <c r="FG26" i="4"/>
  <c r="FF26" i="4"/>
  <c r="FE26" i="4"/>
  <c r="FD26" i="4"/>
  <c r="FC26" i="4"/>
  <c r="FB26" i="4"/>
  <c r="FA26" i="4"/>
  <c r="EZ26" i="4"/>
  <c r="EY26" i="4"/>
  <c r="EX26" i="4"/>
  <c r="EW26" i="4"/>
  <c r="EV26" i="4"/>
  <c r="EU26" i="4"/>
  <c r="ET26" i="4"/>
  <c r="ES26" i="4"/>
  <c r="ER26" i="4"/>
  <c r="EQ26" i="4"/>
  <c r="EP26" i="4"/>
  <c r="EO26" i="4"/>
  <c r="EN26" i="4"/>
  <c r="EM26" i="4"/>
  <c r="EL26" i="4"/>
  <c r="EK26" i="4"/>
  <c r="EJ26" i="4"/>
  <c r="EI26" i="4"/>
  <c r="EH26" i="4"/>
  <c r="EG26" i="4"/>
  <c r="EF26" i="4"/>
  <c r="EE26" i="4"/>
  <c r="ED26" i="4"/>
  <c r="EC26" i="4"/>
  <c r="EB26" i="4"/>
  <c r="EA26" i="4"/>
  <c r="DZ26" i="4"/>
  <c r="DY26" i="4"/>
  <c r="DX26" i="4"/>
  <c r="DW26" i="4"/>
  <c r="DV26" i="4"/>
  <c r="DU26" i="4"/>
  <c r="DT26" i="4"/>
  <c r="DS26" i="4"/>
  <c r="DR26" i="4"/>
  <c r="DQ26" i="4"/>
  <c r="DP26" i="4"/>
  <c r="DO26" i="4"/>
  <c r="DN26" i="4"/>
  <c r="DM26" i="4"/>
  <c r="DL26" i="4"/>
  <c r="DK26" i="4"/>
  <c r="DJ26" i="4"/>
  <c r="DI26" i="4"/>
  <c r="DH26" i="4"/>
  <c r="DG26" i="4"/>
  <c r="DF26" i="4"/>
  <c r="DE26" i="4"/>
  <c r="DD26" i="4"/>
  <c r="DC26" i="4"/>
  <c r="DB26" i="4"/>
  <c r="DA26" i="4"/>
  <c r="CZ26" i="4"/>
  <c r="CY26" i="4"/>
  <c r="CX26" i="4"/>
  <c r="CW26" i="4"/>
  <c r="CV26" i="4"/>
  <c r="CU26" i="4"/>
  <c r="CT26" i="4"/>
  <c r="CS26" i="4"/>
  <c r="CR26" i="4"/>
  <c r="CQ26" i="4"/>
  <c r="CP26" i="4"/>
  <c r="CO26" i="4"/>
  <c r="CN26" i="4"/>
  <c r="CM26" i="4"/>
  <c r="CL26" i="4"/>
  <c r="CK26" i="4"/>
  <c r="CJ26" i="4"/>
  <c r="CI26" i="4"/>
  <c r="CH26" i="4"/>
  <c r="CG26" i="4"/>
  <c r="CF26" i="4"/>
  <c r="CE26" i="4"/>
  <c r="CD26" i="4"/>
  <c r="CC26" i="4"/>
  <c r="CB26" i="4"/>
  <c r="CA26" i="4"/>
  <c r="BZ26" i="4"/>
  <c r="BY26" i="4"/>
  <c r="BX26" i="4"/>
  <c r="BW26" i="4"/>
  <c r="BV26" i="4"/>
  <c r="BU26" i="4"/>
  <c r="BT26" i="4"/>
  <c r="BS26" i="4"/>
  <c r="BR26" i="4"/>
  <c r="BQ26" i="4"/>
  <c r="BP26" i="4"/>
  <c r="BO26" i="4"/>
  <c r="BN26" i="4"/>
  <c r="BM26" i="4"/>
  <c r="BL26" i="4"/>
  <c r="BK26" i="4"/>
  <c r="BJ26" i="4"/>
  <c r="BI26" i="4"/>
  <c r="BH26" i="4"/>
  <c r="BG26" i="4"/>
  <c r="BF26" i="4"/>
  <c r="BE26" i="4"/>
  <c r="BD26" i="4"/>
  <c r="BC26" i="4"/>
  <c r="BB26" i="4"/>
  <c r="BA26" i="4"/>
  <c r="AZ26" i="4"/>
  <c r="AY26" i="4"/>
  <c r="AX26" i="4"/>
  <c r="AW26" i="4"/>
  <c r="AV26" i="4"/>
  <c r="AU26" i="4"/>
  <c r="AT26" i="4"/>
  <c r="AS26" i="4"/>
  <c r="AR26" i="4"/>
  <c r="AQ26" i="4"/>
  <c r="AP26" i="4"/>
  <c r="AO26" i="4"/>
  <c r="AN26" i="4"/>
  <c r="AM26" i="4"/>
  <c r="AL26" i="4"/>
  <c r="AK26" i="4"/>
  <c r="AJ26" i="4"/>
  <c r="AI26" i="4"/>
  <c r="AH26" i="4"/>
  <c r="AG26" i="4"/>
  <c r="AF26" i="4"/>
  <c r="AE26" i="4"/>
  <c r="AD26" i="4"/>
  <c r="AC26" i="4"/>
  <c r="AB26" i="4"/>
  <c r="AA26" i="4"/>
  <c r="Z26" i="4"/>
  <c r="Y26" i="4"/>
  <c r="X26" i="4"/>
  <c r="W26" i="4"/>
  <c r="V26" i="4"/>
  <c r="U26" i="4"/>
  <c r="T26" i="4"/>
  <c r="S26" i="4"/>
  <c r="TD25" i="4"/>
  <c r="HK25" i="4"/>
  <c r="HJ25" i="4"/>
  <c r="HI25" i="4"/>
  <c r="HH25" i="4"/>
  <c r="HG25" i="4"/>
  <c r="HF25" i="4"/>
  <c r="HE25" i="4"/>
  <c r="HD25" i="4"/>
  <c r="HC25" i="4"/>
  <c r="HB25" i="4"/>
  <c r="HA25" i="4"/>
  <c r="GZ25" i="4"/>
  <c r="GY25" i="4"/>
  <c r="GX25" i="4"/>
  <c r="GW25" i="4"/>
  <c r="GV25" i="4"/>
  <c r="GU25" i="4"/>
  <c r="GT25" i="4"/>
  <c r="GS25" i="4"/>
  <c r="GR25" i="4"/>
  <c r="GQ25" i="4"/>
  <c r="GP25" i="4"/>
  <c r="GO25" i="4"/>
  <c r="GN25" i="4"/>
  <c r="GM25" i="4"/>
  <c r="GL25" i="4"/>
  <c r="GK25" i="4"/>
  <c r="GJ25" i="4"/>
  <c r="GI25" i="4"/>
  <c r="GH25" i="4"/>
  <c r="GG25" i="4"/>
  <c r="GF25" i="4"/>
  <c r="GE25" i="4"/>
  <c r="GD25" i="4"/>
  <c r="GC25" i="4"/>
  <c r="GB25" i="4"/>
  <c r="GA25" i="4"/>
  <c r="FZ25" i="4"/>
  <c r="FY25" i="4"/>
  <c r="FX25" i="4"/>
  <c r="FW25" i="4"/>
  <c r="FV25" i="4"/>
  <c r="FU25" i="4"/>
  <c r="FT25" i="4"/>
  <c r="FS25" i="4"/>
  <c r="FR25" i="4"/>
  <c r="FQ25" i="4"/>
  <c r="FP25" i="4"/>
  <c r="FO25" i="4"/>
  <c r="FN25" i="4"/>
  <c r="FM25" i="4"/>
  <c r="FL25" i="4"/>
  <c r="FK25" i="4"/>
  <c r="FJ25" i="4"/>
  <c r="FI25" i="4"/>
  <c r="FH25" i="4"/>
  <c r="FG25" i="4"/>
  <c r="FF25" i="4"/>
  <c r="FE25" i="4"/>
  <c r="FD25" i="4"/>
  <c r="FC25" i="4"/>
  <c r="FB25" i="4"/>
  <c r="FA25" i="4"/>
  <c r="EZ25" i="4"/>
  <c r="EY25" i="4"/>
  <c r="EX25" i="4"/>
  <c r="EW25" i="4"/>
  <c r="EV25" i="4"/>
  <c r="EU25" i="4"/>
  <c r="ET25" i="4"/>
  <c r="ES25" i="4"/>
  <c r="ER25" i="4"/>
  <c r="EQ25" i="4"/>
  <c r="EP25" i="4"/>
  <c r="EO25" i="4"/>
  <c r="EN25" i="4"/>
  <c r="EM25" i="4"/>
  <c r="EL25" i="4"/>
  <c r="EK25" i="4"/>
  <c r="EJ25" i="4"/>
  <c r="EI25" i="4"/>
  <c r="EH25" i="4"/>
  <c r="EG25" i="4"/>
  <c r="EF25" i="4"/>
  <c r="EE25" i="4"/>
  <c r="ED25" i="4"/>
  <c r="EC25" i="4"/>
  <c r="EB25" i="4"/>
  <c r="EA25" i="4"/>
  <c r="DZ25" i="4"/>
  <c r="DY25" i="4"/>
  <c r="DX25" i="4"/>
  <c r="DW25" i="4"/>
  <c r="DV25" i="4"/>
  <c r="DU25" i="4"/>
  <c r="DT25" i="4"/>
  <c r="DS25" i="4"/>
  <c r="DR25" i="4"/>
  <c r="DQ25" i="4"/>
  <c r="DP25" i="4"/>
  <c r="DO25" i="4"/>
  <c r="DN25" i="4"/>
  <c r="DM25" i="4"/>
  <c r="DL25" i="4"/>
  <c r="DK25" i="4"/>
  <c r="DJ25" i="4"/>
  <c r="DI25" i="4"/>
  <c r="DH25" i="4"/>
  <c r="DG25" i="4"/>
  <c r="DF25" i="4"/>
  <c r="DE25" i="4"/>
  <c r="DD25" i="4"/>
  <c r="DC25" i="4"/>
  <c r="DB25" i="4"/>
  <c r="DA25" i="4"/>
  <c r="CZ25" i="4"/>
  <c r="CY25" i="4"/>
  <c r="CX25" i="4"/>
  <c r="CW25" i="4"/>
  <c r="CV25" i="4"/>
  <c r="CU25" i="4"/>
  <c r="CT25" i="4"/>
  <c r="CS25" i="4"/>
  <c r="CR25" i="4"/>
  <c r="CQ25" i="4"/>
  <c r="CP25" i="4"/>
  <c r="CO25" i="4"/>
  <c r="CN25" i="4"/>
  <c r="CM25" i="4"/>
  <c r="CL25" i="4"/>
  <c r="CK25" i="4"/>
  <c r="CJ25" i="4"/>
  <c r="CI25" i="4"/>
  <c r="CH25" i="4"/>
  <c r="CG25" i="4"/>
  <c r="CF25" i="4"/>
  <c r="CE25" i="4"/>
  <c r="CD25" i="4"/>
  <c r="CC25" i="4"/>
  <c r="CB25" i="4"/>
  <c r="CA25" i="4"/>
  <c r="BZ25" i="4"/>
  <c r="BY25" i="4"/>
  <c r="BX25" i="4"/>
  <c r="BW25" i="4"/>
  <c r="BV25" i="4"/>
  <c r="BU25" i="4"/>
  <c r="BT25" i="4"/>
  <c r="BS25" i="4"/>
  <c r="BR25" i="4"/>
  <c r="BQ25" i="4"/>
  <c r="BP25" i="4"/>
  <c r="BO25" i="4"/>
  <c r="BN25" i="4"/>
  <c r="BM25" i="4"/>
  <c r="BL25" i="4"/>
  <c r="BK25" i="4"/>
  <c r="BJ25" i="4"/>
  <c r="BI25" i="4"/>
  <c r="BH25" i="4"/>
  <c r="BG25" i="4"/>
  <c r="BF25" i="4"/>
  <c r="BE25" i="4"/>
  <c r="BD25" i="4"/>
  <c r="BC25" i="4"/>
  <c r="BB25" i="4"/>
  <c r="BA25" i="4"/>
  <c r="AZ25" i="4"/>
  <c r="AY25" i="4"/>
  <c r="AX25" i="4"/>
  <c r="AW25" i="4"/>
  <c r="AV25" i="4"/>
  <c r="AU25" i="4"/>
  <c r="AT25" i="4"/>
  <c r="AS25" i="4"/>
  <c r="AR25" i="4"/>
  <c r="AQ25" i="4"/>
  <c r="AP25" i="4"/>
  <c r="AO25" i="4"/>
  <c r="AN25" i="4"/>
  <c r="AM25" i="4"/>
  <c r="AL25" i="4"/>
  <c r="AK25" i="4"/>
  <c r="AJ25" i="4"/>
  <c r="AI25" i="4"/>
  <c r="AH25" i="4"/>
  <c r="AG25" i="4"/>
  <c r="AF25" i="4"/>
  <c r="AE25" i="4"/>
  <c r="AD25" i="4"/>
  <c r="AC25" i="4"/>
  <c r="AB25" i="4"/>
  <c r="AA25" i="4"/>
  <c r="Z25" i="4"/>
  <c r="Y25" i="4"/>
  <c r="X25" i="4"/>
  <c r="W25" i="4"/>
  <c r="V25" i="4"/>
  <c r="U25" i="4"/>
  <c r="T25" i="4"/>
  <c r="S25" i="4"/>
  <c r="TD24" i="4"/>
  <c r="HK24" i="4"/>
  <c r="HJ24" i="4"/>
  <c r="HI24" i="4"/>
  <c r="HH24" i="4"/>
  <c r="HG24" i="4"/>
  <c r="HF24" i="4"/>
  <c r="HE24" i="4"/>
  <c r="HD24" i="4"/>
  <c r="HC24" i="4"/>
  <c r="HB24" i="4"/>
  <c r="HA24" i="4"/>
  <c r="GZ24" i="4"/>
  <c r="GY24" i="4"/>
  <c r="GX24" i="4"/>
  <c r="GW24" i="4"/>
  <c r="GV24" i="4"/>
  <c r="GU24" i="4"/>
  <c r="GT24" i="4"/>
  <c r="GS24" i="4"/>
  <c r="GR24" i="4"/>
  <c r="GQ24" i="4"/>
  <c r="GP24" i="4"/>
  <c r="GO24" i="4"/>
  <c r="GN24" i="4"/>
  <c r="GM24" i="4"/>
  <c r="GL24" i="4"/>
  <c r="GK24" i="4"/>
  <c r="GJ24" i="4"/>
  <c r="GI24" i="4"/>
  <c r="GH24" i="4"/>
  <c r="GG24" i="4"/>
  <c r="GF24" i="4"/>
  <c r="GE24" i="4"/>
  <c r="GD24" i="4"/>
  <c r="GC24" i="4"/>
  <c r="GB24" i="4"/>
  <c r="GA24" i="4"/>
  <c r="FZ24" i="4"/>
  <c r="FY24" i="4"/>
  <c r="FX24" i="4"/>
  <c r="FW24" i="4"/>
  <c r="FV24" i="4"/>
  <c r="FU24" i="4"/>
  <c r="FT24" i="4"/>
  <c r="FS24" i="4"/>
  <c r="FR24" i="4"/>
  <c r="FQ24" i="4"/>
  <c r="FP24" i="4"/>
  <c r="FO24" i="4"/>
  <c r="FN24" i="4"/>
  <c r="FM24" i="4"/>
  <c r="FL24" i="4"/>
  <c r="FK24" i="4"/>
  <c r="FJ24" i="4"/>
  <c r="FI24" i="4"/>
  <c r="FH24" i="4"/>
  <c r="FG24" i="4"/>
  <c r="FF24" i="4"/>
  <c r="FE24" i="4"/>
  <c r="FD24" i="4"/>
  <c r="FC24" i="4"/>
  <c r="FB24" i="4"/>
  <c r="FA24" i="4"/>
  <c r="EZ24" i="4"/>
  <c r="EY24" i="4"/>
  <c r="EX24" i="4"/>
  <c r="EW24" i="4"/>
  <c r="EV24" i="4"/>
  <c r="EU24" i="4"/>
  <c r="ET24" i="4"/>
  <c r="ES24" i="4"/>
  <c r="ER24" i="4"/>
  <c r="EQ24" i="4"/>
  <c r="EP24" i="4"/>
  <c r="EO24" i="4"/>
  <c r="EN24" i="4"/>
  <c r="EM24" i="4"/>
  <c r="EL24" i="4"/>
  <c r="EK24" i="4"/>
  <c r="EJ24" i="4"/>
  <c r="EI24" i="4"/>
  <c r="EH24" i="4"/>
  <c r="EG24" i="4"/>
  <c r="EF24" i="4"/>
  <c r="EE24" i="4"/>
  <c r="ED24" i="4"/>
  <c r="EC24" i="4"/>
  <c r="EB24" i="4"/>
  <c r="EA24" i="4"/>
  <c r="DZ24" i="4"/>
  <c r="DY24" i="4"/>
  <c r="DX24" i="4"/>
  <c r="DW24" i="4"/>
  <c r="DV24" i="4"/>
  <c r="DU24" i="4"/>
  <c r="DT24" i="4"/>
  <c r="DS24" i="4"/>
  <c r="DR24" i="4"/>
  <c r="DQ24" i="4"/>
  <c r="DP24" i="4"/>
  <c r="DO24" i="4"/>
  <c r="DN24" i="4"/>
  <c r="DM24" i="4"/>
  <c r="DL24" i="4"/>
  <c r="DK24" i="4"/>
  <c r="DJ24" i="4"/>
  <c r="DI24" i="4"/>
  <c r="DH24" i="4"/>
  <c r="DG24" i="4"/>
  <c r="DF24" i="4"/>
  <c r="DE24" i="4"/>
  <c r="DD24" i="4"/>
  <c r="DC24" i="4"/>
  <c r="DB24" i="4"/>
  <c r="DA24" i="4"/>
  <c r="CZ24" i="4"/>
  <c r="CY24" i="4"/>
  <c r="CX24" i="4"/>
  <c r="CW24" i="4"/>
  <c r="CV24" i="4"/>
  <c r="CU24" i="4"/>
  <c r="CT24" i="4"/>
  <c r="CS24" i="4"/>
  <c r="CR24" i="4"/>
  <c r="CQ24" i="4"/>
  <c r="CP24" i="4"/>
  <c r="CO24" i="4"/>
  <c r="CN24" i="4"/>
  <c r="CM24" i="4"/>
  <c r="CL24" i="4"/>
  <c r="CK24" i="4"/>
  <c r="CJ24" i="4"/>
  <c r="CI24" i="4"/>
  <c r="CH24" i="4"/>
  <c r="CG24" i="4"/>
  <c r="CF24" i="4"/>
  <c r="CE24" i="4"/>
  <c r="CD24" i="4"/>
  <c r="CC24" i="4"/>
  <c r="CB24" i="4"/>
  <c r="CA24" i="4"/>
  <c r="BZ24" i="4"/>
  <c r="BY24" i="4"/>
  <c r="BX24" i="4"/>
  <c r="BW24" i="4"/>
  <c r="BV24" i="4"/>
  <c r="BU24" i="4"/>
  <c r="BT24" i="4"/>
  <c r="BS24" i="4"/>
  <c r="BR24" i="4"/>
  <c r="BQ24" i="4"/>
  <c r="BP24" i="4"/>
  <c r="BO24" i="4"/>
  <c r="BN24" i="4"/>
  <c r="BM24" i="4"/>
  <c r="BL24" i="4"/>
  <c r="BK24" i="4"/>
  <c r="BJ24" i="4"/>
  <c r="BI24" i="4"/>
  <c r="BH24" i="4"/>
  <c r="BG24" i="4"/>
  <c r="BF24" i="4"/>
  <c r="BE24" i="4"/>
  <c r="BD24" i="4"/>
  <c r="BC24" i="4"/>
  <c r="BB24" i="4"/>
  <c r="BA24" i="4"/>
  <c r="AZ24" i="4"/>
  <c r="AY24" i="4"/>
  <c r="AX24" i="4"/>
  <c r="AW24" i="4"/>
  <c r="AV24" i="4"/>
  <c r="AU24" i="4"/>
  <c r="AT24" i="4"/>
  <c r="AS24" i="4"/>
  <c r="AR24" i="4"/>
  <c r="AQ24" i="4"/>
  <c r="AP24" i="4"/>
  <c r="AO24" i="4"/>
  <c r="AN24" i="4"/>
  <c r="AM24" i="4"/>
  <c r="AL24" i="4"/>
  <c r="AK24" i="4"/>
  <c r="AJ24" i="4"/>
  <c r="AI24" i="4"/>
  <c r="AH24" i="4"/>
  <c r="AG24" i="4"/>
  <c r="AF24" i="4"/>
  <c r="AE24" i="4"/>
  <c r="AD24" i="4"/>
  <c r="AC24" i="4"/>
  <c r="AB24" i="4"/>
  <c r="AA24" i="4"/>
  <c r="Z24" i="4"/>
  <c r="Y24" i="4"/>
  <c r="X24" i="4"/>
  <c r="W24" i="4"/>
  <c r="V24" i="4"/>
  <c r="U24" i="4"/>
  <c r="T24" i="4"/>
  <c r="S24" i="4"/>
  <c r="TD23" i="4"/>
  <c r="HK23" i="4"/>
  <c r="HJ23" i="4"/>
  <c r="HI23" i="4"/>
  <c r="HH23" i="4"/>
  <c r="HG23" i="4"/>
  <c r="HF23" i="4"/>
  <c r="HE23" i="4"/>
  <c r="HD23" i="4"/>
  <c r="HC23" i="4"/>
  <c r="HB23" i="4"/>
  <c r="HA23" i="4"/>
  <c r="GZ23" i="4"/>
  <c r="GY23" i="4"/>
  <c r="GX23" i="4"/>
  <c r="GW23" i="4"/>
  <c r="GV23" i="4"/>
  <c r="GU23" i="4"/>
  <c r="GT23" i="4"/>
  <c r="GS23" i="4"/>
  <c r="GR23" i="4"/>
  <c r="GQ23" i="4"/>
  <c r="GP23" i="4"/>
  <c r="GO23" i="4"/>
  <c r="GN23" i="4"/>
  <c r="GM23" i="4"/>
  <c r="GL23" i="4"/>
  <c r="GK23" i="4"/>
  <c r="GJ23" i="4"/>
  <c r="GI23" i="4"/>
  <c r="GH23" i="4"/>
  <c r="GG23" i="4"/>
  <c r="GF23" i="4"/>
  <c r="GE23" i="4"/>
  <c r="GD23" i="4"/>
  <c r="GC23" i="4"/>
  <c r="GB23" i="4"/>
  <c r="GA23" i="4"/>
  <c r="FZ23" i="4"/>
  <c r="FY23" i="4"/>
  <c r="FX23" i="4"/>
  <c r="FW23" i="4"/>
  <c r="FV23" i="4"/>
  <c r="FU23" i="4"/>
  <c r="FT23" i="4"/>
  <c r="FS23" i="4"/>
  <c r="FR23" i="4"/>
  <c r="FQ23" i="4"/>
  <c r="FP23" i="4"/>
  <c r="FO23" i="4"/>
  <c r="FN23" i="4"/>
  <c r="FM23" i="4"/>
  <c r="FL23" i="4"/>
  <c r="FK23" i="4"/>
  <c r="FJ23" i="4"/>
  <c r="FI23" i="4"/>
  <c r="FH23" i="4"/>
  <c r="FG23" i="4"/>
  <c r="FF23" i="4"/>
  <c r="FE23" i="4"/>
  <c r="FD23" i="4"/>
  <c r="FC23" i="4"/>
  <c r="FB23" i="4"/>
  <c r="FA23" i="4"/>
  <c r="EZ23" i="4"/>
  <c r="EY23" i="4"/>
  <c r="EX23" i="4"/>
  <c r="EW23" i="4"/>
  <c r="EV23" i="4"/>
  <c r="EU23" i="4"/>
  <c r="ET23" i="4"/>
  <c r="ES23" i="4"/>
  <c r="ER23" i="4"/>
  <c r="EQ23" i="4"/>
  <c r="EP23" i="4"/>
  <c r="EO23" i="4"/>
  <c r="EN23" i="4"/>
  <c r="EM23" i="4"/>
  <c r="EL23" i="4"/>
  <c r="EK23" i="4"/>
  <c r="EJ23" i="4"/>
  <c r="EI23" i="4"/>
  <c r="EH23" i="4"/>
  <c r="EG23" i="4"/>
  <c r="EF23" i="4"/>
  <c r="EE23" i="4"/>
  <c r="ED23" i="4"/>
  <c r="EC23" i="4"/>
  <c r="EB23" i="4"/>
  <c r="EA23" i="4"/>
  <c r="DZ23" i="4"/>
  <c r="DY23" i="4"/>
  <c r="DX23" i="4"/>
  <c r="DW23" i="4"/>
  <c r="DV23" i="4"/>
  <c r="DU23" i="4"/>
  <c r="DT23" i="4"/>
  <c r="DS23" i="4"/>
  <c r="DR23" i="4"/>
  <c r="DQ23" i="4"/>
  <c r="DP23" i="4"/>
  <c r="DO23" i="4"/>
  <c r="DN23" i="4"/>
  <c r="DM23" i="4"/>
  <c r="DL23" i="4"/>
  <c r="DK23" i="4"/>
  <c r="DJ23" i="4"/>
  <c r="DI23" i="4"/>
  <c r="DH23" i="4"/>
  <c r="DG23" i="4"/>
  <c r="DF23" i="4"/>
  <c r="DE23" i="4"/>
  <c r="DD23" i="4"/>
  <c r="DC23" i="4"/>
  <c r="DB23" i="4"/>
  <c r="DA23" i="4"/>
  <c r="CZ23" i="4"/>
  <c r="CY23" i="4"/>
  <c r="CX23" i="4"/>
  <c r="CW23" i="4"/>
  <c r="CV23" i="4"/>
  <c r="CU23" i="4"/>
  <c r="CT23" i="4"/>
  <c r="CS23" i="4"/>
  <c r="CR23" i="4"/>
  <c r="CQ23" i="4"/>
  <c r="CP23" i="4"/>
  <c r="CO23" i="4"/>
  <c r="CN23" i="4"/>
  <c r="CM23" i="4"/>
  <c r="CL23" i="4"/>
  <c r="CK23" i="4"/>
  <c r="CJ23" i="4"/>
  <c r="CI23" i="4"/>
  <c r="CH23" i="4"/>
  <c r="CG23" i="4"/>
  <c r="CF23" i="4"/>
  <c r="CE23" i="4"/>
  <c r="CD23" i="4"/>
  <c r="CC23" i="4"/>
  <c r="CB23" i="4"/>
  <c r="CA23" i="4"/>
  <c r="BZ23" i="4"/>
  <c r="BY23" i="4"/>
  <c r="BX23" i="4"/>
  <c r="BW23" i="4"/>
  <c r="BV23" i="4"/>
  <c r="BU23" i="4"/>
  <c r="BT23" i="4"/>
  <c r="BS23" i="4"/>
  <c r="BR23" i="4"/>
  <c r="BQ23" i="4"/>
  <c r="BP23" i="4"/>
  <c r="BO23" i="4"/>
  <c r="BN23" i="4"/>
  <c r="BM23" i="4"/>
  <c r="BL23" i="4"/>
  <c r="BK23" i="4"/>
  <c r="BJ23" i="4"/>
  <c r="BI23" i="4"/>
  <c r="BH23" i="4"/>
  <c r="BG23" i="4"/>
  <c r="BF23" i="4"/>
  <c r="BE23" i="4"/>
  <c r="BD23" i="4"/>
  <c r="BC23" i="4"/>
  <c r="BB23" i="4"/>
  <c r="BA23" i="4"/>
  <c r="AZ23" i="4"/>
  <c r="AY23" i="4"/>
  <c r="AX23" i="4"/>
  <c r="AW23" i="4"/>
  <c r="AV23" i="4"/>
  <c r="AU23" i="4"/>
  <c r="AT23" i="4"/>
  <c r="AS23" i="4"/>
  <c r="AR23" i="4"/>
  <c r="AQ23" i="4"/>
  <c r="AP23" i="4"/>
  <c r="AO23" i="4"/>
  <c r="AN23" i="4"/>
  <c r="AM23" i="4"/>
  <c r="AL23" i="4"/>
  <c r="AK23" i="4"/>
  <c r="AJ23" i="4"/>
  <c r="AI23" i="4"/>
  <c r="AH23" i="4"/>
  <c r="AG23" i="4"/>
  <c r="AF23" i="4"/>
  <c r="AE23" i="4"/>
  <c r="AD23" i="4"/>
  <c r="AC23" i="4"/>
  <c r="AB23" i="4"/>
  <c r="AA23" i="4"/>
  <c r="Z23" i="4"/>
  <c r="Y23" i="4"/>
  <c r="X23" i="4"/>
  <c r="W23" i="4"/>
  <c r="V23" i="4"/>
  <c r="U23" i="4"/>
  <c r="T23" i="4"/>
  <c r="S23" i="4"/>
  <c r="TD22" i="4"/>
  <c r="HK22" i="4"/>
  <c r="HJ22" i="4"/>
  <c r="HI22" i="4"/>
  <c r="HH22" i="4"/>
  <c r="HG22" i="4"/>
  <c r="HF22" i="4"/>
  <c r="HE22" i="4"/>
  <c r="HD22" i="4"/>
  <c r="HC22" i="4"/>
  <c r="HB22" i="4"/>
  <c r="HA22" i="4"/>
  <c r="GZ22" i="4"/>
  <c r="GY22" i="4"/>
  <c r="GX22" i="4"/>
  <c r="GW22" i="4"/>
  <c r="GV22" i="4"/>
  <c r="GU22" i="4"/>
  <c r="GT22" i="4"/>
  <c r="GS22" i="4"/>
  <c r="GR22" i="4"/>
  <c r="GQ22" i="4"/>
  <c r="GP22" i="4"/>
  <c r="GO22" i="4"/>
  <c r="GN22" i="4"/>
  <c r="GM22" i="4"/>
  <c r="GL22" i="4"/>
  <c r="GK22" i="4"/>
  <c r="GJ22" i="4"/>
  <c r="GI22" i="4"/>
  <c r="GH22" i="4"/>
  <c r="GG22" i="4"/>
  <c r="GF22" i="4"/>
  <c r="GE22" i="4"/>
  <c r="GD22" i="4"/>
  <c r="GC22" i="4"/>
  <c r="GB22" i="4"/>
  <c r="GA22" i="4"/>
  <c r="FZ22" i="4"/>
  <c r="FY22" i="4"/>
  <c r="FX22" i="4"/>
  <c r="FW22" i="4"/>
  <c r="FV22" i="4"/>
  <c r="FU22" i="4"/>
  <c r="FT22" i="4"/>
  <c r="FS22" i="4"/>
  <c r="FR22" i="4"/>
  <c r="FQ22" i="4"/>
  <c r="FP22" i="4"/>
  <c r="FO22" i="4"/>
  <c r="FN22" i="4"/>
  <c r="FM22" i="4"/>
  <c r="FL22" i="4"/>
  <c r="FK22" i="4"/>
  <c r="FJ22" i="4"/>
  <c r="FI22" i="4"/>
  <c r="FH22" i="4"/>
  <c r="FG22" i="4"/>
  <c r="FF22" i="4"/>
  <c r="FE22" i="4"/>
  <c r="FD22" i="4"/>
  <c r="FC22" i="4"/>
  <c r="FB22" i="4"/>
  <c r="FA22" i="4"/>
  <c r="EZ22" i="4"/>
  <c r="EY22" i="4"/>
  <c r="EX22" i="4"/>
  <c r="EW22" i="4"/>
  <c r="EV22" i="4"/>
  <c r="EU22" i="4"/>
  <c r="ET22" i="4"/>
  <c r="ES22" i="4"/>
  <c r="ER22" i="4"/>
  <c r="EQ22" i="4"/>
  <c r="EP22" i="4"/>
  <c r="EO22" i="4"/>
  <c r="EN22" i="4"/>
  <c r="EM22" i="4"/>
  <c r="EL22" i="4"/>
  <c r="EK22" i="4"/>
  <c r="EJ22" i="4"/>
  <c r="EI22" i="4"/>
  <c r="EH22" i="4"/>
  <c r="EG22" i="4"/>
  <c r="EF22" i="4"/>
  <c r="EE22" i="4"/>
  <c r="ED22" i="4"/>
  <c r="EC22" i="4"/>
  <c r="EB22" i="4"/>
  <c r="EA22" i="4"/>
  <c r="DZ22" i="4"/>
  <c r="DY22" i="4"/>
  <c r="DX22" i="4"/>
  <c r="DW22" i="4"/>
  <c r="DV22" i="4"/>
  <c r="DU22" i="4"/>
  <c r="DT22" i="4"/>
  <c r="DS22" i="4"/>
  <c r="DR22" i="4"/>
  <c r="DQ22" i="4"/>
  <c r="DP22" i="4"/>
  <c r="DO22" i="4"/>
  <c r="DN22" i="4"/>
  <c r="DM22" i="4"/>
  <c r="DL22" i="4"/>
  <c r="DK22" i="4"/>
  <c r="DJ22" i="4"/>
  <c r="DI22" i="4"/>
  <c r="DH22" i="4"/>
  <c r="DG22" i="4"/>
  <c r="DF22" i="4"/>
  <c r="DE22" i="4"/>
  <c r="DD22" i="4"/>
  <c r="DC22" i="4"/>
  <c r="DB22" i="4"/>
  <c r="DA22" i="4"/>
  <c r="CZ22" i="4"/>
  <c r="CY22" i="4"/>
  <c r="CX22" i="4"/>
  <c r="CW22" i="4"/>
  <c r="CV22" i="4"/>
  <c r="CU22" i="4"/>
  <c r="CT22" i="4"/>
  <c r="CS22" i="4"/>
  <c r="CR22" i="4"/>
  <c r="CQ22" i="4"/>
  <c r="CP22" i="4"/>
  <c r="CO22" i="4"/>
  <c r="CN22" i="4"/>
  <c r="CM22" i="4"/>
  <c r="CL22" i="4"/>
  <c r="CK22" i="4"/>
  <c r="CJ22" i="4"/>
  <c r="CI22" i="4"/>
  <c r="CH22" i="4"/>
  <c r="CG22" i="4"/>
  <c r="CF22" i="4"/>
  <c r="CE22" i="4"/>
  <c r="CD22" i="4"/>
  <c r="CC22" i="4"/>
  <c r="CB22" i="4"/>
  <c r="CA22" i="4"/>
  <c r="BZ22" i="4"/>
  <c r="BY22" i="4"/>
  <c r="BX22" i="4"/>
  <c r="BW22" i="4"/>
  <c r="BV22" i="4"/>
  <c r="BU22" i="4"/>
  <c r="BT22" i="4"/>
  <c r="BS22" i="4"/>
  <c r="BR22" i="4"/>
  <c r="BQ22" i="4"/>
  <c r="BP22" i="4"/>
  <c r="BO22" i="4"/>
  <c r="BN22" i="4"/>
  <c r="BM22" i="4"/>
  <c r="BL22" i="4"/>
  <c r="BK22" i="4"/>
  <c r="BJ22" i="4"/>
  <c r="BI22" i="4"/>
  <c r="BH22" i="4"/>
  <c r="BG22" i="4"/>
  <c r="BF22" i="4"/>
  <c r="BE22" i="4"/>
  <c r="BD22" i="4"/>
  <c r="BC22" i="4"/>
  <c r="BB22" i="4"/>
  <c r="BA22" i="4"/>
  <c r="AZ22" i="4"/>
  <c r="AY22" i="4"/>
  <c r="AX22" i="4"/>
  <c r="AW22" i="4"/>
  <c r="AV22" i="4"/>
  <c r="AU22" i="4"/>
  <c r="AT22" i="4"/>
  <c r="AS22" i="4"/>
  <c r="AR22" i="4"/>
  <c r="AQ22" i="4"/>
  <c r="AP22" i="4"/>
  <c r="AO22" i="4"/>
  <c r="AN22" i="4"/>
  <c r="AM22" i="4"/>
  <c r="AL22" i="4"/>
  <c r="AK22" i="4"/>
  <c r="AJ22" i="4"/>
  <c r="AI22" i="4"/>
  <c r="AH22" i="4"/>
  <c r="AG22" i="4"/>
  <c r="AF22" i="4"/>
  <c r="AE22" i="4"/>
  <c r="AD22" i="4"/>
  <c r="AC22" i="4"/>
  <c r="AB22" i="4"/>
  <c r="AA22" i="4"/>
  <c r="Z22" i="4"/>
  <c r="Y22" i="4"/>
  <c r="X22" i="4"/>
  <c r="W22" i="4"/>
  <c r="V22" i="4"/>
  <c r="U22" i="4"/>
  <c r="T22" i="4"/>
  <c r="S22" i="4"/>
  <c r="TD21" i="4"/>
  <c r="HK21" i="4"/>
  <c r="HJ21" i="4"/>
  <c r="HI21" i="4"/>
  <c r="HH21" i="4"/>
  <c r="HG21" i="4"/>
  <c r="HF21" i="4"/>
  <c r="HE21" i="4"/>
  <c r="HD21" i="4"/>
  <c r="HC21" i="4"/>
  <c r="HB21" i="4"/>
  <c r="HA21" i="4"/>
  <c r="GZ21" i="4"/>
  <c r="GY21" i="4"/>
  <c r="GX21" i="4"/>
  <c r="GW21" i="4"/>
  <c r="GV21" i="4"/>
  <c r="GU21" i="4"/>
  <c r="GT21" i="4"/>
  <c r="GS21" i="4"/>
  <c r="GR21" i="4"/>
  <c r="GQ21" i="4"/>
  <c r="GP21" i="4"/>
  <c r="GO21" i="4"/>
  <c r="GN21" i="4"/>
  <c r="GM21" i="4"/>
  <c r="GL21" i="4"/>
  <c r="GK21" i="4"/>
  <c r="GJ21" i="4"/>
  <c r="GI21" i="4"/>
  <c r="GH21" i="4"/>
  <c r="GG21" i="4"/>
  <c r="GF21" i="4"/>
  <c r="GE21" i="4"/>
  <c r="GD21" i="4"/>
  <c r="GC21" i="4"/>
  <c r="GB21" i="4"/>
  <c r="GA21" i="4"/>
  <c r="FZ21" i="4"/>
  <c r="FY21" i="4"/>
  <c r="FX21" i="4"/>
  <c r="FW21" i="4"/>
  <c r="FV21" i="4"/>
  <c r="FU21" i="4"/>
  <c r="FT21" i="4"/>
  <c r="FS21" i="4"/>
  <c r="FR21" i="4"/>
  <c r="FQ21" i="4"/>
  <c r="FP21" i="4"/>
  <c r="FO21" i="4"/>
  <c r="FN21" i="4"/>
  <c r="FM21" i="4"/>
  <c r="FL21" i="4"/>
  <c r="FK21" i="4"/>
  <c r="FJ21" i="4"/>
  <c r="FI21" i="4"/>
  <c r="FH21" i="4"/>
  <c r="FG21" i="4"/>
  <c r="FF21" i="4"/>
  <c r="FE21" i="4"/>
  <c r="FD21" i="4"/>
  <c r="FC21" i="4"/>
  <c r="FB21" i="4"/>
  <c r="FA21" i="4"/>
  <c r="EZ21" i="4"/>
  <c r="EY21" i="4"/>
  <c r="EX21" i="4"/>
  <c r="EW21" i="4"/>
  <c r="EV21" i="4"/>
  <c r="EU21" i="4"/>
  <c r="ET21" i="4"/>
  <c r="ES21" i="4"/>
  <c r="ER21" i="4"/>
  <c r="EQ21" i="4"/>
  <c r="EP21" i="4"/>
  <c r="EO21" i="4"/>
  <c r="EN21" i="4"/>
  <c r="EM21" i="4"/>
  <c r="EL21" i="4"/>
  <c r="EK21" i="4"/>
  <c r="EJ21" i="4"/>
  <c r="EI21" i="4"/>
  <c r="EH21" i="4"/>
  <c r="EG21" i="4"/>
  <c r="EF21" i="4"/>
  <c r="EE21" i="4"/>
  <c r="ED21" i="4"/>
  <c r="EC21" i="4"/>
  <c r="EB21" i="4"/>
  <c r="EA21" i="4"/>
  <c r="DZ21" i="4"/>
  <c r="DY21" i="4"/>
  <c r="DX21" i="4"/>
  <c r="DW21" i="4"/>
  <c r="DV21" i="4"/>
  <c r="DU21" i="4"/>
  <c r="DT21" i="4"/>
  <c r="DS21" i="4"/>
  <c r="DR21" i="4"/>
  <c r="DQ21" i="4"/>
  <c r="DP21" i="4"/>
  <c r="DO21" i="4"/>
  <c r="DN21" i="4"/>
  <c r="DM21" i="4"/>
  <c r="DL21" i="4"/>
  <c r="DK21" i="4"/>
  <c r="DJ21" i="4"/>
  <c r="DI21" i="4"/>
  <c r="DH21" i="4"/>
  <c r="DG21" i="4"/>
  <c r="DF21" i="4"/>
  <c r="DE21" i="4"/>
  <c r="DD21" i="4"/>
  <c r="DC21" i="4"/>
  <c r="DB21" i="4"/>
  <c r="DA21" i="4"/>
  <c r="CZ21" i="4"/>
  <c r="CY21" i="4"/>
  <c r="CX21" i="4"/>
  <c r="CW21" i="4"/>
  <c r="CV21" i="4"/>
  <c r="CU21" i="4"/>
  <c r="CT21" i="4"/>
  <c r="CS21" i="4"/>
  <c r="CR21" i="4"/>
  <c r="CQ21" i="4"/>
  <c r="CP21" i="4"/>
  <c r="CO21" i="4"/>
  <c r="CN21" i="4"/>
  <c r="CM21" i="4"/>
  <c r="CL21" i="4"/>
  <c r="CK21" i="4"/>
  <c r="CJ21" i="4"/>
  <c r="CI21" i="4"/>
  <c r="CH21" i="4"/>
  <c r="CG21" i="4"/>
  <c r="CF21" i="4"/>
  <c r="CE21" i="4"/>
  <c r="CD21" i="4"/>
  <c r="CC21" i="4"/>
  <c r="CB21" i="4"/>
  <c r="CA21" i="4"/>
  <c r="BZ21" i="4"/>
  <c r="BY21" i="4"/>
  <c r="BX21" i="4"/>
  <c r="BW21" i="4"/>
  <c r="BV21" i="4"/>
  <c r="BU21" i="4"/>
  <c r="BT21" i="4"/>
  <c r="BS21" i="4"/>
  <c r="BR21" i="4"/>
  <c r="BQ21" i="4"/>
  <c r="BP21" i="4"/>
  <c r="BO21" i="4"/>
  <c r="BN21" i="4"/>
  <c r="BM21" i="4"/>
  <c r="BL21" i="4"/>
  <c r="BK21" i="4"/>
  <c r="BJ21" i="4"/>
  <c r="BI21" i="4"/>
  <c r="BH21" i="4"/>
  <c r="BG21" i="4"/>
  <c r="BF21" i="4"/>
  <c r="BE21" i="4"/>
  <c r="BD21" i="4"/>
  <c r="BC21" i="4"/>
  <c r="BB21" i="4"/>
  <c r="BA21" i="4"/>
  <c r="AZ21" i="4"/>
  <c r="AY21" i="4"/>
  <c r="AX21" i="4"/>
  <c r="AW21" i="4"/>
  <c r="AV21" i="4"/>
  <c r="AU21" i="4"/>
  <c r="AT21" i="4"/>
  <c r="AS21" i="4"/>
  <c r="AR21" i="4"/>
  <c r="AQ21" i="4"/>
  <c r="AP21" i="4"/>
  <c r="AO21" i="4"/>
  <c r="AN21" i="4"/>
  <c r="AM21" i="4"/>
  <c r="AL21" i="4"/>
  <c r="AK21" i="4"/>
  <c r="AJ21" i="4"/>
  <c r="AI21" i="4"/>
  <c r="AH21" i="4"/>
  <c r="AG21" i="4"/>
  <c r="AF21" i="4"/>
  <c r="AE21" i="4"/>
  <c r="AD21" i="4"/>
  <c r="AC21" i="4"/>
  <c r="AB21" i="4"/>
  <c r="AA21" i="4"/>
  <c r="Z21" i="4"/>
  <c r="Y21" i="4"/>
  <c r="X21" i="4"/>
  <c r="W21" i="4"/>
  <c r="V21" i="4"/>
  <c r="U21" i="4"/>
  <c r="T21" i="4"/>
  <c r="S21" i="4"/>
  <c r="TD20" i="4"/>
  <c r="HK20" i="4"/>
  <c r="HJ20" i="4"/>
  <c r="HI20" i="4"/>
  <c r="HH20" i="4"/>
  <c r="HG20" i="4"/>
  <c r="HF20" i="4"/>
  <c r="HE20" i="4"/>
  <c r="HD20" i="4"/>
  <c r="HC20" i="4"/>
  <c r="HB20" i="4"/>
  <c r="HA20" i="4"/>
  <c r="GZ20" i="4"/>
  <c r="GY20" i="4"/>
  <c r="GX20" i="4"/>
  <c r="GW20" i="4"/>
  <c r="GV20" i="4"/>
  <c r="GU20" i="4"/>
  <c r="GT20" i="4"/>
  <c r="GS20" i="4"/>
  <c r="GR20" i="4"/>
  <c r="GQ20" i="4"/>
  <c r="GP20" i="4"/>
  <c r="GO20" i="4"/>
  <c r="GN20" i="4"/>
  <c r="GM20" i="4"/>
  <c r="GL20" i="4"/>
  <c r="GK20" i="4"/>
  <c r="GJ20" i="4"/>
  <c r="GI20" i="4"/>
  <c r="GH20" i="4"/>
  <c r="GG20" i="4"/>
  <c r="GF20" i="4"/>
  <c r="GE20" i="4"/>
  <c r="GD20" i="4"/>
  <c r="GC20" i="4"/>
  <c r="GB20" i="4"/>
  <c r="GA20" i="4"/>
  <c r="FZ20" i="4"/>
  <c r="FY20" i="4"/>
  <c r="FX20" i="4"/>
  <c r="FW20" i="4"/>
  <c r="FV20" i="4"/>
  <c r="FU20" i="4"/>
  <c r="FT20" i="4"/>
  <c r="FS20" i="4"/>
  <c r="FR20" i="4"/>
  <c r="FQ20" i="4"/>
  <c r="FP20" i="4"/>
  <c r="FO20" i="4"/>
  <c r="FN20" i="4"/>
  <c r="FM20" i="4"/>
  <c r="FL20" i="4"/>
  <c r="FK20" i="4"/>
  <c r="FJ20" i="4"/>
  <c r="FI20" i="4"/>
  <c r="FH20" i="4"/>
  <c r="FG20" i="4"/>
  <c r="FF20" i="4"/>
  <c r="FE20" i="4"/>
  <c r="FD20" i="4"/>
  <c r="FC20" i="4"/>
  <c r="FB20" i="4"/>
  <c r="FA20" i="4"/>
  <c r="EZ20" i="4"/>
  <c r="EY20" i="4"/>
  <c r="EX20" i="4"/>
  <c r="EW20" i="4"/>
  <c r="EV20" i="4"/>
  <c r="EU20" i="4"/>
  <c r="ET20" i="4"/>
  <c r="ES20" i="4"/>
  <c r="ER20" i="4"/>
  <c r="EQ20" i="4"/>
  <c r="EP20" i="4"/>
  <c r="EO20" i="4"/>
  <c r="EN20" i="4"/>
  <c r="EM20" i="4"/>
  <c r="EL20" i="4"/>
  <c r="EK20" i="4"/>
  <c r="EJ20" i="4"/>
  <c r="EI20" i="4"/>
  <c r="EH20" i="4"/>
  <c r="EG20" i="4"/>
  <c r="EF20" i="4"/>
  <c r="EE20" i="4"/>
  <c r="ED20" i="4"/>
  <c r="EC20" i="4"/>
  <c r="EB20" i="4"/>
  <c r="EA20" i="4"/>
  <c r="DZ20" i="4"/>
  <c r="DY20" i="4"/>
  <c r="DX20" i="4"/>
  <c r="DW20" i="4"/>
  <c r="DV20" i="4"/>
  <c r="DU20" i="4"/>
  <c r="DT20" i="4"/>
  <c r="DS20" i="4"/>
  <c r="DR20" i="4"/>
  <c r="DQ20" i="4"/>
  <c r="DP20" i="4"/>
  <c r="DO20" i="4"/>
  <c r="DN20" i="4"/>
  <c r="DM20" i="4"/>
  <c r="DL20" i="4"/>
  <c r="DK20" i="4"/>
  <c r="DJ20" i="4"/>
  <c r="DI20" i="4"/>
  <c r="DH20" i="4"/>
  <c r="DG20" i="4"/>
  <c r="DF20" i="4"/>
  <c r="DE20" i="4"/>
  <c r="DD20" i="4"/>
  <c r="DC20" i="4"/>
  <c r="DB20" i="4"/>
  <c r="DA20" i="4"/>
  <c r="CZ20" i="4"/>
  <c r="CY20" i="4"/>
  <c r="CX20" i="4"/>
  <c r="CW20" i="4"/>
  <c r="CV20" i="4"/>
  <c r="CU20" i="4"/>
  <c r="CT20" i="4"/>
  <c r="CS20" i="4"/>
  <c r="CR20" i="4"/>
  <c r="CQ20" i="4"/>
  <c r="CP20" i="4"/>
  <c r="CO20" i="4"/>
  <c r="CN20" i="4"/>
  <c r="CM20" i="4"/>
  <c r="CL20" i="4"/>
  <c r="CK20" i="4"/>
  <c r="CJ20" i="4"/>
  <c r="CI20" i="4"/>
  <c r="CH20" i="4"/>
  <c r="CG20" i="4"/>
  <c r="CF20" i="4"/>
  <c r="CE20" i="4"/>
  <c r="CD20" i="4"/>
  <c r="CC20" i="4"/>
  <c r="CB20" i="4"/>
  <c r="CA20" i="4"/>
  <c r="BZ20" i="4"/>
  <c r="BY20" i="4"/>
  <c r="BX20" i="4"/>
  <c r="BW20" i="4"/>
  <c r="BV20" i="4"/>
  <c r="BU20" i="4"/>
  <c r="BT20" i="4"/>
  <c r="BS20" i="4"/>
  <c r="BR20" i="4"/>
  <c r="BQ20" i="4"/>
  <c r="BP20" i="4"/>
  <c r="BO20" i="4"/>
  <c r="BN20" i="4"/>
  <c r="BM20" i="4"/>
  <c r="BL20" i="4"/>
  <c r="BK20" i="4"/>
  <c r="BJ20" i="4"/>
  <c r="BI20" i="4"/>
  <c r="BH20" i="4"/>
  <c r="BG20" i="4"/>
  <c r="BF20" i="4"/>
  <c r="BE20" i="4"/>
  <c r="BD20" i="4"/>
  <c r="BC20" i="4"/>
  <c r="BB20" i="4"/>
  <c r="BA20" i="4"/>
  <c r="AZ20" i="4"/>
  <c r="AY20" i="4"/>
  <c r="AX20" i="4"/>
  <c r="AW20" i="4"/>
  <c r="AV20" i="4"/>
  <c r="AU20" i="4"/>
  <c r="AT20" i="4"/>
  <c r="AS20" i="4"/>
  <c r="AR20" i="4"/>
  <c r="AQ20" i="4"/>
  <c r="AP20" i="4"/>
  <c r="AO20" i="4"/>
  <c r="AN20" i="4"/>
  <c r="AM20" i="4"/>
  <c r="AL20" i="4"/>
  <c r="AK20" i="4"/>
  <c r="AJ20" i="4"/>
  <c r="AI20" i="4"/>
  <c r="AH20" i="4"/>
  <c r="AG20" i="4"/>
  <c r="AF20" i="4"/>
  <c r="AE20" i="4"/>
  <c r="AD20" i="4"/>
  <c r="AC20" i="4"/>
  <c r="AB20" i="4"/>
  <c r="AA20" i="4"/>
  <c r="Z20" i="4"/>
  <c r="Y20" i="4"/>
  <c r="X20" i="4"/>
  <c r="W20" i="4"/>
  <c r="V20" i="4"/>
  <c r="U20" i="4"/>
  <c r="T20" i="4"/>
  <c r="S20" i="4"/>
  <c r="TD19" i="4"/>
  <c r="HK19" i="4"/>
  <c r="HJ19" i="4"/>
  <c r="HI19" i="4"/>
  <c r="HH19" i="4"/>
  <c r="HG19" i="4"/>
  <c r="HF19" i="4"/>
  <c r="HE19" i="4"/>
  <c r="HD19" i="4"/>
  <c r="HC19" i="4"/>
  <c r="HB19" i="4"/>
  <c r="HA19" i="4"/>
  <c r="GZ19" i="4"/>
  <c r="GY19" i="4"/>
  <c r="GX19" i="4"/>
  <c r="GW19" i="4"/>
  <c r="GV19" i="4"/>
  <c r="GU19" i="4"/>
  <c r="GT19" i="4"/>
  <c r="GS19" i="4"/>
  <c r="GR19" i="4"/>
  <c r="GQ19" i="4"/>
  <c r="GP19" i="4"/>
  <c r="GO19" i="4"/>
  <c r="GN19" i="4"/>
  <c r="GM19" i="4"/>
  <c r="GL19" i="4"/>
  <c r="GK19" i="4"/>
  <c r="GJ19" i="4"/>
  <c r="GI19" i="4"/>
  <c r="GH19" i="4"/>
  <c r="GG19" i="4"/>
  <c r="GF19" i="4"/>
  <c r="GE19" i="4"/>
  <c r="GD19" i="4"/>
  <c r="GC19" i="4"/>
  <c r="GB19" i="4"/>
  <c r="GA19" i="4"/>
  <c r="FZ19" i="4"/>
  <c r="FY19" i="4"/>
  <c r="FX19" i="4"/>
  <c r="FW19" i="4"/>
  <c r="FV19" i="4"/>
  <c r="FU19" i="4"/>
  <c r="FT19" i="4"/>
  <c r="FS19" i="4"/>
  <c r="FR19" i="4"/>
  <c r="FQ19" i="4"/>
  <c r="FP19" i="4"/>
  <c r="FO19" i="4"/>
  <c r="FN19" i="4"/>
  <c r="FM19" i="4"/>
  <c r="FL19" i="4"/>
  <c r="FK19" i="4"/>
  <c r="FJ19" i="4"/>
  <c r="FI19" i="4"/>
  <c r="FH19" i="4"/>
  <c r="FG19" i="4"/>
  <c r="FF19" i="4"/>
  <c r="FE19" i="4"/>
  <c r="FD19" i="4"/>
  <c r="FC19" i="4"/>
  <c r="FB19" i="4"/>
  <c r="FA19" i="4"/>
  <c r="EZ19" i="4"/>
  <c r="EY19" i="4"/>
  <c r="EX19" i="4"/>
  <c r="EW19" i="4"/>
  <c r="EV19" i="4"/>
  <c r="EU19" i="4"/>
  <c r="ET19" i="4"/>
  <c r="ES19" i="4"/>
  <c r="ER19" i="4"/>
  <c r="EQ19" i="4"/>
  <c r="EP19" i="4"/>
  <c r="EO19" i="4"/>
  <c r="EN19" i="4"/>
  <c r="EM19" i="4"/>
  <c r="EL19" i="4"/>
  <c r="EK19" i="4"/>
  <c r="EJ19" i="4"/>
  <c r="EI19" i="4"/>
  <c r="EH19" i="4"/>
  <c r="EG19" i="4"/>
  <c r="EF19" i="4"/>
  <c r="EE19" i="4"/>
  <c r="ED19" i="4"/>
  <c r="EC19" i="4"/>
  <c r="EB19" i="4"/>
  <c r="EA19" i="4"/>
  <c r="DZ19" i="4"/>
  <c r="DY19" i="4"/>
  <c r="DX19" i="4"/>
  <c r="DW19" i="4"/>
  <c r="DV19" i="4"/>
  <c r="DU19" i="4"/>
  <c r="DT19" i="4"/>
  <c r="DS19" i="4"/>
  <c r="DR19" i="4"/>
  <c r="DQ19" i="4"/>
  <c r="DP19" i="4"/>
  <c r="DO19" i="4"/>
  <c r="DN19" i="4"/>
  <c r="DM19" i="4"/>
  <c r="DL19" i="4"/>
  <c r="DK19" i="4"/>
  <c r="DJ19" i="4"/>
  <c r="DI19" i="4"/>
  <c r="DH19" i="4"/>
  <c r="DG19" i="4"/>
  <c r="DF19" i="4"/>
  <c r="DE19" i="4"/>
  <c r="DD19" i="4"/>
  <c r="DC19" i="4"/>
  <c r="DB19" i="4"/>
  <c r="DA19" i="4"/>
  <c r="CZ19" i="4"/>
  <c r="CY19" i="4"/>
  <c r="CX19" i="4"/>
  <c r="CW19" i="4"/>
  <c r="CV19" i="4"/>
  <c r="CU19" i="4"/>
  <c r="CT19" i="4"/>
  <c r="CS19" i="4"/>
  <c r="CR19" i="4"/>
  <c r="CQ19" i="4"/>
  <c r="CP19" i="4"/>
  <c r="CO19" i="4"/>
  <c r="CN19" i="4"/>
  <c r="CM19" i="4"/>
  <c r="CL19" i="4"/>
  <c r="CK19" i="4"/>
  <c r="CJ19" i="4"/>
  <c r="CI19" i="4"/>
  <c r="CH19" i="4"/>
  <c r="CG19" i="4"/>
  <c r="CF19" i="4"/>
  <c r="CE19" i="4"/>
  <c r="CD19" i="4"/>
  <c r="CC19" i="4"/>
  <c r="CB19" i="4"/>
  <c r="CA19" i="4"/>
  <c r="BZ19" i="4"/>
  <c r="BY19" i="4"/>
  <c r="BX19" i="4"/>
  <c r="BW19" i="4"/>
  <c r="BV19" i="4"/>
  <c r="BU19" i="4"/>
  <c r="BT19" i="4"/>
  <c r="BS19" i="4"/>
  <c r="BR19" i="4"/>
  <c r="BQ19" i="4"/>
  <c r="BP19" i="4"/>
  <c r="BO19" i="4"/>
  <c r="BN19" i="4"/>
  <c r="BM19" i="4"/>
  <c r="BL19" i="4"/>
  <c r="BK19" i="4"/>
  <c r="BJ19" i="4"/>
  <c r="BI19" i="4"/>
  <c r="BH19" i="4"/>
  <c r="BG19" i="4"/>
  <c r="BF19" i="4"/>
  <c r="BE19" i="4"/>
  <c r="BD19" i="4"/>
  <c r="BC19" i="4"/>
  <c r="BB19" i="4"/>
  <c r="BA19" i="4"/>
  <c r="AZ19" i="4"/>
  <c r="AY19" i="4"/>
  <c r="AX19" i="4"/>
  <c r="AW19" i="4"/>
  <c r="AV19" i="4"/>
  <c r="AU19" i="4"/>
  <c r="AT19" i="4"/>
  <c r="AS19" i="4"/>
  <c r="AR19" i="4"/>
  <c r="AQ19" i="4"/>
  <c r="AP19" i="4"/>
  <c r="AO19" i="4"/>
  <c r="AN19" i="4"/>
  <c r="AM19" i="4"/>
  <c r="AL19" i="4"/>
  <c r="AK19" i="4"/>
  <c r="AJ19" i="4"/>
  <c r="AI19" i="4"/>
  <c r="AH19" i="4"/>
  <c r="AG19" i="4"/>
  <c r="AF19" i="4"/>
  <c r="AE19" i="4"/>
  <c r="AD19" i="4"/>
  <c r="AC19" i="4"/>
  <c r="AB19" i="4"/>
  <c r="AA19" i="4"/>
  <c r="Z19" i="4"/>
  <c r="Y19" i="4"/>
  <c r="X19" i="4"/>
  <c r="W19" i="4"/>
  <c r="V19" i="4"/>
  <c r="U19" i="4"/>
  <c r="T19" i="4"/>
  <c r="S19" i="4"/>
  <c r="TD18" i="4"/>
  <c r="HK18" i="4"/>
  <c r="HJ18" i="4"/>
  <c r="HI18" i="4"/>
  <c r="HH18" i="4"/>
  <c r="HG18" i="4"/>
  <c r="HF18" i="4"/>
  <c r="HE18" i="4"/>
  <c r="HD18" i="4"/>
  <c r="HC18" i="4"/>
  <c r="HB18" i="4"/>
  <c r="HA18" i="4"/>
  <c r="GZ18" i="4"/>
  <c r="GY18" i="4"/>
  <c r="GX18" i="4"/>
  <c r="GW18" i="4"/>
  <c r="GV18" i="4"/>
  <c r="GU18" i="4"/>
  <c r="GT18" i="4"/>
  <c r="GS18" i="4"/>
  <c r="GR18" i="4"/>
  <c r="GQ18" i="4"/>
  <c r="GP18" i="4"/>
  <c r="GO18" i="4"/>
  <c r="GN18" i="4"/>
  <c r="GM18" i="4"/>
  <c r="GL18" i="4"/>
  <c r="GK18" i="4"/>
  <c r="GJ18" i="4"/>
  <c r="GI18" i="4"/>
  <c r="GH18" i="4"/>
  <c r="GG18" i="4"/>
  <c r="GF18" i="4"/>
  <c r="GE18" i="4"/>
  <c r="GD18" i="4"/>
  <c r="GC18" i="4"/>
  <c r="GB18" i="4"/>
  <c r="GA18" i="4"/>
  <c r="FZ18" i="4"/>
  <c r="FY18" i="4"/>
  <c r="FX18" i="4"/>
  <c r="FW18" i="4"/>
  <c r="FV18" i="4"/>
  <c r="FU18" i="4"/>
  <c r="FT18" i="4"/>
  <c r="FS18" i="4"/>
  <c r="FR18" i="4"/>
  <c r="FQ18" i="4"/>
  <c r="FP18" i="4"/>
  <c r="FO18" i="4"/>
  <c r="FN18" i="4"/>
  <c r="FM18" i="4"/>
  <c r="FL18" i="4"/>
  <c r="FK18" i="4"/>
  <c r="FJ18" i="4"/>
  <c r="FI18" i="4"/>
  <c r="FH18" i="4"/>
  <c r="FG18" i="4"/>
  <c r="FF18" i="4"/>
  <c r="FE18" i="4"/>
  <c r="FD18" i="4"/>
  <c r="FC18" i="4"/>
  <c r="FB18" i="4"/>
  <c r="FA18" i="4"/>
  <c r="EZ18" i="4"/>
  <c r="EY18" i="4"/>
  <c r="EX18" i="4"/>
  <c r="EW18" i="4"/>
  <c r="EV18" i="4"/>
  <c r="EU18" i="4"/>
  <c r="ET18" i="4"/>
  <c r="ES18" i="4"/>
  <c r="ER18" i="4"/>
  <c r="EQ18" i="4"/>
  <c r="EP18" i="4"/>
  <c r="EO18" i="4"/>
  <c r="EN18" i="4"/>
  <c r="EM18" i="4"/>
  <c r="EL18" i="4"/>
  <c r="EK18" i="4"/>
  <c r="EJ18" i="4"/>
  <c r="EI18" i="4"/>
  <c r="EH18" i="4"/>
  <c r="EG18" i="4"/>
  <c r="EF18" i="4"/>
  <c r="EE18" i="4"/>
  <c r="ED18" i="4"/>
  <c r="EC18" i="4"/>
  <c r="EB18" i="4"/>
  <c r="EA18" i="4"/>
  <c r="DZ18" i="4"/>
  <c r="DY18" i="4"/>
  <c r="DX18" i="4"/>
  <c r="DW18" i="4"/>
  <c r="DV18" i="4"/>
  <c r="DU18" i="4"/>
  <c r="DT18" i="4"/>
  <c r="DS18" i="4"/>
  <c r="DR18" i="4"/>
  <c r="DQ18" i="4"/>
  <c r="DP18" i="4"/>
  <c r="DO18" i="4"/>
  <c r="DN18" i="4"/>
  <c r="DM18" i="4"/>
  <c r="DL18" i="4"/>
  <c r="DK18" i="4"/>
  <c r="DJ18" i="4"/>
  <c r="DI18" i="4"/>
  <c r="DH18" i="4"/>
  <c r="DG18" i="4"/>
  <c r="DF18" i="4"/>
  <c r="DE18" i="4"/>
  <c r="DD18" i="4"/>
  <c r="DC18" i="4"/>
  <c r="DB18" i="4"/>
  <c r="DA18" i="4"/>
  <c r="CZ18" i="4"/>
  <c r="CY18" i="4"/>
  <c r="CX18" i="4"/>
  <c r="CW18" i="4"/>
  <c r="CV18" i="4"/>
  <c r="CU18" i="4"/>
  <c r="CT18" i="4"/>
  <c r="CS18" i="4"/>
  <c r="CR18" i="4"/>
  <c r="CQ18" i="4"/>
  <c r="CP18" i="4"/>
  <c r="CO18" i="4"/>
  <c r="CN18" i="4"/>
  <c r="CM18" i="4"/>
  <c r="CL18" i="4"/>
  <c r="CK18" i="4"/>
  <c r="CJ18" i="4"/>
  <c r="CI18" i="4"/>
  <c r="CH18" i="4"/>
  <c r="CG18" i="4"/>
  <c r="CF18" i="4"/>
  <c r="CE18" i="4"/>
  <c r="CD18" i="4"/>
  <c r="CC18" i="4"/>
  <c r="CB18" i="4"/>
  <c r="CA18" i="4"/>
  <c r="BZ18" i="4"/>
  <c r="BY18" i="4"/>
  <c r="BX18" i="4"/>
  <c r="BW18" i="4"/>
  <c r="BV18" i="4"/>
  <c r="BU18" i="4"/>
  <c r="BT18" i="4"/>
  <c r="BS18" i="4"/>
  <c r="BR18" i="4"/>
  <c r="BQ18" i="4"/>
  <c r="BP18" i="4"/>
  <c r="BO18" i="4"/>
  <c r="BN18" i="4"/>
  <c r="BM18" i="4"/>
  <c r="BL18" i="4"/>
  <c r="BK18" i="4"/>
  <c r="BJ18" i="4"/>
  <c r="BI18" i="4"/>
  <c r="BH18" i="4"/>
  <c r="BG18" i="4"/>
  <c r="BF18" i="4"/>
  <c r="BE18" i="4"/>
  <c r="BD18" i="4"/>
  <c r="BC18" i="4"/>
  <c r="BB18" i="4"/>
  <c r="BA18" i="4"/>
  <c r="AZ18" i="4"/>
  <c r="AY18" i="4"/>
  <c r="AX18" i="4"/>
  <c r="AW18" i="4"/>
  <c r="AV18" i="4"/>
  <c r="AU18" i="4"/>
  <c r="AT18" i="4"/>
  <c r="AS18" i="4"/>
  <c r="AR18" i="4"/>
  <c r="AQ18" i="4"/>
  <c r="AP18" i="4"/>
  <c r="AO18" i="4"/>
  <c r="AN18" i="4"/>
  <c r="AM18" i="4"/>
  <c r="AL18" i="4"/>
  <c r="AK18" i="4"/>
  <c r="AJ18" i="4"/>
  <c r="AI18" i="4"/>
  <c r="AH18" i="4"/>
  <c r="AG18" i="4"/>
  <c r="AF18" i="4"/>
  <c r="AE18" i="4"/>
  <c r="AD18" i="4"/>
  <c r="AC18" i="4"/>
  <c r="AB18" i="4"/>
  <c r="AA18" i="4"/>
  <c r="Z18" i="4"/>
  <c r="Y18" i="4"/>
  <c r="X18" i="4"/>
  <c r="W18" i="4"/>
  <c r="V18" i="4"/>
  <c r="U18" i="4"/>
  <c r="T18" i="4"/>
  <c r="S18" i="4"/>
  <c r="TD17" i="4"/>
  <c r="HK17" i="4"/>
  <c r="HJ17" i="4"/>
  <c r="HI17" i="4"/>
  <c r="HH17" i="4"/>
  <c r="HG17" i="4"/>
  <c r="HF17" i="4"/>
  <c r="HE17" i="4"/>
  <c r="HD17" i="4"/>
  <c r="HC17" i="4"/>
  <c r="HB17" i="4"/>
  <c r="HA17" i="4"/>
  <c r="GZ17" i="4"/>
  <c r="GY17" i="4"/>
  <c r="GX17" i="4"/>
  <c r="GW17" i="4"/>
  <c r="GV17" i="4"/>
  <c r="GU17" i="4"/>
  <c r="GT17" i="4"/>
  <c r="GS17" i="4"/>
  <c r="GR17" i="4"/>
  <c r="GQ17" i="4"/>
  <c r="GP17" i="4"/>
  <c r="GO17" i="4"/>
  <c r="GN17" i="4"/>
  <c r="GM17" i="4"/>
  <c r="GL17" i="4"/>
  <c r="GK17" i="4"/>
  <c r="GJ17" i="4"/>
  <c r="GI17" i="4"/>
  <c r="GH17" i="4"/>
  <c r="GG17" i="4"/>
  <c r="GF17" i="4"/>
  <c r="GE17" i="4"/>
  <c r="GD17" i="4"/>
  <c r="GC17" i="4"/>
  <c r="GB17" i="4"/>
  <c r="GA17" i="4"/>
  <c r="FZ17" i="4"/>
  <c r="FY17" i="4"/>
  <c r="FX17" i="4"/>
  <c r="FW17" i="4"/>
  <c r="FV17" i="4"/>
  <c r="FU17" i="4"/>
  <c r="FT17" i="4"/>
  <c r="FS17" i="4"/>
  <c r="FR17" i="4"/>
  <c r="FQ17" i="4"/>
  <c r="FP17" i="4"/>
  <c r="FO17" i="4"/>
  <c r="FN17" i="4"/>
  <c r="FM17" i="4"/>
  <c r="FL17" i="4"/>
  <c r="FK17" i="4"/>
  <c r="FJ17" i="4"/>
  <c r="FI17" i="4"/>
  <c r="FH17" i="4"/>
  <c r="FG17" i="4"/>
  <c r="FF17" i="4"/>
  <c r="FE17" i="4"/>
  <c r="FD17" i="4"/>
  <c r="FC17" i="4"/>
  <c r="FB17" i="4"/>
  <c r="FA17" i="4"/>
  <c r="EZ17" i="4"/>
  <c r="EY17" i="4"/>
  <c r="EX17" i="4"/>
  <c r="EW17" i="4"/>
  <c r="EV17" i="4"/>
  <c r="EU17" i="4"/>
  <c r="ET17" i="4"/>
  <c r="ES17" i="4"/>
  <c r="ER17" i="4"/>
  <c r="EQ17" i="4"/>
  <c r="EP17" i="4"/>
  <c r="EO17" i="4"/>
  <c r="EN17" i="4"/>
  <c r="EM17" i="4"/>
  <c r="EL17" i="4"/>
  <c r="EK17" i="4"/>
  <c r="EJ17" i="4"/>
  <c r="EI17" i="4"/>
  <c r="EH17" i="4"/>
  <c r="EG17" i="4"/>
  <c r="EF17" i="4"/>
  <c r="EE17" i="4"/>
  <c r="ED17" i="4"/>
  <c r="EC17" i="4"/>
  <c r="EB17" i="4"/>
  <c r="EA17" i="4"/>
  <c r="DZ17" i="4"/>
  <c r="DY17" i="4"/>
  <c r="DX17" i="4"/>
  <c r="DW17" i="4"/>
  <c r="DV17" i="4"/>
  <c r="DU17" i="4"/>
  <c r="DT17" i="4"/>
  <c r="DS17" i="4"/>
  <c r="DR17" i="4"/>
  <c r="DQ17" i="4"/>
  <c r="DP17" i="4"/>
  <c r="DO17" i="4"/>
  <c r="DN17" i="4"/>
  <c r="DM17" i="4"/>
  <c r="DL17" i="4"/>
  <c r="DK17" i="4"/>
  <c r="DJ17" i="4"/>
  <c r="DI17" i="4"/>
  <c r="DH17" i="4"/>
  <c r="DG17" i="4"/>
  <c r="DF17" i="4"/>
  <c r="DE17" i="4"/>
  <c r="DD17" i="4"/>
  <c r="DC17" i="4"/>
  <c r="DB17" i="4"/>
  <c r="DA17" i="4"/>
  <c r="CZ17" i="4"/>
  <c r="CY17" i="4"/>
  <c r="CX17" i="4"/>
  <c r="CW17" i="4"/>
  <c r="CV17" i="4"/>
  <c r="CU17" i="4"/>
  <c r="CT17" i="4"/>
  <c r="CS17" i="4"/>
  <c r="CR17" i="4"/>
  <c r="CQ17" i="4"/>
  <c r="CP17" i="4"/>
  <c r="CO17" i="4"/>
  <c r="CN17" i="4"/>
  <c r="CM17" i="4"/>
  <c r="CL17" i="4"/>
  <c r="CK17" i="4"/>
  <c r="CJ17" i="4"/>
  <c r="CI17" i="4"/>
  <c r="CH17" i="4"/>
  <c r="CG17" i="4"/>
  <c r="CF17" i="4"/>
  <c r="CE17" i="4"/>
  <c r="CD17" i="4"/>
  <c r="CC17" i="4"/>
  <c r="CB17" i="4"/>
  <c r="CA17" i="4"/>
  <c r="BZ17" i="4"/>
  <c r="BY17" i="4"/>
  <c r="BX17" i="4"/>
  <c r="BW17" i="4"/>
  <c r="BV17" i="4"/>
  <c r="BU17" i="4"/>
  <c r="BT17" i="4"/>
  <c r="BS17" i="4"/>
  <c r="BR17" i="4"/>
  <c r="BQ17" i="4"/>
  <c r="BP17" i="4"/>
  <c r="BO17" i="4"/>
  <c r="BN17" i="4"/>
  <c r="BM17" i="4"/>
  <c r="BL17" i="4"/>
  <c r="BK17" i="4"/>
  <c r="BJ17" i="4"/>
  <c r="BI17" i="4"/>
  <c r="BH17" i="4"/>
  <c r="BG17" i="4"/>
  <c r="BF17" i="4"/>
  <c r="BE17" i="4"/>
  <c r="BD17" i="4"/>
  <c r="BC17" i="4"/>
  <c r="BB17" i="4"/>
  <c r="BA17" i="4"/>
  <c r="AZ17" i="4"/>
  <c r="AY17" i="4"/>
  <c r="AX17" i="4"/>
  <c r="AW17" i="4"/>
  <c r="AV17" i="4"/>
  <c r="AU17" i="4"/>
  <c r="AT17" i="4"/>
  <c r="AS17" i="4"/>
  <c r="AR17" i="4"/>
  <c r="AQ17" i="4"/>
  <c r="AP17" i="4"/>
  <c r="AO17" i="4"/>
  <c r="AN17" i="4"/>
  <c r="AM17" i="4"/>
  <c r="AL17" i="4"/>
  <c r="AK17" i="4"/>
  <c r="AJ17" i="4"/>
  <c r="AI17" i="4"/>
  <c r="AH17" i="4"/>
  <c r="AG17" i="4"/>
  <c r="AF17" i="4"/>
  <c r="AE17" i="4"/>
  <c r="AD17" i="4"/>
  <c r="AC17" i="4"/>
  <c r="AB17" i="4"/>
  <c r="AA17" i="4"/>
  <c r="Z17" i="4"/>
  <c r="Y17" i="4"/>
  <c r="X17" i="4"/>
  <c r="W17" i="4"/>
  <c r="V17" i="4"/>
  <c r="U17" i="4"/>
  <c r="T17" i="4"/>
  <c r="S17" i="4"/>
  <c r="TD16" i="4"/>
  <c r="HK16" i="4"/>
  <c r="HJ16" i="4"/>
  <c r="HI16" i="4"/>
  <c r="HH16" i="4"/>
  <c r="HG16" i="4"/>
  <c r="HF16" i="4"/>
  <c r="HE16" i="4"/>
  <c r="HD16" i="4"/>
  <c r="HC16" i="4"/>
  <c r="HB16" i="4"/>
  <c r="HA16" i="4"/>
  <c r="GZ16" i="4"/>
  <c r="GY16" i="4"/>
  <c r="GX16" i="4"/>
  <c r="GW16" i="4"/>
  <c r="GV16" i="4"/>
  <c r="GU16" i="4"/>
  <c r="GT16" i="4"/>
  <c r="GS16" i="4"/>
  <c r="GR16" i="4"/>
  <c r="GQ16" i="4"/>
  <c r="GP16" i="4"/>
  <c r="GO16" i="4"/>
  <c r="GN16" i="4"/>
  <c r="GM16" i="4"/>
  <c r="GL16" i="4"/>
  <c r="GK16" i="4"/>
  <c r="GJ16" i="4"/>
  <c r="GI16" i="4"/>
  <c r="GH16" i="4"/>
  <c r="GG16" i="4"/>
  <c r="GF16" i="4"/>
  <c r="GE16" i="4"/>
  <c r="GD16" i="4"/>
  <c r="GC16" i="4"/>
  <c r="GB16" i="4"/>
  <c r="GA16" i="4"/>
  <c r="FZ16" i="4"/>
  <c r="FY16" i="4"/>
  <c r="FX16" i="4"/>
  <c r="FW16" i="4"/>
  <c r="FV16" i="4"/>
  <c r="FU16" i="4"/>
  <c r="FT16" i="4"/>
  <c r="FS16" i="4"/>
  <c r="FR16" i="4"/>
  <c r="FQ16" i="4"/>
  <c r="FP16" i="4"/>
  <c r="FO16" i="4"/>
  <c r="FN16" i="4"/>
  <c r="FM16" i="4"/>
  <c r="FL16" i="4"/>
  <c r="FK16" i="4"/>
  <c r="FJ16" i="4"/>
  <c r="FI16" i="4"/>
  <c r="FH16" i="4"/>
  <c r="FG16" i="4"/>
  <c r="FF16" i="4"/>
  <c r="FE16" i="4"/>
  <c r="FD16" i="4"/>
  <c r="FC16" i="4"/>
  <c r="FB16" i="4"/>
  <c r="FA16" i="4"/>
  <c r="EZ16" i="4"/>
  <c r="EY16" i="4"/>
  <c r="EX16" i="4"/>
  <c r="EW16" i="4"/>
  <c r="EV16" i="4"/>
  <c r="EU16" i="4"/>
  <c r="ET16" i="4"/>
  <c r="ES16" i="4"/>
  <c r="ER16" i="4"/>
  <c r="EQ16" i="4"/>
  <c r="EP16" i="4"/>
  <c r="EO16" i="4"/>
  <c r="EN16" i="4"/>
  <c r="EM16" i="4"/>
  <c r="EL16" i="4"/>
  <c r="EK16" i="4"/>
  <c r="EJ16" i="4"/>
  <c r="EI16" i="4"/>
  <c r="EH16" i="4"/>
  <c r="EG16" i="4"/>
  <c r="EF16" i="4"/>
  <c r="EE16" i="4"/>
  <c r="ED16" i="4"/>
  <c r="EC16" i="4"/>
  <c r="EB16" i="4"/>
  <c r="EA16" i="4"/>
  <c r="DZ16" i="4"/>
  <c r="DY16" i="4"/>
  <c r="DX16" i="4"/>
  <c r="DW16" i="4"/>
  <c r="DV16" i="4"/>
  <c r="DU16" i="4"/>
  <c r="DT16" i="4"/>
  <c r="DS16" i="4"/>
  <c r="DR16" i="4"/>
  <c r="DQ16" i="4"/>
  <c r="DP16" i="4"/>
  <c r="DO16" i="4"/>
  <c r="DN16" i="4"/>
  <c r="DM16" i="4"/>
  <c r="DL16" i="4"/>
  <c r="DK16" i="4"/>
  <c r="DJ16" i="4"/>
  <c r="DI16" i="4"/>
  <c r="DH16" i="4"/>
  <c r="DG16" i="4"/>
  <c r="DF16" i="4"/>
  <c r="DE16" i="4"/>
  <c r="DD16" i="4"/>
  <c r="DC16" i="4"/>
  <c r="DB16" i="4"/>
  <c r="DA16" i="4"/>
  <c r="CZ16" i="4"/>
  <c r="CY16" i="4"/>
  <c r="CX16" i="4"/>
  <c r="CW16" i="4"/>
  <c r="CV16" i="4"/>
  <c r="CU16" i="4"/>
  <c r="CT16" i="4"/>
  <c r="CS16" i="4"/>
  <c r="CR16" i="4"/>
  <c r="CQ16" i="4"/>
  <c r="CP16" i="4"/>
  <c r="CO16" i="4"/>
  <c r="CN16" i="4"/>
  <c r="CM16" i="4"/>
  <c r="CL16" i="4"/>
  <c r="CK16" i="4"/>
  <c r="CJ16" i="4"/>
  <c r="CI16" i="4"/>
  <c r="CH16" i="4"/>
  <c r="CG16" i="4"/>
  <c r="CF16" i="4"/>
  <c r="CE16" i="4"/>
  <c r="CD16" i="4"/>
  <c r="CC16" i="4"/>
  <c r="CB16" i="4"/>
  <c r="CA16" i="4"/>
  <c r="BZ16" i="4"/>
  <c r="BY16" i="4"/>
  <c r="BX16" i="4"/>
  <c r="BW16" i="4"/>
  <c r="BV16" i="4"/>
  <c r="BU16" i="4"/>
  <c r="BT16" i="4"/>
  <c r="BS16" i="4"/>
  <c r="BR16" i="4"/>
  <c r="BQ16" i="4"/>
  <c r="BP16" i="4"/>
  <c r="BO16" i="4"/>
  <c r="BN16" i="4"/>
  <c r="BM16" i="4"/>
  <c r="BL16" i="4"/>
  <c r="BK16" i="4"/>
  <c r="BJ16" i="4"/>
  <c r="BI16" i="4"/>
  <c r="BH16" i="4"/>
  <c r="BG16" i="4"/>
  <c r="BF16" i="4"/>
  <c r="BE16" i="4"/>
  <c r="BD16" i="4"/>
  <c r="BC16" i="4"/>
  <c r="BB16" i="4"/>
  <c r="BA16" i="4"/>
  <c r="AZ16" i="4"/>
  <c r="AY16" i="4"/>
  <c r="AX16" i="4"/>
  <c r="AW16" i="4"/>
  <c r="AV16" i="4"/>
  <c r="AU16" i="4"/>
  <c r="AT16" i="4"/>
  <c r="AS16" i="4"/>
  <c r="AR16" i="4"/>
  <c r="AQ16" i="4"/>
  <c r="AP16" i="4"/>
  <c r="AO16" i="4"/>
  <c r="AN16" i="4"/>
  <c r="AM16" i="4"/>
  <c r="AL16" i="4"/>
  <c r="AK16" i="4"/>
  <c r="AJ16" i="4"/>
  <c r="AI16" i="4"/>
  <c r="AH16" i="4"/>
  <c r="AG16" i="4"/>
  <c r="AF16" i="4"/>
  <c r="AE16" i="4"/>
  <c r="AD16" i="4"/>
  <c r="AC16" i="4"/>
  <c r="AB16" i="4"/>
  <c r="AA16" i="4"/>
  <c r="Z16" i="4"/>
  <c r="Y16" i="4"/>
  <c r="X16" i="4"/>
  <c r="W16" i="4"/>
  <c r="V16" i="4"/>
  <c r="U16" i="4"/>
  <c r="T16" i="4"/>
  <c r="S16" i="4"/>
  <c r="TD15" i="4"/>
  <c r="HK15" i="4"/>
  <c r="HJ15" i="4"/>
  <c r="HI15" i="4"/>
  <c r="HH15" i="4"/>
  <c r="HG15" i="4"/>
  <c r="HF15" i="4"/>
  <c r="HE15" i="4"/>
  <c r="HD15" i="4"/>
  <c r="HC15" i="4"/>
  <c r="HB15" i="4"/>
  <c r="HA15" i="4"/>
  <c r="GZ15" i="4"/>
  <c r="GY15" i="4"/>
  <c r="GX15" i="4"/>
  <c r="GW15" i="4"/>
  <c r="GV15" i="4"/>
  <c r="GU15" i="4"/>
  <c r="GT15" i="4"/>
  <c r="GS15" i="4"/>
  <c r="GR15" i="4"/>
  <c r="GQ15" i="4"/>
  <c r="GP15" i="4"/>
  <c r="GO15" i="4"/>
  <c r="GN15" i="4"/>
  <c r="GM15" i="4"/>
  <c r="GL15" i="4"/>
  <c r="GK15" i="4"/>
  <c r="GJ15" i="4"/>
  <c r="GI15" i="4"/>
  <c r="GH15" i="4"/>
  <c r="GG15" i="4"/>
  <c r="GF15" i="4"/>
  <c r="GE15" i="4"/>
  <c r="GD15" i="4"/>
  <c r="GC15" i="4"/>
  <c r="GB15" i="4"/>
  <c r="GA15" i="4"/>
  <c r="FZ15" i="4"/>
  <c r="FY15" i="4"/>
  <c r="FX15" i="4"/>
  <c r="FW15" i="4"/>
  <c r="FV15" i="4"/>
  <c r="FU15" i="4"/>
  <c r="FT15" i="4"/>
  <c r="FS15" i="4"/>
  <c r="FR15" i="4"/>
  <c r="FQ15" i="4"/>
  <c r="FP15" i="4"/>
  <c r="FO15" i="4"/>
  <c r="FN15" i="4"/>
  <c r="FM15" i="4"/>
  <c r="FL15" i="4"/>
  <c r="FK15" i="4"/>
  <c r="FJ15" i="4"/>
  <c r="FI15" i="4"/>
  <c r="FH15" i="4"/>
  <c r="FG15" i="4"/>
  <c r="FF15" i="4"/>
  <c r="FE15" i="4"/>
  <c r="FD15" i="4"/>
  <c r="FC15" i="4"/>
  <c r="FB15" i="4"/>
  <c r="FA15" i="4"/>
  <c r="EZ15" i="4"/>
  <c r="EY15" i="4"/>
  <c r="EX15" i="4"/>
  <c r="EW15" i="4"/>
  <c r="EV15" i="4"/>
  <c r="EU15" i="4"/>
  <c r="ET15" i="4"/>
  <c r="ES15" i="4"/>
  <c r="ER15" i="4"/>
  <c r="EQ15" i="4"/>
  <c r="EP15" i="4"/>
  <c r="EO15" i="4"/>
  <c r="EN15" i="4"/>
  <c r="EM15" i="4"/>
  <c r="EL15" i="4"/>
  <c r="EK15" i="4"/>
  <c r="EJ15" i="4"/>
  <c r="EI15" i="4"/>
  <c r="EH15" i="4"/>
  <c r="EG15" i="4"/>
  <c r="EF15" i="4"/>
  <c r="EE15" i="4"/>
  <c r="ED15" i="4"/>
  <c r="EC15" i="4"/>
  <c r="EB15" i="4"/>
  <c r="EA15" i="4"/>
  <c r="DZ15" i="4"/>
  <c r="DY15" i="4"/>
  <c r="DX15" i="4"/>
  <c r="DW15" i="4"/>
  <c r="DV15" i="4"/>
  <c r="DU15" i="4"/>
  <c r="DT15" i="4"/>
  <c r="DS15" i="4"/>
  <c r="DR15" i="4"/>
  <c r="DQ15" i="4"/>
  <c r="DP15" i="4"/>
  <c r="DO15" i="4"/>
  <c r="DN15" i="4"/>
  <c r="DM15" i="4"/>
  <c r="DL15" i="4"/>
  <c r="DK15" i="4"/>
  <c r="DJ15" i="4"/>
  <c r="DI15" i="4"/>
  <c r="DH15" i="4"/>
  <c r="DG15" i="4"/>
  <c r="DF15" i="4"/>
  <c r="DE15" i="4"/>
  <c r="DD15" i="4"/>
  <c r="DC15" i="4"/>
  <c r="DB15" i="4"/>
  <c r="DA15" i="4"/>
  <c r="CZ15" i="4"/>
  <c r="CY15" i="4"/>
  <c r="CX15" i="4"/>
  <c r="CW15" i="4"/>
  <c r="CV15" i="4"/>
  <c r="CU15" i="4"/>
  <c r="CT15" i="4"/>
  <c r="CS15" i="4"/>
  <c r="CR15" i="4"/>
  <c r="CQ15" i="4"/>
  <c r="CP15" i="4"/>
  <c r="CO15" i="4"/>
  <c r="CN15" i="4"/>
  <c r="CM15" i="4"/>
  <c r="CL15" i="4"/>
  <c r="CK15" i="4"/>
  <c r="CJ15" i="4"/>
  <c r="CI15" i="4"/>
  <c r="CH15" i="4"/>
  <c r="CG15" i="4"/>
  <c r="CF15" i="4"/>
  <c r="CE15" i="4"/>
  <c r="CD15" i="4"/>
  <c r="CC15" i="4"/>
  <c r="CB15" i="4"/>
  <c r="CA15" i="4"/>
  <c r="BZ15" i="4"/>
  <c r="BY15" i="4"/>
  <c r="BX15" i="4"/>
  <c r="BW15" i="4"/>
  <c r="BV15" i="4"/>
  <c r="BU15" i="4"/>
  <c r="BT15" i="4"/>
  <c r="BS15" i="4"/>
  <c r="BR15" i="4"/>
  <c r="BQ15" i="4"/>
  <c r="BP15" i="4"/>
  <c r="BO15" i="4"/>
  <c r="BN15" i="4"/>
  <c r="BM15" i="4"/>
  <c r="BL15" i="4"/>
  <c r="BK15" i="4"/>
  <c r="BJ15" i="4"/>
  <c r="BI15" i="4"/>
  <c r="BH15" i="4"/>
  <c r="BG15" i="4"/>
  <c r="BF15" i="4"/>
  <c r="BE15" i="4"/>
  <c r="BD15" i="4"/>
  <c r="BC15" i="4"/>
  <c r="BB15" i="4"/>
  <c r="BA15" i="4"/>
  <c r="AZ15" i="4"/>
  <c r="AY15" i="4"/>
  <c r="AX15" i="4"/>
  <c r="AW15" i="4"/>
  <c r="AV15" i="4"/>
  <c r="AU15" i="4"/>
  <c r="AT15" i="4"/>
  <c r="AS15" i="4"/>
  <c r="AR15" i="4"/>
  <c r="AQ15" i="4"/>
  <c r="AP15" i="4"/>
  <c r="AO15" i="4"/>
  <c r="AN15" i="4"/>
  <c r="AM15" i="4"/>
  <c r="AL15" i="4"/>
  <c r="AK15" i="4"/>
  <c r="AJ15" i="4"/>
  <c r="AI15" i="4"/>
  <c r="AH15" i="4"/>
  <c r="AG15" i="4"/>
  <c r="AF15" i="4"/>
  <c r="AE15" i="4"/>
  <c r="AD15" i="4"/>
  <c r="AC15" i="4"/>
  <c r="AB15" i="4"/>
  <c r="AA15" i="4"/>
  <c r="Z15" i="4"/>
  <c r="Y15" i="4"/>
  <c r="X15" i="4"/>
  <c r="W15" i="4"/>
  <c r="V15" i="4"/>
  <c r="U15" i="4"/>
  <c r="T15" i="4"/>
  <c r="S15" i="4"/>
  <c r="TD14" i="4"/>
  <c r="HK14" i="4"/>
  <c r="HJ14" i="4"/>
  <c r="HI14" i="4"/>
  <c r="HH14" i="4"/>
  <c r="HG14" i="4"/>
  <c r="HF14" i="4"/>
  <c r="HE14" i="4"/>
  <c r="HD14" i="4"/>
  <c r="HC14" i="4"/>
  <c r="HB14" i="4"/>
  <c r="HA14" i="4"/>
  <c r="GZ14" i="4"/>
  <c r="GY14" i="4"/>
  <c r="GX14" i="4"/>
  <c r="GW14" i="4"/>
  <c r="GV14" i="4"/>
  <c r="GU14" i="4"/>
  <c r="GT14" i="4"/>
  <c r="GS14" i="4"/>
  <c r="GR14" i="4"/>
  <c r="GQ14" i="4"/>
  <c r="GP14" i="4"/>
  <c r="GO14" i="4"/>
  <c r="GN14" i="4"/>
  <c r="GM14" i="4"/>
  <c r="GL14" i="4"/>
  <c r="GK14" i="4"/>
  <c r="GJ14" i="4"/>
  <c r="GI14" i="4"/>
  <c r="GH14" i="4"/>
  <c r="GG14" i="4"/>
  <c r="GF14" i="4"/>
  <c r="GE14" i="4"/>
  <c r="GD14" i="4"/>
  <c r="GC14" i="4"/>
  <c r="GB14" i="4"/>
  <c r="GA14" i="4"/>
  <c r="FZ14" i="4"/>
  <c r="FY14" i="4"/>
  <c r="FX14" i="4"/>
  <c r="FW14" i="4"/>
  <c r="FV14" i="4"/>
  <c r="FU14" i="4"/>
  <c r="FT14" i="4"/>
  <c r="FS14" i="4"/>
  <c r="FR14" i="4"/>
  <c r="FQ14" i="4"/>
  <c r="FP14" i="4"/>
  <c r="FO14" i="4"/>
  <c r="FN14" i="4"/>
  <c r="FM14" i="4"/>
  <c r="FL14" i="4"/>
  <c r="FK14" i="4"/>
  <c r="FJ14" i="4"/>
  <c r="FI14" i="4"/>
  <c r="FH14" i="4"/>
  <c r="FG14" i="4"/>
  <c r="FF14" i="4"/>
  <c r="FE14" i="4"/>
  <c r="FD14" i="4"/>
  <c r="FC14" i="4"/>
  <c r="FB14" i="4"/>
  <c r="FA14" i="4"/>
  <c r="EZ14" i="4"/>
  <c r="EY14" i="4"/>
  <c r="EX14" i="4"/>
  <c r="EW14" i="4"/>
  <c r="EV14" i="4"/>
  <c r="EU14" i="4"/>
  <c r="ET14" i="4"/>
  <c r="ES14" i="4"/>
  <c r="ER14" i="4"/>
  <c r="EQ14" i="4"/>
  <c r="EP14" i="4"/>
  <c r="EO14" i="4"/>
  <c r="EN14" i="4"/>
  <c r="EM14" i="4"/>
  <c r="EL14" i="4"/>
  <c r="EK14" i="4"/>
  <c r="EJ14" i="4"/>
  <c r="EI14" i="4"/>
  <c r="EH14" i="4"/>
  <c r="EG14" i="4"/>
  <c r="EF14" i="4"/>
  <c r="EE14" i="4"/>
  <c r="ED14" i="4"/>
  <c r="EC14" i="4"/>
  <c r="EB14" i="4"/>
  <c r="EA14" i="4"/>
  <c r="DZ14" i="4"/>
  <c r="DY14" i="4"/>
  <c r="DX14" i="4"/>
  <c r="DW14" i="4"/>
  <c r="DV14" i="4"/>
  <c r="DU14" i="4"/>
  <c r="DT14" i="4"/>
  <c r="DS14" i="4"/>
  <c r="DR14" i="4"/>
  <c r="DQ14" i="4"/>
  <c r="DP14" i="4"/>
  <c r="DO14" i="4"/>
  <c r="DN14" i="4"/>
  <c r="DM14" i="4"/>
  <c r="DL14" i="4"/>
  <c r="DK14" i="4"/>
  <c r="DJ14" i="4"/>
  <c r="DI14" i="4"/>
  <c r="DH14" i="4"/>
  <c r="DG14" i="4"/>
  <c r="DF14" i="4"/>
  <c r="DE14" i="4"/>
  <c r="DD14" i="4"/>
  <c r="DC14" i="4"/>
  <c r="DB14" i="4"/>
  <c r="DA14" i="4"/>
  <c r="CZ14" i="4"/>
  <c r="CY14" i="4"/>
  <c r="CX14" i="4"/>
  <c r="CW14" i="4"/>
  <c r="CV14" i="4"/>
  <c r="CU14" i="4"/>
  <c r="CT14" i="4"/>
  <c r="CS14" i="4"/>
  <c r="CR14" i="4"/>
  <c r="CQ14" i="4"/>
  <c r="CP14" i="4"/>
  <c r="CO14" i="4"/>
  <c r="CN14" i="4"/>
  <c r="CM14" i="4"/>
  <c r="CL14" i="4"/>
  <c r="CK14" i="4"/>
  <c r="CJ14" i="4"/>
  <c r="CI14" i="4"/>
  <c r="CH14" i="4"/>
  <c r="CG14" i="4"/>
  <c r="CF14" i="4"/>
  <c r="CE14" i="4"/>
  <c r="CD14" i="4"/>
  <c r="CC14" i="4"/>
  <c r="CB14" i="4"/>
  <c r="CA14" i="4"/>
  <c r="BZ14" i="4"/>
  <c r="BY14" i="4"/>
  <c r="BX14" i="4"/>
  <c r="BW14" i="4"/>
  <c r="BV14" i="4"/>
  <c r="BU14" i="4"/>
  <c r="BT14" i="4"/>
  <c r="BS14" i="4"/>
  <c r="BR14" i="4"/>
  <c r="BQ14" i="4"/>
  <c r="BP14" i="4"/>
  <c r="BO14" i="4"/>
  <c r="BN14" i="4"/>
  <c r="BM14" i="4"/>
  <c r="BL14" i="4"/>
  <c r="BK14" i="4"/>
  <c r="BJ14" i="4"/>
  <c r="BI14" i="4"/>
  <c r="BH14" i="4"/>
  <c r="BG14" i="4"/>
  <c r="BF14" i="4"/>
  <c r="BE14" i="4"/>
  <c r="BD14" i="4"/>
  <c r="BC14" i="4"/>
  <c r="BB14" i="4"/>
  <c r="BA14" i="4"/>
  <c r="AZ14" i="4"/>
  <c r="AY14" i="4"/>
  <c r="AX14" i="4"/>
  <c r="AW14" i="4"/>
  <c r="AV14" i="4"/>
  <c r="AU14" i="4"/>
  <c r="AT14" i="4"/>
  <c r="AS14" i="4"/>
  <c r="AR14" i="4"/>
  <c r="AQ14" i="4"/>
  <c r="AP14" i="4"/>
  <c r="AO14" i="4"/>
  <c r="AN14" i="4"/>
  <c r="AM14" i="4"/>
  <c r="AL14" i="4"/>
  <c r="AK14" i="4"/>
  <c r="AJ14" i="4"/>
  <c r="AI14" i="4"/>
  <c r="AH14" i="4"/>
  <c r="AG14" i="4"/>
  <c r="AF14" i="4"/>
  <c r="AE14" i="4"/>
  <c r="AD14" i="4"/>
  <c r="AC14" i="4"/>
  <c r="AB14" i="4"/>
  <c r="AA14" i="4"/>
  <c r="Z14" i="4"/>
  <c r="Y14" i="4"/>
  <c r="X14" i="4"/>
  <c r="W14" i="4"/>
  <c r="V14" i="4"/>
  <c r="U14" i="4"/>
  <c r="T14" i="4"/>
  <c r="S14" i="4"/>
  <c r="TD13" i="4"/>
  <c r="HK13" i="4"/>
  <c r="HJ13" i="4"/>
  <c r="HI13" i="4"/>
  <c r="HH13" i="4"/>
  <c r="HG13" i="4"/>
  <c r="HF13" i="4"/>
  <c r="HE13" i="4"/>
  <c r="HD13" i="4"/>
  <c r="HC13" i="4"/>
  <c r="HB13" i="4"/>
  <c r="HA13" i="4"/>
  <c r="GZ13" i="4"/>
  <c r="GY13" i="4"/>
  <c r="GX13" i="4"/>
  <c r="GW13" i="4"/>
  <c r="GV13" i="4"/>
  <c r="GU13" i="4"/>
  <c r="GT13" i="4"/>
  <c r="GS13" i="4"/>
  <c r="GR13" i="4"/>
  <c r="GQ13" i="4"/>
  <c r="GP13" i="4"/>
  <c r="GO13" i="4"/>
  <c r="GN13" i="4"/>
  <c r="GM13" i="4"/>
  <c r="GL13" i="4"/>
  <c r="GK13" i="4"/>
  <c r="GJ13" i="4"/>
  <c r="GI13" i="4"/>
  <c r="GH13" i="4"/>
  <c r="GG13" i="4"/>
  <c r="GF13" i="4"/>
  <c r="GE13" i="4"/>
  <c r="GD13" i="4"/>
  <c r="GC13" i="4"/>
  <c r="GB13" i="4"/>
  <c r="GA13" i="4"/>
  <c r="FZ13" i="4"/>
  <c r="FY13" i="4"/>
  <c r="FX13" i="4"/>
  <c r="FW13" i="4"/>
  <c r="FV13" i="4"/>
  <c r="FU13" i="4"/>
  <c r="FT13" i="4"/>
  <c r="FS13" i="4"/>
  <c r="FR13" i="4"/>
  <c r="FQ13" i="4"/>
  <c r="FP13" i="4"/>
  <c r="FO13" i="4"/>
  <c r="FN13" i="4"/>
  <c r="FM13" i="4"/>
  <c r="FL13" i="4"/>
  <c r="FK13" i="4"/>
  <c r="FJ13" i="4"/>
  <c r="FI13" i="4"/>
  <c r="FH13" i="4"/>
  <c r="FG13" i="4"/>
  <c r="FF13" i="4"/>
  <c r="FE13" i="4"/>
  <c r="FD13" i="4"/>
  <c r="FC13" i="4"/>
  <c r="FB13" i="4"/>
  <c r="FA13" i="4"/>
  <c r="EZ13" i="4"/>
  <c r="EY13" i="4"/>
  <c r="EX13" i="4"/>
  <c r="EW13" i="4"/>
  <c r="EV13" i="4"/>
  <c r="EU13" i="4"/>
  <c r="ET13" i="4"/>
  <c r="ES13" i="4"/>
  <c r="ER13" i="4"/>
  <c r="EQ13" i="4"/>
  <c r="EP13" i="4"/>
  <c r="EO13" i="4"/>
  <c r="EN13" i="4"/>
  <c r="EM13" i="4"/>
  <c r="EL13" i="4"/>
  <c r="EK13" i="4"/>
  <c r="EJ13" i="4"/>
  <c r="EI13" i="4"/>
  <c r="EH13" i="4"/>
  <c r="EG13" i="4"/>
  <c r="EF13" i="4"/>
  <c r="EE13" i="4"/>
  <c r="ED13" i="4"/>
  <c r="EC13" i="4"/>
  <c r="EB13" i="4"/>
  <c r="EA13" i="4"/>
  <c r="DZ13" i="4"/>
  <c r="DY13" i="4"/>
  <c r="DX13" i="4"/>
  <c r="DW13" i="4"/>
  <c r="DV13" i="4"/>
  <c r="DU13" i="4"/>
  <c r="DT13" i="4"/>
  <c r="DS13" i="4"/>
  <c r="DR13" i="4"/>
  <c r="DQ13" i="4"/>
  <c r="DP13" i="4"/>
  <c r="DO13" i="4"/>
  <c r="DN13" i="4"/>
  <c r="DM13" i="4"/>
  <c r="DL13" i="4"/>
  <c r="DK13" i="4"/>
  <c r="DJ13" i="4"/>
  <c r="DI13" i="4"/>
  <c r="DH13" i="4"/>
  <c r="DG13" i="4"/>
  <c r="DF13" i="4"/>
  <c r="DE13" i="4"/>
  <c r="DD13" i="4"/>
  <c r="DC13" i="4"/>
  <c r="DB13" i="4"/>
  <c r="DA13" i="4"/>
  <c r="CZ13" i="4"/>
  <c r="CY13" i="4"/>
  <c r="CX13" i="4"/>
  <c r="CW13" i="4"/>
  <c r="CV13" i="4"/>
  <c r="CU13" i="4"/>
  <c r="CT13" i="4"/>
  <c r="CS13" i="4"/>
  <c r="CR13" i="4"/>
  <c r="CQ13" i="4"/>
  <c r="CP13" i="4"/>
  <c r="CO13" i="4"/>
  <c r="CN13" i="4"/>
  <c r="CM13" i="4"/>
  <c r="CL13" i="4"/>
  <c r="CK13" i="4"/>
  <c r="CJ13" i="4"/>
  <c r="CI13" i="4"/>
  <c r="CH13" i="4"/>
  <c r="CG13" i="4"/>
  <c r="CF13" i="4"/>
  <c r="CE13" i="4"/>
  <c r="CD13" i="4"/>
  <c r="CC13" i="4"/>
  <c r="CB13" i="4"/>
  <c r="CA13" i="4"/>
  <c r="BZ13" i="4"/>
  <c r="BY13" i="4"/>
  <c r="BX13" i="4"/>
  <c r="BW13" i="4"/>
  <c r="BV13" i="4"/>
  <c r="BU13" i="4"/>
  <c r="BT13" i="4"/>
  <c r="BS13" i="4"/>
  <c r="BR13" i="4"/>
  <c r="BQ13" i="4"/>
  <c r="BP13" i="4"/>
  <c r="BO13" i="4"/>
  <c r="BN13" i="4"/>
  <c r="BM13" i="4"/>
  <c r="BL13" i="4"/>
  <c r="BK13" i="4"/>
  <c r="BJ13" i="4"/>
  <c r="BI13" i="4"/>
  <c r="BH13" i="4"/>
  <c r="BG13" i="4"/>
  <c r="BF13" i="4"/>
  <c r="BE13" i="4"/>
  <c r="BD13" i="4"/>
  <c r="BC13" i="4"/>
  <c r="BB13" i="4"/>
  <c r="BA13" i="4"/>
  <c r="AZ13" i="4"/>
  <c r="AY13" i="4"/>
  <c r="AX13" i="4"/>
  <c r="AW13" i="4"/>
  <c r="AV13" i="4"/>
  <c r="AU13" i="4"/>
  <c r="AT13" i="4"/>
  <c r="AS13" i="4"/>
  <c r="AR13" i="4"/>
  <c r="AQ13" i="4"/>
  <c r="AP13" i="4"/>
  <c r="AO13" i="4"/>
  <c r="AN13" i="4"/>
  <c r="AM13" i="4"/>
  <c r="AL13" i="4"/>
  <c r="AK13" i="4"/>
  <c r="AJ13" i="4"/>
  <c r="AI13" i="4"/>
  <c r="AH13" i="4"/>
  <c r="AG13" i="4"/>
  <c r="AF13" i="4"/>
  <c r="AE13" i="4"/>
  <c r="AD13" i="4"/>
  <c r="AC13" i="4"/>
  <c r="AB13" i="4"/>
  <c r="AA13" i="4"/>
  <c r="Z13" i="4"/>
  <c r="Y13" i="4"/>
  <c r="X13" i="4"/>
  <c r="W13" i="4"/>
  <c r="V13" i="4"/>
  <c r="U13" i="4"/>
  <c r="T13" i="4"/>
  <c r="S13" i="4"/>
  <c r="TD12" i="4"/>
  <c r="HK12" i="4"/>
  <c r="HJ12" i="4"/>
  <c r="HI12" i="4"/>
  <c r="HH12" i="4"/>
  <c r="HG12" i="4"/>
  <c r="HF12" i="4"/>
  <c r="HE12" i="4"/>
  <c r="HD12" i="4"/>
  <c r="HC12" i="4"/>
  <c r="HB12" i="4"/>
  <c r="HA12" i="4"/>
  <c r="GZ12" i="4"/>
  <c r="GY12" i="4"/>
  <c r="GX12" i="4"/>
  <c r="GW12" i="4"/>
  <c r="GV12" i="4"/>
  <c r="GU12" i="4"/>
  <c r="GT12" i="4"/>
  <c r="GS12" i="4"/>
  <c r="GR12" i="4"/>
  <c r="GQ12" i="4"/>
  <c r="GP12" i="4"/>
  <c r="GO12" i="4"/>
  <c r="GN12" i="4"/>
  <c r="GM12" i="4"/>
  <c r="GL12" i="4"/>
  <c r="GK12" i="4"/>
  <c r="GJ12" i="4"/>
  <c r="GI12" i="4"/>
  <c r="GH12" i="4"/>
  <c r="GG12" i="4"/>
  <c r="GF12" i="4"/>
  <c r="GE12" i="4"/>
  <c r="GD12" i="4"/>
  <c r="GC12" i="4"/>
  <c r="GB12" i="4"/>
  <c r="GA12" i="4"/>
  <c r="FZ12" i="4"/>
  <c r="FY12" i="4"/>
  <c r="FX12" i="4"/>
  <c r="FW12" i="4"/>
  <c r="FV12" i="4"/>
  <c r="FU12" i="4"/>
  <c r="FT12" i="4"/>
  <c r="FS12" i="4"/>
  <c r="FR12" i="4"/>
  <c r="FQ12" i="4"/>
  <c r="FP12" i="4"/>
  <c r="FO12" i="4"/>
  <c r="FN12" i="4"/>
  <c r="FM12" i="4"/>
  <c r="FL12" i="4"/>
  <c r="FK12" i="4"/>
  <c r="FJ12" i="4"/>
  <c r="FI12" i="4"/>
  <c r="FH12" i="4"/>
  <c r="FG12" i="4"/>
  <c r="FF12" i="4"/>
  <c r="FE12" i="4"/>
  <c r="FD12" i="4"/>
  <c r="FC12" i="4"/>
  <c r="FB12" i="4"/>
  <c r="FA12" i="4"/>
  <c r="EZ12" i="4"/>
  <c r="EY12" i="4"/>
  <c r="EX12" i="4"/>
  <c r="EW12" i="4"/>
  <c r="EV12" i="4"/>
  <c r="EU12" i="4"/>
  <c r="ET12" i="4"/>
  <c r="ES12" i="4"/>
  <c r="ER12" i="4"/>
  <c r="EQ12" i="4"/>
  <c r="EP12" i="4"/>
  <c r="EO12" i="4"/>
  <c r="EN12" i="4"/>
  <c r="EM12" i="4"/>
  <c r="EL12" i="4"/>
  <c r="EK12" i="4"/>
  <c r="EJ12" i="4"/>
  <c r="EI12" i="4"/>
  <c r="EH12" i="4"/>
  <c r="EG12" i="4"/>
  <c r="EF12" i="4"/>
  <c r="EE12" i="4"/>
  <c r="ED12" i="4"/>
  <c r="EC12" i="4"/>
  <c r="EB12" i="4"/>
  <c r="EA12" i="4"/>
  <c r="DZ12" i="4"/>
  <c r="DY12" i="4"/>
  <c r="DX12" i="4"/>
  <c r="DW12" i="4"/>
  <c r="DV12" i="4"/>
  <c r="DU12" i="4"/>
  <c r="DT12" i="4"/>
  <c r="DS12" i="4"/>
  <c r="DR12" i="4"/>
  <c r="DQ12" i="4"/>
  <c r="DP12" i="4"/>
  <c r="DO12" i="4"/>
  <c r="DN12" i="4"/>
  <c r="DM12" i="4"/>
  <c r="DL12" i="4"/>
  <c r="DK12" i="4"/>
  <c r="DJ12" i="4"/>
  <c r="DI12" i="4"/>
  <c r="DH12" i="4"/>
  <c r="DG12" i="4"/>
  <c r="DF12" i="4"/>
  <c r="DE12" i="4"/>
  <c r="DD12" i="4"/>
  <c r="DC12" i="4"/>
  <c r="DB12" i="4"/>
  <c r="DA12" i="4"/>
  <c r="CZ12" i="4"/>
  <c r="CY12" i="4"/>
  <c r="CX12" i="4"/>
  <c r="CW12" i="4"/>
  <c r="CV12" i="4"/>
  <c r="CU12" i="4"/>
  <c r="CT12" i="4"/>
  <c r="CS12" i="4"/>
  <c r="CR12" i="4"/>
  <c r="CQ12" i="4"/>
  <c r="CP12" i="4"/>
  <c r="CO12" i="4"/>
  <c r="CN12" i="4"/>
  <c r="CM12" i="4"/>
  <c r="CL12" i="4"/>
  <c r="CK12" i="4"/>
  <c r="CJ12" i="4"/>
  <c r="CI12" i="4"/>
  <c r="CH12" i="4"/>
  <c r="CG12" i="4"/>
  <c r="CF12" i="4"/>
  <c r="CE12" i="4"/>
  <c r="CD12" i="4"/>
  <c r="CC12" i="4"/>
  <c r="CB12" i="4"/>
  <c r="CA12" i="4"/>
  <c r="BZ12" i="4"/>
  <c r="BY12" i="4"/>
  <c r="BX12" i="4"/>
  <c r="BW12" i="4"/>
  <c r="BV12" i="4"/>
  <c r="BU12" i="4"/>
  <c r="BT12" i="4"/>
  <c r="BS12" i="4"/>
  <c r="BR12" i="4"/>
  <c r="BQ12" i="4"/>
  <c r="BP12" i="4"/>
  <c r="BO12" i="4"/>
  <c r="BN12" i="4"/>
  <c r="BM12" i="4"/>
  <c r="BL12" i="4"/>
  <c r="BK12" i="4"/>
  <c r="BJ12" i="4"/>
  <c r="BI12" i="4"/>
  <c r="BH12" i="4"/>
  <c r="BG12" i="4"/>
  <c r="BF12" i="4"/>
  <c r="BE12" i="4"/>
  <c r="BD12" i="4"/>
  <c r="BC12" i="4"/>
  <c r="BB12" i="4"/>
  <c r="BA12" i="4"/>
  <c r="AZ12" i="4"/>
  <c r="AY12" i="4"/>
  <c r="AX12" i="4"/>
  <c r="AW12" i="4"/>
  <c r="AV12" i="4"/>
  <c r="AU12" i="4"/>
  <c r="AT12" i="4"/>
  <c r="AS12" i="4"/>
  <c r="AR12" i="4"/>
  <c r="AQ12" i="4"/>
  <c r="AP12" i="4"/>
  <c r="AO12" i="4"/>
  <c r="AN12" i="4"/>
  <c r="AM12" i="4"/>
  <c r="AL12" i="4"/>
  <c r="AK12" i="4"/>
  <c r="AJ12" i="4"/>
  <c r="AI12" i="4"/>
  <c r="AH12" i="4"/>
  <c r="AG12" i="4"/>
  <c r="AF12" i="4"/>
  <c r="AE12" i="4"/>
  <c r="AD12" i="4"/>
  <c r="AC12" i="4"/>
  <c r="AB12" i="4"/>
  <c r="AA12" i="4"/>
  <c r="Z12" i="4"/>
  <c r="Y12" i="4"/>
  <c r="X12" i="4"/>
  <c r="W12" i="4"/>
  <c r="V12" i="4"/>
  <c r="U12" i="4"/>
  <c r="T12" i="4"/>
  <c r="S12" i="4"/>
  <c r="N12" i="4"/>
  <c r="K12" i="4"/>
  <c r="H12" i="4"/>
  <c r="E12" i="4"/>
  <c r="TD11" i="4"/>
  <c r="HK11" i="4"/>
  <c r="HJ11" i="4"/>
  <c r="HI11" i="4"/>
  <c r="HH11" i="4"/>
  <c r="HG11" i="4"/>
  <c r="HF11" i="4"/>
  <c r="HE11" i="4"/>
  <c r="HD11" i="4"/>
  <c r="HC11" i="4"/>
  <c r="HB11" i="4"/>
  <c r="HA11" i="4"/>
  <c r="GZ11" i="4"/>
  <c r="GY11" i="4"/>
  <c r="GX11" i="4"/>
  <c r="GW11" i="4"/>
  <c r="GV11" i="4"/>
  <c r="GU11" i="4"/>
  <c r="GT11" i="4"/>
  <c r="GS11" i="4"/>
  <c r="GR11" i="4"/>
  <c r="GQ11" i="4"/>
  <c r="GP11" i="4"/>
  <c r="GO11" i="4"/>
  <c r="GN11" i="4"/>
  <c r="GM11" i="4"/>
  <c r="GL11" i="4"/>
  <c r="GK11" i="4"/>
  <c r="GJ11" i="4"/>
  <c r="GI11" i="4"/>
  <c r="GH11" i="4"/>
  <c r="GG11" i="4"/>
  <c r="GF11" i="4"/>
  <c r="GE11" i="4"/>
  <c r="GD11" i="4"/>
  <c r="GC11" i="4"/>
  <c r="GB11" i="4"/>
  <c r="GA11" i="4"/>
  <c r="FZ11" i="4"/>
  <c r="FY11" i="4"/>
  <c r="FX11" i="4"/>
  <c r="FW11" i="4"/>
  <c r="FV11" i="4"/>
  <c r="FU11" i="4"/>
  <c r="FT11" i="4"/>
  <c r="FS11" i="4"/>
  <c r="FR11" i="4"/>
  <c r="FQ11" i="4"/>
  <c r="FP11" i="4"/>
  <c r="FO11" i="4"/>
  <c r="FN11" i="4"/>
  <c r="FM11" i="4"/>
  <c r="FL11" i="4"/>
  <c r="FK11" i="4"/>
  <c r="FJ11" i="4"/>
  <c r="FI11" i="4"/>
  <c r="FH11" i="4"/>
  <c r="FG11" i="4"/>
  <c r="FF11" i="4"/>
  <c r="FE11" i="4"/>
  <c r="FD11" i="4"/>
  <c r="FC11" i="4"/>
  <c r="FB11" i="4"/>
  <c r="FA11" i="4"/>
  <c r="EZ11" i="4"/>
  <c r="EY11" i="4"/>
  <c r="EX11" i="4"/>
  <c r="EW11" i="4"/>
  <c r="EV11" i="4"/>
  <c r="EU11" i="4"/>
  <c r="ET11" i="4"/>
  <c r="ES11" i="4"/>
  <c r="ER11" i="4"/>
  <c r="EQ11" i="4"/>
  <c r="EP11" i="4"/>
  <c r="EO11" i="4"/>
  <c r="EN11" i="4"/>
  <c r="EM11" i="4"/>
  <c r="EL11" i="4"/>
  <c r="EK11" i="4"/>
  <c r="EJ11" i="4"/>
  <c r="EI11" i="4"/>
  <c r="EH11" i="4"/>
  <c r="EG11" i="4"/>
  <c r="EF11" i="4"/>
  <c r="EE11" i="4"/>
  <c r="ED11" i="4"/>
  <c r="EC11" i="4"/>
  <c r="EB11" i="4"/>
  <c r="EA11" i="4"/>
  <c r="DZ11" i="4"/>
  <c r="DY11" i="4"/>
  <c r="DX11" i="4"/>
  <c r="DW11" i="4"/>
  <c r="DV11" i="4"/>
  <c r="DU11" i="4"/>
  <c r="DT11" i="4"/>
  <c r="DS11" i="4"/>
  <c r="DR11" i="4"/>
  <c r="DQ11" i="4"/>
  <c r="DP11" i="4"/>
  <c r="DO11" i="4"/>
  <c r="DN11" i="4"/>
  <c r="DM11" i="4"/>
  <c r="DL11" i="4"/>
  <c r="DK11" i="4"/>
  <c r="DJ11" i="4"/>
  <c r="DI11" i="4"/>
  <c r="DH11" i="4"/>
  <c r="DG11" i="4"/>
  <c r="DF11" i="4"/>
  <c r="DE11" i="4"/>
  <c r="DD11" i="4"/>
  <c r="DC11" i="4"/>
  <c r="DB11" i="4"/>
  <c r="DA11" i="4"/>
  <c r="CZ11" i="4"/>
  <c r="CY11" i="4"/>
  <c r="CX11" i="4"/>
  <c r="CW11" i="4"/>
  <c r="CV11" i="4"/>
  <c r="CU11" i="4"/>
  <c r="CT11" i="4"/>
  <c r="CS11" i="4"/>
  <c r="CR11" i="4"/>
  <c r="CQ11" i="4"/>
  <c r="CP11" i="4"/>
  <c r="CO11" i="4"/>
  <c r="CN11" i="4"/>
  <c r="CM11" i="4"/>
  <c r="CL11" i="4"/>
  <c r="CK11" i="4"/>
  <c r="CJ11" i="4"/>
  <c r="CI11" i="4"/>
  <c r="CH11" i="4"/>
  <c r="CG11" i="4"/>
  <c r="CF11" i="4"/>
  <c r="CE11" i="4"/>
  <c r="CD11" i="4"/>
  <c r="CC11" i="4"/>
  <c r="CB11" i="4"/>
  <c r="CA11" i="4"/>
  <c r="BZ11" i="4"/>
  <c r="BY11" i="4"/>
  <c r="BX11" i="4"/>
  <c r="BW11" i="4"/>
  <c r="BV11" i="4"/>
  <c r="BU11" i="4"/>
  <c r="BT11" i="4"/>
  <c r="BS11" i="4"/>
  <c r="BR11" i="4"/>
  <c r="BQ11" i="4"/>
  <c r="BP11" i="4"/>
  <c r="BO11" i="4"/>
  <c r="BN11" i="4"/>
  <c r="BM11" i="4"/>
  <c r="BL11" i="4"/>
  <c r="BK11" i="4"/>
  <c r="BJ11" i="4"/>
  <c r="BI11" i="4"/>
  <c r="BH11" i="4"/>
  <c r="BG11" i="4"/>
  <c r="BF11" i="4"/>
  <c r="BE11" i="4"/>
  <c r="BD11" i="4"/>
  <c r="BC11" i="4"/>
  <c r="BB11" i="4"/>
  <c r="BA11" i="4"/>
  <c r="AZ11" i="4"/>
  <c r="AY11" i="4"/>
  <c r="AX11" i="4"/>
  <c r="AW11" i="4"/>
  <c r="AV11" i="4"/>
  <c r="AU11" i="4"/>
  <c r="AT11" i="4"/>
  <c r="AS11" i="4"/>
  <c r="AR11" i="4"/>
  <c r="AQ11" i="4"/>
  <c r="AP11" i="4"/>
  <c r="AO11" i="4"/>
  <c r="AN11" i="4"/>
  <c r="AM11" i="4"/>
  <c r="AL11" i="4"/>
  <c r="AK11" i="4"/>
  <c r="AJ11" i="4"/>
  <c r="AI11" i="4"/>
  <c r="AH11" i="4"/>
  <c r="AG11" i="4"/>
  <c r="AF11" i="4"/>
  <c r="AE11" i="4"/>
  <c r="AD11" i="4"/>
  <c r="AC11" i="4"/>
  <c r="AB11" i="4"/>
  <c r="AA11" i="4"/>
  <c r="Z11" i="4"/>
  <c r="Y11" i="4"/>
  <c r="X11" i="4"/>
  <c r="W11" i="4"/>
  <c r="V11" i="4"/>
  <c r="U11" i="4"/>
  <c r="T11" i="4"/>
  <c r="S11" i="4"/>
  <c r="N11" i="4"/>
  <c r="K11" i="4"/>
  <c r="H11" i="4"/>
  <c r="E11" i="4"/>
  <c r="TD10" i="4"/>
  <c r="HK10" i="4"/>
  <c r="HJ10" i="4"/>
  <c r="HI10" i="4"/>
  <c r="HH10" i="4"/>
  <c r="HG10" i="4"/>
  <c r="HF10" i="4"/>
  <c r="HE10" i="4"/>
  <c r="HD10" i="4"/>
  <c r="HC10" i="4"/>
  <c r="HB10" i="4"/>
  <c r="HA10" i="4"/>
  <c r="GZ10" i="4"/>
  <c r="GY10" i="4"/>
  <c r="GX10" i="4"/>
  <c r="GW10" i="4"/>
  <c r="GV10" i="4"/>
  <c r="GU10" i="4"/>
  <c r="GT10" i="4"/>
  <c r="GS10" i="4"/>
  <c r="GR10" i="4"/>
  <c r="GQ10" i="4"/>
  <c r="GP10" i="4"/>
  <c r="GO10" i="4"/>
  <c r="GN10" i="4"/>
  <c r="GM10" i="4"/>
  <c r="GL10" i="4"/>
  <c r="GK10" i="4"/>
  <c r="GJ10" i="4"/>
  <c r="GI10" i="4"/>
  <c r="GH10" i="4"/>
  <c r="GG10" i="4"/>
  <c r="GF10" i="4"/>
  <c r="GE10" i="4"/>
  <c r="GD10" i="4"/>
  <c r="GC10" i="4"/>
  <c r="GB10" i="4"/>
  <c r="GA10" i="4"/>
  <c r="FZ10" i="4"/>
  <c r="FY10" i="4"/>
  <c r="FX10" i="4"/>
  <c r="FW10" i="4"/>
  <c r="FV10" i="4"/>
  <c r="FU10" i="4"/>
  <c r="FT10" i="4"/>
  <c r="FS10" i="4"/>
  <c r="FR10" i="4"/>
  <c r="FQ10" i="4"/>
  <c r="FP10" i="4"/>
  <c r="FO10" i="4"/>
  <c r="FN10" i="4"/>
  <c r="FM10" i="4"/>
  <c r="FL10" i="4"/>
  <c r="FK10" i="4"/>
  <c r="FJ10" i="4"/>
  <c r="FI10" i="4"/>
  <c r="FH10" i="4"/>
  <c r="FG10" i="4"/>
  <c r="FF10" i="4"/>
  <c r="FE10" i="4"/>
  <c r="FD10" i="4"/>
  <c r="FC10" i="4"/>
  <c r="FB10" i="4"/>
  <c r="FA10" i="4"/>
  <c r="EZ10" i="4"/>
  <c r="EY10" i="4"/>
  <c r="EX10" i="4"/>
  <c r="EW10" i="4"/>
  <c r="EV10" i="4"/>
  <c r="EU10" i="4"/>
  <c r="ET10" i="4"/>
  <c r="ES10" i="4"/>
  <c r="ER10" i="4"/>
  <c r="EQ10" i="4"/>
  <c r="EP10" i="4"/>
  <c r="EO10" i="4"/>
  <c r="EN10" i="4"/>
  <c r="EM10" i="4"/>
  <c r="EL10" i="4"/>
  <c r="EK10" i="4"/>
  <c r="EJ10" i="4"/>
  <c r="EI10" i="4"/>
  <c r="EH10" i="4"/>
  <c r="EG10" i="4"/>
  <c r="EF10" i="4"/>
  <c r="EE10" i="4"/>
  <c r="ED10" i="4"/>
  <c r="EC10" i="4"/>
  <c r="EB10" i="4"/>
  <c r="EA10" i="4"/>
  <c r="DZ10" i="4"/>
  <c r="DY10" i="4"/>
  <c r="DX10" i="4"/>
  <c r="DW10" i="4"/>
  <c r="DV10" i="4"/>
  <c r="DU10" i="4"/>
  <c r="DT10" i="4"/>
  <c r="DS10" i="4"/>
  <c r="DR10" i="4"/>
  <c r="DQ10" i="4"/>
  <c r="DP10" i="4"/>
  <c r="DO10" i="4"/>
  <c r="DN10" i="4"/>
  <c r="DM10" i="4"/>
  <c r="DL10" i="4"/>
  <c r="DK10" i="4"/>
  <c r="DJ10" i="4"/>
  <c r="DI10" i="4"/>
  <c r="DH10" i="4"/>
  <c r="DG10" i="4"/>
  <c r="DF10" i="4"/>
  <c r="DE10" i="4"/>
  <c r="DD10" i="4"/>
  <c r="DC10" i="4"/>
  <c r="DB10" i="4"/>
  <c r="DA10" i="4"/>
  <c r="CZ10" i="4"/>
  <c r="CY10" i="4"/>
  <c r="CX10" i="4"/>
  <c r="CW10" i="4"/>
  <c r="CV10" i="4"/>
  <c r="CU10" i="4"/>
  <c r="CT10" i="4"/>
  <c r="CS10" i="4"/>
  <c r="CR10"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U10" i="4"/>
  <c r="T10" i="4"/>
  <c r="S10" i="4"/>
  <c r="N10" i="4"/>
  <c r="K10" i="4"/>
  <c r="H10" i="4"/>
  <c r="E10" i="4"/>
  <c r="TD9" i="4"/>
  <c r="HK9" i="4"/>
  <c r="HJ9" i="4"/>
  <c r="HI9" i="4"/>
  <c r="HH9" i="4"/>
  <c r="HG9" i="4"/>
  <c r="HF9" i="4"/>
  <c r="HE9" i="4"/>
  <c r="HD9" i="4"/>
  <c r="HC9" i="4"/>
  <c r="HB9" i="4"/>
  <c r="HA9" i="4"/>
  <c r="GZ9" i="4"/>
  <c r="GY9" i="4"/>
  <c r="GX9" i="4"/>
  <c r="GW9" i="4"/>
  <c r="GV9" i="4"/>
  <c r="GU9" i="4"/>
  <c r="GT9" i="4"/>
  <c r="GS9" i="4"/>
  <c r="GR9" i="4"/>
  <c r="GQ9" i="4"/>
  <c r="GP9" i="4"/>
  <c r="GO9" i="4"/>
  <c r="GN9" i="4"/>
  <c r="GM9" i="4"/>
  <c r="GL9" i="4"/>
  <c r="GK9" i="4"/>
  <c r="GJ9" i="4"/>
  <c r="GI9" i="4"/>
  <c r="GH9" i="4"/>
  <c r="GG9" i="4"/>
  <c r="GF9" i="4"/>
  <c r="GE9" i="4"/>
  <c r="GD9" i="4"/>
  <c r="GC9" i="4"/>
  <c r="GB9" i="4"/>
  <c r="GA9" i="4"/>
  <c r="FZ9" i="4"/>
  <c r="FY9" i="4"/>
  <c r="FX9" i="4"/>
  <c r="FW9" i="4"/>
  <c r="FV9" i="4"/>
  <c r="FU9" i="4"/>
  <c r="FT9" i="4"/>
  <c r="FS9" i="4"/>
  <c r="FR9" i="4"/>
  <c r="FQ9" i="4"/>
  <c r="FP9" i="4"/>
  <c r="FO9" i="4"/>
  <c r="FN9" i="4"/>
  <c r="FM9" i="4"/>
  <c r="FL9" i="4"/>
  <c r="FK9" i="4"/>
  <c r="FJ9" i="4"/>
  <c r="FI9" i="4"/>
  <c r="FH9" i="4"/>
  <c r="FG9" i="4"/>
  <c r="FF9" i="4"/>
  <c r="FE9" i="4"/>
  <c r="FD9" i="4"/>
  <c r="FC9" i="4"/>
  <c r="FB9" i="4"/>
  <c r="FA9" i="4"/>
  <c r="EZ9" i="4"/>
  <c r="EY9" i="4"/>
  <c r="EX9" i="4"/>
  <c r="EW9" i="4"/>
  <c r="EV9" i="4"/>
  <c r="EU9" i="4"/>
  <c r="ET9" i="4"/>
  <c r="ES9" i="4"/>
  <c r="ER9" i="4"/>
  <c r="EQ9" i="4"/>
  <c r="EP9" i="4"/>
  <c r="EO9" i="4"/>
  <c r="EN9" i="4"/>
  <c r="EM9" i="4"/>
  <c r="EL9" i="4"/>
  <c r="EK9" i="4"/>
  <c r="EJ9" i="4"/>
  <c r="EI9" i="4"/>
  <c r="EH9" i="4"/>
  <c r="EG9" i="4"/>
  <c r="EF9" i="4"/>
  <c r="EE9" i="4"/>
  <c r="ED9" i="4"/>
  <c r="EC9" i="4"/>
  <c r="EB9" i="4"/>
  <c r="EA9" i="4"/>
  <c r="DZ9" i="4"/>
  <c r="DY9" i="4"/>
  <c r="DX9" i="4"/>
  <c r="DW9" i="4"/>
  <c r="DV9" i="4"/>
  <c r="DU9" i="4"/>
  <c r="DT9" i="4"/>
  <c r="DS9" i="4"/>
  <c r="DR9" i="4"/>
  <c r="DQ9" i="4"/>
  <c r="DP9" i="4"/>
  <c r="DO9" i="4"/>
  <c r="DN9" i="4"/>
  <c r="DM9" i="4"/>
  <c r="DL9" i="4"/>
  <c r="DK9" i="4"/>
  <c r="DJ9" i="4"/>
  <c r="DI9" i="4"/>
  <c r="DH9" i="4"/>
  <c r="DG9" i="4"/>
  <c r="DF9" i="4"/>
  <c r="DE9" i="4"/>
  <c r="DD9" i="4"/>
  <c r="DC9" i="4"/>
  <c r="DB9" i="4"/>
  <c r="DA9" i="4"/>
  <c r="CZ9" i="4"/>
  <c r="CY9" i="4"/>
  <c r="CX9" i="4"/>
  <c r="CW9" i="4"/>
  <c r="CV9" i="4"/>
  <c r="CU9" i="4"/>
  <c r="CT9" i="4"/>
  <c r="CS9" i="4"/>
  <c r="CR9" i="4"/>
  <c r="CQ9" i="4"/>
  <c r="CP9" i="4"/>
  <c r="CO9" i="4"/>
  <c r="CN9" i="4"/>
  <c r="CM9" i="4"/>
  <c r="CL9" i="4"/>
  <c r="CK9" i="4"/>
  <c r="CJ9" i="4"/>
  <c r="CI9" i="4"/>
  <c r="CH9" i="4"/>
  <c r="CG9" i="4"/>
  <c r="CF9" i="4"/>
  <c r="CE9" i="4"/>
  <c r="CD9" i="4"/>
  <c r="CC9" i="4"/>
  <c r="CB9" i="4"/>
  <c r="CA9" i="4"/>
  <c r="BZ9" i="4"/>
  <c r="BY9" i="4"/>
  <c r="BX9" i="4"/>
  <c r="BW9" i="4"/>
  <c r="BV9" i="4"/>
  <c r="BU9" i="4"/>
  <c r="BT9" i="4"/>
  <c r="BS9" i="4"/>
  <c r="BR9" i="4"/>
  <c r="BQ9" i="4"/>
  <c r="BP9" i="4"/>
  <c r="BO9" i="4"/>
  <c r="BN9" i="4"/>
  <c r="BM9" i="4"/>
  <c r="BL9" i="4"/>
  <c r="BK9" i="4"/>
  <c r="BJ9" i="4"/>
  <c r="BI9" i="4"/>
  <c r="BH9" i="4"/>
  <c r="BG9" i="4"/>
  <c r="BF9" i="4"/>
  <c r="BE9" i="4"/>
  <c r="BD9" i="4"/>
  <c r="BC9" i="4"/>
  <c r="BB9" i="4"/>
  <c r="BA9" i="4"/>
  <c r="AZ9" i="4"/>
  <c r="AY9" i="4"/>
  <c r="AX9" i="4"/>
  <c r="AW9" i="4"/>
  <c r="AV9" i="4"/>
  <c r="AU9" i="4"/>
  <c r="AT9" i="4"/>
  <c r="AS9" i="4"/>
  <c r="AR9" i="4"/>
  <c r="AQ9" i="4"/>
  <c r="AP9" i="4"/>
  <c r="AO9" i="4"/>
  <c r="AN9" i="4"/>
  <c r="AM9" i="4"/>
  <c r="AL9" i="4"/>
  <c r="AK9" i="4"/>
  <c r="AJ9" i="4"/>
  <c r="AI9" i="4"/>
  <c r="AH9" i="4"/>
  <c r="AG9" i="4"/>
  <c r="AF9" i="4"/>
  <c r="AE9" i="4"/>
  <c r="AD9" i="4"/>
  <c r="AC9" i="4"/>
  <c r="AB9" i="4"/>
  <c r="AA9" i="4"/>
  <c r="Z9" i="4"/>
  <c r="Y9" i="4"/>
  <c r="X9" i="4"/>
  <c r="W9" i="4"/>
  <c r="V9" i="4"/>
  <c r="U9" i="4"/>
  <c r="T9" i="4"/>
  <c r="S9" i="4"/>
  <c r="N9" i="4"/>
  <c r="K9" i="4"/>
  <c r="H9" i="4"/>
  <c r="E9" i="4"/>
  <c r="TD8" i="4"/>
  <c r="HK8" i="4"/>
  <c r="HJ8" i="4"/>
  <c r="HI8" i="4"/>
  <c r="HH8" i="4"/>
  <c r="HG8" i="4"/>
  <c r="HF8" i="4"/>
  <c r="HE8" i="4"/>
  <c r="HD8" i="4"/>
  <c r="HC8" i="4"/>
  <c r="HB8" i="4"/>
  <c r="HA8" i="4"/>
  <c r="GZ8" i="4"/>
  <c r="GY8" i="4"/>
  <c r="GX8" i="4"/>
  <c r="GW8" i="4"/>
  <c r="GV8" i="4"/>
  <c r="GU8" i="4"/>
  <c r="GT8" i="4"/>
  <c r="GS8" i="4"/>
  <c r="GR8" i="4"/>
  <c r="GQ8" i="4"/>
  <c r="GP8" i="4"/>
  <c r="GO8" i="4"/>
  <c r="GN8" i="4"/>
  <c r="GM8" i="4"/>
  <c r="GL8" i="4"/>
  <c r="GK8" i="4"/>
  <c r="GJ8" i="4"/>
  <c r="GI8" i="4"/>
  <c r="GH8" i="4"/>
  <c r="GG8" i="4"/>
  <c r="GF8" i="4"/>
  <c r="GE8" i="4"/>
  <c r="GD8" i="4"/>
  <c r="GC8" i="4"/>
  <c r="GB8" i="4"/>
  <c r="GA8" i="4"/>
  <c r="FZ8" i="4"/>
  <c r="FY8" i="4"/>
  <c r="FX8" i="4"/>
  <c r="FW8" i="4"/>
  <c r="FV8" i="4"/>
  <c r="FU8" i="4"/>
  <c r="FT8" i="4"/>
  <c r="FS8" i="4"/>
  <c r="FR8" i="4"/>
  <c r="FQ8" i="4"/>
  <c r="FP8" i="4"/>
  <c r="FO8" i="4"/>
  <c r="FN8" i="4"/>
  <c r="FM8" i="4"/>
  <c r="FL8" i="4"/>
  <c r="FK8" i="4"/>
  <c r="FJ8" i="4"/>
  <c r="FI8" i="4"/>
  <c r="FH8" i="4"/>
  <c r="FG8" i="4"/>
  <c r="FF8" i="4"/>
  <c r="FE8" i="4"/>
  <c r="FD8" i="4"/>
  <c r="FC8" i="4"/>
  <c r="FB8" i="4"/>
  <c r="FA8" i="4"/>
  <c r="EZ8" i="4"/>
  <c r="EY8" i="4"/>
  <c r="EX8" i="4"/>
  <c r="EW8" i="4"/>
  <c r="EV8" i="4"/>
  <c r="EU8" i="4"/>
  <c r="ET8" i="4"/>
  <c r="ES8" i="4"/>
  <c r="ER8" i="4"/>
  <c r="EQ8" i="4"/>
  <c r="EP8" i="4"/>
  <c r="EO8" i="4"/>
  <c r="EN8" i="4"/>
  <c r="EM8" i="4"/>
  <c r="EL8" i="4"/>
  <c r="EK8" i="4"/>
  <c r="EJ8" i="4"/>
  <c r="EI8" i="4"/>
  <c r="EH8" i="4"/>
  <c r="EG8" i="4"/>
  <c r="EF8" i="4"/>
  <c r="EE8" i="4"/>
  <c r="ED8" i="4"/>
  <c r="EC8" i="4"/>
  <c r="EB8" i="4"/>
  <c r="EA8" i="4"/>
  <c r="DZ8" i="4"/>
  <c r="DY8" i="4"/>
  <c r="DX8" i="4"/>
  <c r="DW8" i="4"/>
  <c r="DV8" i="4"/>
  <c r="DU8" i="4"/>
  <c r="DT8" i="4"/>
  <c r="DS8" i="4"/>
  <c r="DR8" i="4"/>
  <c r="DQ8" i="4"/>
  <c r="DP8" i="4"/>
  <c r="DO8" i="4"/>
  <c r="DN8" i="4"/>
  <c r="DM8" i="4"/>
  <c r="DL8" i="4"/>
  <c r="DK8" i="4"/>
  <c r="DJ8" i="4"/>
  <c r="DI8" i="4"/>
  <c r="DH8" i="4"/>
  <c r="DG8" i="4"/>
  <c r="DF8" i="4"/>
  <c r="DE8" i="4"/>
  <c r="DD8" i="4"/>
  <c r="DC8" i="4"/>
  <c r="DB8" i="4"/>
  <c r="DA8" i="4"/>
  <c r="CZ8" i="4"/>
  <c r="CY8" i="4"/>
  <c r="CX8" i="4"/>
  <c r="CW8" i="4"/>
  <c r="CV8" i="4"/>
  <c r="CU8" i="4"/>
  <c r="CT8" i="4"/>
  <c r="CS8" i="4"/>
  <c r="CR8" i="4"/>
  <c r="CQ8" i="4"/>
  <c r="CP8" i="4"/>
  <c r="CO8" i="4"/>
  <c r="CN8" i="4"/>
  <c r="CM8" i="4"/>
  <c r="CL8" i="4"/>
  <c r="CK8" i="4"/>
  <c r="CJ8" i="4"/>
  <c r="CI8" i="4"/>
  <c r="CH8" i="4"/>
  <c r="CG8" i="4"/>
  <c r="CF8" i="4"/>
  <c r="CE8" i="4"/>
  <c r="CD8" i="4"/>
  <c r="CC8" i="4"/>
  <c r="CB8" i="4"/>
  <c r="CA8" i="4"/>
  <c r="BZ8" i="4"/>
  <c r="BY8" i="4"/>
  <c r="BX8" i="4"/>
  <c r="BW8" i="4"/>
  <c r="BV8" i="4"/>
  <c r="BU8" i="4"/>
  <c r="BT8" i="4"/>
  <c r="BS8" i="4"/>
  <c r="BR8" i="4"/>
  <c r="BQ8" i="4"/>
  <c r="BP8" i="4"/>
  <c r="BO8" i="4"/>
  <c r="BN8" i="4"/>
  <c r="BM8" i="4"/>
  <c r="BL8" i="4"/>
  <c r="BK8" i="4"/>
  <c r="BJ8" i="4"/>
  <c r="BI8" i="4"/>
  <c r="BH8" i="4"/>
  <c r="BG8" i="4"/>
  <c r="BF8" i="4"/>
  <c r="BE8" i="4"/>
  <c r="BD8" i="4"/>
  <c r="BC8" i="4"/>
  <c r="BB8" i="4"/>
  <c r="BA8" i="4"/>
  <c r="AZ8" i="4"/>
  <c r="AY8" i="4"/>
  <c r="AX8" i="4"/>
  <c r="AW8" i="4"/>
  <c r="AV8" i="4"/>
  <c r="AU8" i="4"/>
  <c r="AT8" i="4"/>
  <c r="AS8" i="4"/>
  <c r="AR8" i="4"/>
  <c r="AQ8" i="4"/>
  <c r="AP8" i="4"/>
  <c r="AO8" i="4"/>
  <c r="AN8" i="4"/>
  <c r="AM8" i="4"/>
  <c r="AL8" i="4"/>
  <c r="AK8" i="4"/>
  <c r="AJ8" i="4"/>
  <c r="AI8" i="4"/>
  <c r="AH8" i="4"/>
  <c r="AG8" i="4"/>
  <c r="AF8" i="4"/>
  <c r="AE8" i="4"/>
  <c r="AD8" i="4"/>
  <c r="AC8" i="4"/>
  <c r="AB8" i="4"/>
  <c r="AA8" i="4"/>
  <c r="Z8" i="4"/>
  <c r="Y8" i="4"/>
  <c r="X8" i="4"/>
  <c r="W8" i="4"/>
  <c r="V8" i="4"/>
  <c r="U8" i="4"/>
  <c r="T8" i="4"/>
  <c r="S8" i="4"/>
  <c r="N8" i="4"/>
  <c r="K8" i="4"/>
  <c r="H8" i="4"/>
  <c r="E8" i="4"/>
  <c r="TD7" i="4"/>
  <c r="HK7" i="4"/>
  <c r="HJ7" i="4"/>
  <c r="HI7" i="4"/>
  <c r="HH7" i="4"/>
  <c r="HG7" i="4"/>
  <c r="HF7" i="4"/>
  <c r="HE7" i="4"/>
  <c r="HD7" i="4"/>
  <c r="HC7" i="4"/>
  <c r="HB7" i="4"/>
  <c r="HA7" i="4"/>
  <c r="GZ7" i="4"/>
  <c r="GY7" i="4"/>
  <c r="GX7" i="4"/>
  <c r="GW7" i="4"/>
  <c r="GV7" i="4"/>
  <c r="GU7" i="4"/>
  <c r="GT7" i="4"/>
  <c r="GS7" i="4"/>
  <c r="GR7" i="4"/>
  <c r="GQ7" i="4"/>
  <c r="GP7" i="4"/>
  <c r="GO7" i="4"/>
  <c r="GN7" i="4"/>
  <c r="GM7" i="4"/>
  <c r="GL7" i="4"/>
  <c r="GK7" i="4"/>
  <c r="GJ7" i="4"/>
  <c r="GI7" i="4"/>
  <c r="GH7" i="4"/>
  <c r="GG7" i="4"/>
  <c r="GF7" i="4"/>
  <c r="GE7" i="4"/>
  <c r="GD7" i="4"/>
  <c r="GC7" i="4"/>
  <c r="GB7" i="4"/>
  <c r="GA7" i="4"/>
  <c r="FZ7" i="4"/>
  <c r="FY7" i="4"/>
  <c r="FX7" i="4"/>
  <c r="FW7" i="4"/>
  <c r="FV7" i="4"/>
  <c r="FU7" i="4"/>
  <c r="FT7" i="4"/>
  <c r="FS7" i="4"/>
  <c r="FR7" i="4"/>
  <c r="FQ7" i="4"/>
  <c r="FP7" i="4"/>
  <c r="FO7" i="4"/>
  <c r="FN7" i="4"/>
  <c r="FM7" i="4"/>
  <c r="FL7" i="4"/>
  <c r="FK7" i="4"/>
  <c r="FJ7" i="4"/>
  <c r="FI7" i="4"/>
  <c r="FH7" i="4"/>
  <c r="FG7" i="4"/>
  <c r="FF7" i="4"/>
  <c r="FE7" i="4"/>
  <c r="FD7" i="4"/>
  <c r="FC7" i="4"/>
  <c r="FB7" i="4"/>
  <c r="FA7" i="4"/>
  <c r="EZ7" i="4"/>
  <c r="EY7" i="4"/>
  <c r="EX7" i="4"/>
  <c r="EW7" i="4"/>
  <c r="EV7" i="4"/>
  <c r="EU7" i="4"/>
  <c r="ET7" i="4"/>
  <c r="ES7" i="4"/>
  <c r="ER7" i="4"/>
  <c r="EQ7" i="4"/>
  <c r="EP7" i="4"/>
  <c r="EO7" i="4"/>
  <c r="EN7" i="4"/>
  <c r="EM7" i="4"/>
  <c r="EL7" i="4"/>
  <c r="EK7" i="4"/>
  <c r="EJ7" i="4"/>
  <c r="EI7" i="4"/>
  <c r="EH7" i="4"/>
  <c r="EG7" i="4"/>
  <c r="EF7" i="4"/>
  <c r="EE7" i="4"/>
  <c r="ED7" i="4"/>
  <c r="EC7" i="4"/>
  <c r="EB7" i="4"/>
  <c r="EA7" i="4"/>
  <c r="DZ7" i="4"/>
  <c r="DY7" i="4"/>
  <c r="DX7" i="4"/>
  <c r="DW7" i="4"/>
  <c r="DV7" i="4"/>
  <c r="DU7" i="4"/>
  <c r="DT7" i="4"/>
  <c r="DS7" i="4"/>
  <c r="DR7" i="4"/>
  <c r="DQ7" i="4"/>
  <c r="DP7" i="4"/>
  <c r="DO7" i="4"/>
  <c r="DN7" i="4"/>
  <c r="DM7" i="4"/>
  <c r="DL7" i="4"/>
  <c r="DK7" i="4"/>
  <c r="DJ7" i="4"/>
  <c r="DI7" i="4"/>
  <c r="DH7" i="4"/>
  <c r="DG7" i="4"/>
  <c r="DF7" i="4"/>
  <c r="DE7" i="4"/>
  <c r="DD7" i="4"/>
  <c r="DC7" i="4"/>
  <c r="DB7" i="4"/>
  <c r="DA7" i="4"/>
  <c r="CZ7" i="4"/>
  <c r="CY7" i="4"/>
  <c r="CX7" i="4"/>
  <c r="CW7" i="4"/>
  <c r="CV7" i="4"/>
  <c r="CU7" i="4"/>
  <c r="CT7" i="4"/>
  <c r="CS7" i="4"/>
  <c r="CR7" i="4"/>
  <c r="CQ7" i="4"/>
  <c r="CP7" i="4"/>
  <c r="CO7" i="4"/>
  <c r="CN7" i="4"/>
  <c r="CM7" i="4"/>
  <c r="CL7" i="4"/>
  <c r="CK7" i="4"/>
  <c r="CJ7" i="4"/>
  <c r="CI7" i="4"/>
  <c r="CH7" i="4"/>
  <c r="CG7" i="4"/>
  <c r="CF7" i="4"/>
  <c r="CE7" i="4"/>
  <c r="CD7" i="4"/>
  <c r="CC7" i="4"/>
  <c r="CB7" i="4"/>
  <c r="CA7" i="4"/>
  <c r="BZ7" i="4"/>
  <c r="BY7" i="4"/>
  <c r="BX7" i="4"/>
  <c r="BW7" i="4"/>
  <c r="BV7" i="4"/>
  <c r="BU7" i="4"/>
  <c r="BT7" i="4"/>
  <c r="BS7" i="4"/>
  <c r="BR7" i="4"/>
  <c r="BQ7" i="4"/>
  <c r="BP7" i="4"/>
  <c r="BO7" i="4"/>
  <c r="BN7" i="4"/>
  <c r="BM7" i="4"/>
  <c r="BL7" i="4"/>
  <c r="BK7" i="4"/>
  <c r="BJ7" i="4"/>
  <c r="BI7" i="4"/>
  <c r="BH7" i="4"/>
  <c r="BG7" i="4"/>
  <c r="BF7" i="4"/>
  <c r="BE7" i="4"/>
  <c r="BD7" i="4"/>
  <c r="BC7" i="4"/>
  <c r="BB7" i="4"/>
  <c r="BA7" i="4"/>
  <c r="AZ7" i="4"/>
  <c r="AY7" i="4"/>
  <c r="AX7" i="4"/>
  <c r="AW7" i="4"/>
  <c r="AV7" i="4"/>
  <c r="AU7" i="4"/>
  <c r="AT7" i="4"/>
  <c r="AS7" i="4"/>
  <c r="AR7" i="4"/>
  <c r="AQ7" i="4"/>
  <c r="AP7" i="4"/>
  <c r="AO7" i="4"/>
  <c r="AN7" i="4"/>
  <c r="AM7" i="4"/>
  <c r="AL7" i="4"/>
  <c r="AK7" i="4"/>
  <c r="AJ7" i="4"/>
  <c r="AI7" i="4"/>
  <c r="AH7" i="4"/>
  <c r="AG7" i="4"/>
  <c r="AF7" i="4"/>
  <c r="AE7" i="4"/>
  <c r="AD7" i="4"/>
  <c r="AC7" i="4"/>
  <c r="AB7" i="4"/>
  <c r="AA7" i="4"/>
  <c r="Z7" i="4"/>
  <c r="Y7" i="4"/>
  <c r="X7" i="4"/>
  <c r="W7" i="4"/>
  <c r="V7" i="4"/>
  <c r="U7" i="4"/>
  <c r="T7" i="4"/>
  <c r="S7" i="4"/>
  <c r="N7" i="4"/>
  <c r="K7" i="4"/>
  <c r="H7" i="4"/>
  <c r="E7" i="4"/>
  <c r="TD6" i="4"/>
  <c r="HK6" i="4"/>
  <c r="HJ6" i="4"/>
  <c r="HI6" i="4"/>
  <c r="HH6" i="4"/>
  <c r="HG6" i="4"/>
  <c r="HF6" i="4"/>
  <c r="HE6" i="4"/>
  <c r="HD6" i="4"/>
  <c r="HC6" i="4"/>
  <c r="HB6" i="4"/>
  <c r="HA6" i="4"/>
  <c r="GZ6" i="4"/>
  <c r="GY6" i="4"/>
  <c r="GX6" i="4"/>
  <c r="GW6" i="4"/>
  <c r="GV6" i="4"/>
  <c r="GU6" i="4"/>
  <c r="GT6" i="4"/>
  <c r="GS6" i="4"/>
  <c r="GR6" i="4"/>
  <c r="GQ6" i="4"/>
  <c r="GP6" i="4"/>
  <c r="GO6" i="4"/>
  <c r="GN6" i="4"/>
  <c r="GM6" i="4"/>
  <c r="GL6" i="4"/>
  <c r="GK6" i="4"/>
  <c r="GJ6" i="4"/>
  <c r="GI6" i="4"/>
  <c r="GH6" i="4"/>
  <c r="GG6" i="4"/>
  <c r="GF6" i="4"/>
  <c r="GE6" i="4"/>
  <c r="GD6" i="4"/>
  <c r="GC6" i="4"/>
  <c r="GB6" i="4"/>
  <c r="GA6" i="4"/>
  <c r="FZ6" i="4"/>
  <c r="FY6" i="4"/>
  <c r="FX6" i="4"/>
  <c r="FW6" i="4"/>
  <c r="FV6" i="4"/>
  <c r="FU6" i="4"/>
  <c r="FT6" i="4"/>
  <c r="FS6" i="4"/>
  <c r="FR6" i="4"/>
  <c r="FQ6" i="4"/>
  <c r="FP6" i="4"/>
  <c r="FO6" i="4"/>
  <c r="FN6" i="4"/>
  <c r="FM6" i="4"/>
  <c r="FL6" i="4"/>
  <c r="FK6" i="4"/>
  <c r="FJ6" i="4"/>
  <c r="FI6" i="4"/>
  <c r="FH6" i="4"/>
  <c r="FG6" i="4"/>
  <c r="FF6" i="4"/>
  <c r="FE6" i="4"/>
  <c r="FD6" i="4"/>
  <c r="FC6" i="4"/>
  <c r="FB6" i="4"/>
  <c r="FA6" i="4"/>
  <c r="EZ6" i="4"/>
  <c r="EY6" i="4"/>
  <c r="EX6" i="4"/>
  <c r="EW6" i="4"/>
  <c r="EV6" i="4"/>
  <c r="EU6" i="4"/>
  <c r="ET6" i="4"/>
  <c r="ES6" i="4"/>
  <c r="ER6" i="4"/>
  <c r="EQ6" i="4"/>
  <c r="EP6" i="4"/>
  <c r="EO6" i="4"/>
  <c r="EN6" i="4"/>
  <c r="EM6" i="4"/>
  <c r="EL6" i="4"/>
  <c r="EK6" i="4"/>
  <c r="EJ6" i="4"/>
  <c r="EI6" i="4"/>
  <c r="EH6" i="4"/>
  <c r="EG6" i="4"/>
  <c r="EF6" i="4"/>
  <c r="EE6" i="4"/>
  <c r="ED6" i="4"/>
  <c r="EC6" i="4"/>
  <c r="EB6" i="4"/>
  <c r="EA6" i="4"/>
  <c r="DZ6" i="4"/>
  <c r="DY6" i="4"/>
  <c r="DX6" i="4"/>
  <c r="DW6" i="4"/>
  <c r="DV6" i="4"/>
  <c r="DU6" i="4"/>
  <c r="DT6" i="4"/>
  <c r="DS6" i="4"/>
  <c r="DR6" i="4"/>
  <c r="DQ6" i="4"/>
  <c r="DP6" i="4"/>
  <c r="DO6" i="4"/>
  <c r="DN6" i="4"/>
  <c r="DM6" i="4"/>
  <c r="DL6" i="4"/>
  <c r="DK6" i="4"/>
  <c r="DJ6" i="4"/>
  <c r="DI6" i="4"/>
  <c r="DH6" i="4"/>
  <c r="DG6" i="4"/>
  <c r="DF6" i="4"/>
  <c r="DE6" i="4"/>
  <c r="DD6" i="4"/>
  <c r="DC6" i="4"/>
  <c r="DB6" i="4"/>
  <c r="DA6" i="4"/>
  <c r="CZ6" i="4"/>
  <c r="CY6" i="4"/>
  <c r="CX6" i="4"/>
  <c r="CW6" i="4"/>
  <c r="CV6" i="4"/>
  <c r="CU6" i="4"/>
  <c r="CT6" i="4"/>
  <c r="CS6" i="4"/>
  <c r="CR6" i="4"/>
  <c r="CQ6" i="4"/>
  <c r="CP6" i="4"/>
  <c r="CO6" i="4"/>
  <c r="CN6" i="4"/>
  <c r="CM6" i="4"/>
  <c r="CL6" i="4"/>
  <c r="CK6" i="4"/>
  <c r="CJ6" i="4"/>
  <c r="CI6" i="4"/>
  <c r="CH6" i="4"/>
  <c r="CG6" i="4"/>
  <c r="CF6" i="4"/>
  <c r="CE6" i="4"/>
  <c r="CD6" i="4"/>
  <c r="CC6" i="4"/>
  <c r="CB6" i="4"/>
  <c r="CA6" i="4"/>
  <c r="BZ6" i="4"/>
  <c r="BY6" i="4"/>
  <c r="BX6" i="4"/>
  <c r="BW6" i="4"/>
  <c r="BV6" i="4"/>
  <c r="BU6" i="4"/>
  <c r="BT6" i="4"/>
  <c r="BS6" i="4"/>
  <c r="BR6" i="4"/>
  <c r="BQ6" i="4"/>
  <c r="BP6" i="4"/>
  <c r="BO6" i="4"/>
  <c r="BN6" i="4"/>
  <c r="BM6" i="4"/>
  <c r="BL6" i="4"/>
  <c r="BK6" i="4"/>
  <c r="BJ6" i="4"/>
  <c r="BI6" i="4"/>
  <c r="BH6" i="4"/>
  <c r="BG6" i="4"/>
  <c r="BF6" i="4"/>
  <c r="BE6" i="4"/>
  <c r="BD6" i="4"/>
  <c r="BC6" i="4"/>
  <c r="BB6" i="4"/>
  <c r="BA6" i="4"/>
  <c r="AZ6" i="4"/>
  <c r="AY6" i="4"/>
  <c r="AX6" i="4"/>
  <c r="AW6" i="4"/>
  <c r="AV6" i="4"/>
  <c r="AU6" i="4"/>
  <c r="AT6" i="4"/>
  <c r="AS6" i="4"/>
  <c r="AR6" i="4"/>
  <c r="AQ6" i="4"/>
  <c r="AP6" i="4"/>
  <c r="AO6" i="4"/>
  <c r="AN6" i="4"/>
  <c r="AM6" i="4"/>
  <c r="AL6" i="4"/>
  <c r="AK6" i="4"/>
  <c r="AJ6" i="4"/>
  <c r="AI6" i="4"/>
  <c r="AH6" i="4"/>
  <c r="AG6" i="4"/>
  <c r="AF6" i="4"/>
  <c r="AE6" i="4"/>
  <c r="AD6" i="4"/>
  <c r="AC6" i="4"/>
  <c r="AB6" i="4"/>
  <c r="AA6" i="4"/>
  <c r="Z6" i="4"/>
  <c r="Y6" i="4"/>
  <c r="X6" i="4"/>
  <c r="W6" i="4"/>
  <c r="V6" i="4"/>
  <c r="U6" i="4"/>
  <c r="T6" i="4"/>
  <c r="S6" i="4"/>
  <c r="N6" i="4"/>
  <c r="K6" i="4"/>
  <c r="H6" i="4"/>
  <c r="E6" i="4"/>
  <c r="TD5" i="4"/>
  <c r="HK5" i="4"/>
  <c r="HJ5" i="4"/>
  <c r="HI5" i="4"/>
  <c r="HH5" i="4"/>
  <c r="HG5" i="4"/>
  <c r="HF5" i="4"/>
  <c r="HE5" i="4"/>
  <c r="HD5" i="4"/>
  <c r="HC5" i="4"/>
  <c r="HB5" i="4"/>
  <c r="HA5" i="4"/>
  <c r="GZ5" i="4"/>
  <c r="GY5" i="4"/>
  <c r="GX5" i="4"/>
  <c r="GW5" i="4"/>
  <c r="GV5" i="4"/>
  <c r="GU5" i="4"/>
  <c r="GT5" i="4"/>
  <c r="GS5" i="4"/>
  <c r="GR5" i="4"/>
  <c r="GQ5" i="4"/>
  <c r="GP5" i="4"/>
  <c r="GO5" i="4"/>
  <c r="GN5" i="4"/>
  <c r="GM5" i="4"/>
  <c r="GL5" i="4"/>
  <c r="GK5" i="4"/>
  <c r="GJ5" i="4"/>
  <c r="GI5" i="4"/>
  <c r="GH5" i="4"/>
  <c r="GG5" i="4"/>
  <c r="GF5" i="4"/>
  <c r="GE5" i="4"/>
  <c r="GD5" i="4"/>
  <c r="GC5" i="4"/>
  <c r="GB5" i="4"/>
  <c r="GA5" i="4"/>
  <c r="FZ5" i="4"/>
  <c r="FY5" i="4"/>
  <c r="FX5" i="4"/>
  <c r="FW5" i="4"/>
  <c r="FV5" i="4"/>
  <c r="FU5" i="4"/>
  <c r="FT5" i="4"/>
  <c r="FS5" i="4"/>
  <c r="FR5" i="4"/>
  <c r="FQ5" i="4"/>
  <c r="FP5" i="4"/>
  <c r="FO5" i="4"/>
  <c r="FN5" i="4"/>
  <c r="FM5" i="4"/>
  <c r="FL5" i="4"/>
  <c r="FK5" i="4"/>
  <c r="FJ5" i="4"/>
  <c r="FI5" i="4"/>
  <c r="FH5" i="4"/>
  <c r="FG5" i="4"/>
  <c r="FF5" i="4"/>
  <c r="FE5" i="4"/>
  <c r="FD5" i="4"/>
  <c r="FC5" i="4"/>
  <c r="FB5" i="4"/>
  <c r="FA5" i="4"/>
  <c r="EZ5" i="4"/>
  <c r="EY5" i="4"/>
  <c r="EX5" i="4"/>
  <c r="EW5" i="4"/>
  <c r="EV5" i="4"/>
  <c r="EU5" i="4"/>
  <c r="ET5" i="4"/>
  <c r="ES5" i="4"/>
  <c r="ER5" i="4"/>
  <c r="EQ5" i="4"/>
  <c r="EP5" i="4"/>
  <c r="EO5" i="4"/>
  <c r="EN5" i="4"/>
  <c r="EM5" i="4"/>
  <c r="EL5" i="4"/>
  <c r="EK5" i="4"/>
  <c r="EJ5" i="4"/>
  <c r="EI5" i="4"/>
  <c r="EH5" i="4"/>
  <c r="EG5" i="4"/>
  <c r="EF5" i="4"/>
  <c r="EE5" i="4"/>
  <c r="ED5" i="4"/>
  <c r="EC5" i="4"/>
  <c r="EB5" i="4"/>
  <c r="EA5" i="4"/>
  <c r="DZ5" i="4"/>
  <c r="DY5" i="4"/>
  <c r="DX5" i="4"/>
  <c r="DW5" i="4"/>
  <c r="DV5" i="4"/>
  <c r="DU5" i="4"/>
  <c r="DT5" i="4"/>
  <c r="DS5" i="4"/>
  <c r="DR5" i="4"/>
  <c r="DQ5" i="4"/>
  <c r="DP5" i="4"/>
  <c r="DO5" i="4"/>
  <c r="DN5" i="4"/>
  <c r="DM5" i="4"/>
  <c r="DL5" i="4"/>
  <c r="DK5" i="4"/>
  <c r="DJ5" i="4"/>
  <c r="DI5" i="4"/>
  <c r="DH5" i="4"/>
  <c r="DG5" i="4"/>
  <c r="DF5" i="4"/>
  <c r="DE5" i="4"/>
  <c r="DD5" i="4"/>
  <c r="DC5" i="4"/>
  <c r="DB5" i="4"/>
  <c r="DA5" i="4"/>
  <c r="CZ5" i="4"/>
  <c r="CY5" i="4"/>
  <c r="CX5" i="4"/>
  <c r="CW5" i="4"/>
  <c r="CV5" i="4"/>
  <c r="CU5" i="4"/>
  <c r="CT5" i="4"/>
  <c r="CS5" i="4"/>
  <c r="CR5" i="4"/>
  <c r="CQ5" i="4"/>
  <c r="CP5" i="4"/>
  <c r="CO5" i="4"/>
  <c r="CN5" i="4"/>
  <c r="CM5" i="4"/>
  <c r="CL5" i="4"/>
  <c r="CK5" i="4"/>
  <c r="CJ5" i="4"/>
  <c r="CI5" i="4"/>
  <c r="CH5" i="4"/>
  <c r="CG5" i="4"/>
  <c r="CF5" i="4"/>
  <c r="CE5" i="4"/>
  <c r="CD5" i="4"/>
  <c r="CC5" i="4"/>
  <c r="CB5" i="4"/>
  <c r="CA5" i="4"/>
  <c r="BZ5" i="4"/>
  <c r="BY5" i="4"/>
  <c r="BX5" i="4"/>
  <c r="BW5" i="4"/>
  <c r="BV5" i="4"/>
  <c r="BU5" i="4"/>
  <c r="BT5" i="4"/>
  <c r="BS5" i="4"/>
  <c r="BR5" i="4"/>
  <c r="BQ5" i="4"/>
  <c r="BP5" i="4"/>
  <c r="BO5" i="4"/>
  <c r="BN5" i="4"/>
  <c r="BM5" i="4"/>
  <c r="BL5" i="4"/>
  <c r="BK5" i="4"/>
  <c r="BJ5" i="4"/>
  <c r="BI5" i="4"/>
  <c r="BH5" i="4"/>
  <c r="BG5" i="4"/>
  <c r="BF5" i="4"/>
  <c r="BE5" i="4"/>
  <c r="BD5" i="4"/>
  <c r="BC5" i="4"/>
  <c r="BB5" i="4"/>
  <c r="BA5" i="4"/>
  <c r="AZ5" i="4"/>
  <c r="AY5" i="4"/>
  <c r="AX5" i="4"/>
  <c r="AW5" i="4"/>
  <c r="AV5" i="4"/>
  <c r="AU5" i="4"/>
  <c r="AT5" i="4"/>
  <c r="AS5" i="4"/>
  <c r="AR5" i="4"/>
  <c r="AQ5" i="4"/>
  <c r="AP5" i="4"/>
  <c r="AO5" i="4"/>
  <c r="AN5" i="4"/>
  <c r="AM5" i="4"/>
  <c r="AL5" i="4"/>
  <c r="AK5" i="4"/>
  <c r="AJ5" i="4"/>
  <c r="AI5" i="4"/>
  <c r="AH5" i="4"/>
  <c r="AG5" i="4"/>
  <c r="AF5" i="4"/>
  <c r="AE5" i="4"/>
  <c r="AD5" i="4"/>
  <c r="AC5" i="4"/>
  <c r="AB5" i="4"/>
  <c r="AA5" i="4"/>
  <c r="Z5" i="4"/>
  <c r="Y5" i="4"/>
  <c r="X5" i="4"/>
  <c r="W5" i="4"/>
  <c r="V5" i="4"/>
  <c r="U5" i="4"/>
  <c r="T5" i="4"/>
  <c r="S5" i="4"/>
  <c r="N5" i="4"/>
  <c r="K5" i="4"/>
  <c r="H5" i="4"/>
  <c r="E5" i="4"/>
  <c r="TD4" i="4"/>
  <c r="HK4" i="4"/>
  <c r="HJ4" i="4"/>
  <c r="HI4" i="4"/>
  <c r="HH4" i="4"/>
  <c r="HG4" i="4"/>
  <c r="HF4" i="4"/>
  <c r="HE4" i="4"/>
  <c r="HD4" i="4"/>
  <c r="HC4" i="4"/>
  <c r="HB4" i="4"/>
  <c r="HA4" i="4"/>
  <c r="GZ4" i="4"/>
  <c r="GY4" i="4"/>
  <c r="GX4" i="4"/>
  <c r="GW4" i="4"/>
  <c r="GV4" i="4"/>
  <c r="GU4" i="4"/>
  <c r="GT4" i="4"/>
  <c r="GS4" i="4"/>
  <c r="GR4" i="4"/>
  <c r="GQ4" i="4"/>
  <c r="GP4" i="4"/>
  <c r="GO4" i="4"/>
  <c r="GN4" i="4"/>
  <c r="GM4" i="4"/>
  <c r="GL4" i="4"/>
  <c r="GK4" i="4"/>
  <c r="GJ4" i="4"/>
  <c r="GI4" i="4"/>
  <c r="GH4" i="4"/>
  <c r="GG4" i="4"/>
  <c r="GF4" i="4"/>
  <c r="GE4" i="4"/>
  <c r="GD4" i="4"/>
  <c r="GC4" i="4"/>
  <c r="GB4" i="4"/>
  <c r="GA4" i="4"/>
  <c r="FZ4" i="4"/>
  <c r="FY4" i="4"/>
  <c r="FX4" i="4"/>
  <c r="FW4" i="4"/>
  <c r="FV4" i="4"/>
  <c r="FU4" i="4"/>
  <c r="FT4" i="4"/>
  <c r="FS4" i="4"/>
  <c r="FR4" i="4"/>
  <c r="FQ4" i="4"/>
  <c r="FP4" i="4"/>
  <c r="FO4" i="4"/>
  <c r="FN4" i="4"/>
  <c r="FM4" i="4"/>
  <c r="FL4" i="4"/>
  <c r="FK4" i="4"/>
  <c r="FJ4" i="4"/>
  <c r="FI4" i="4"/>
  <c r="FH4" i="4"/>
  <c r="FG4" i="4"/>
  <c r="FF4" i="4"/>
  <c r="FE4" i="4"/>
  <c r="FD4" i="4"/>
  <c r="FC4" i="4"/>
  <c r="FB4" i="4"/>
  <c r="FA4" i="4"/>
  <c r="EZ4" i="4"/>
  <c r="EY4" i="4"/>
  <c r="EX4" i="4"/>
  <c r="EW4" i="4"/>
  <c r="EV4" i="4"/>
  <c r="EU4" i="4"/>
  <c r="ET4" i="4"/>
  <c r="ES4" i="4"/>
  <c r="ER4" i="4"/>
  <c r="EQ4" i="4"/>
  <c r="EP4" i="4"/>
  <c r="EO4" i="4"/>
  <c r="EN4" i="4"/>
  <c r="EM4" i="4"/>
  <c r="EL4" i="4"/>
  <c r="EK4" i="4"/>
  <c r="EJ4" i="4"/>
  <c r="EI4" i="4"/>
  <c r="EH4" i="4"/>
  <c r="EG4" i="4"/>
  <c r="EF4" i="4"/>
  <c r="EE4" i="4"/>
  <c r="ED4" i="4"/>
  <c r="EC4" i="4"/>
  <c r="EB4" i="4"/>
  <c r="EA4" i="4"/>
  <c r="DZ4" i="4"/>
  <c r="DY4" i="4"/>
  <c r="DX4" i="4"/>
  <c r="DW4" i="4"/>
  <c r="DV4" i="4"/>
  <c r="DU4" i="4"/>
  <c r="DT4" i="4"/>
  <c r="DS4" i="4"/>
  <c r="DR4" i="4"/>
  <c r="DQ4" i="4"/>
  <c r="DP4" i="4"/>
  <c r="DO4" i="4"/>
  <c r="DN4" i="4"/>
  <c r="DM4" i="4"/>
  <c r="DL4" i="4"/>
  <c r="DK4" i="4"/>
  <c r="DJ4" i="4"/>
  <c r="DI4" i="4"/>
  <c r="DH4" i="4"/>
  <c r="DG4" i="4"/>
  <c r="DF4" i="4"/>
  <c r="DE4" i="4"/>
  <c r="DD4" i="4"/>
  <c r="DC4" i="4"/>
  <c r="DB4" i="4"/>
  <c r="DA4" i="4"/>
  <c r="CZ4" i="4"/>
  <c r="CY4" i="4"/>
  <c r="CX4" i="4"/>
  <c r="CW4" i="4"/>
  <c r="CV4" i="4"/>
  <c r="CU4" i="4"/>
  <c r="CT4" i="4"/>
  <c r="CS4" i="4"/>
  <c r="CR4" i="4"/>
  <c r="CQ4" i="4"/>
  <c r="CP4" i="4"/>
  <c r="CO4" i="4"/>
  <c r="CN4" i="4"/>
  <c r="CM4" i="4"/>
  <c r="CL4" i="4"/>
  <c r="CK4" i="4"/>
  <c r="CJ4" i="4"/>
  <c r="CI4" i="4"/>
  <c r="CH4" i="4"/>
  <c r="CG4" i="4"/>
  <c r="CF4" i="4"/>
  <c r="CE4" i="4"/>
  <c r="CD4" i="4"/>
  <c r="CC4" i="4"/>
  <c r="CB4" i="4"/>
  <c r="CA4" i="4"/>
  <c r="BZ4" i="4"/>
  <c r="BY4" i="4"/>
  <c r="BX4" i="4"/>
  <c r="BW4" i="4"/>
  <c r="BV4" i="4"/>
  <c r="BU4" i="4"/>
  <c r="BT4" i="4"/>
  <c r="BS4" i="4"/>
  <c r="BR4" i="4"/>
  <c r="BQ4" i="4"/>
  <c r="BP4" i="4"/>
  <c r="BO4" i="4"/>
  <c r="BN4" i="4"/>
  <c r="BM4" i="4"/>
  <c r="BL4" i="4"/>
  <c r="BK4" i="4"/>
  <c r="BJ4" i="4"/>
  <c r="BI4" i="4"/>
  <c r="BH4" i="4"/>
  <c r="BG4" i="4"/>
  <c r="BF4" i="4"/>
  <c r="BE4" i="4"/>
  <c r="BD4" i="4"/>
  <c r="BC4" i="4"/>
  <c r="BB4" i="4"/>
  <c r="BA4" i="4"/>
  <c r="AZ4" i="4"/>
  <c r="AY4" i="4"/>
  <c r="AX4" i="4"/>
  <c r="AW4" i="4"/>
  <c r="AV4" i="4"/>
  <c r="AU4" i="4"/>
  <c r="AT4" i="4"/>
  <c r="AS4" i="4"/>
  <c r="AR4" i="4"/>
  <c r="AQ4" i="4"/>
  <c r="AP4" i="4"/>
  <c r="AO4" i="4"/>
  <c r="AN4" i="4"/>
  <c r="AM4" i="4"/>
  <c r="AL4" i="4"/>
  <c r="AK4" i="4"/>
  <c r="AJ4" i="4"/>
  <c r="AI4" i="4"/>
  <c r="AH4" i="4"/>
  <c r="AG4" i="4"/>
  <c r="AF4" i="4"/>
  <c r="AE4" i="4"/>
  <c r="AD4" i="4"/>
  <c r="AC4" i="4"/>
  <c r="AB4" i="4"/>
  <c r="AA4" i="4"/>
  <c r="Z4" i="4"/>
  <c r="Y4" i="4"/>
  <c r="X4" i="4"/>
  <c r="W4" i="4"/>
  <c r="V4" i="4"/>
  <c r="U4" i="4"/>
  <c r="T4" i="4"/>
  <c r="S4" i="4"/>
  <c r="N4" i="4"/>
  <c r="K4" i="4"/>
  <c r="H4" i="4"/>
  <c r="E4" i="4"/>
  <c r="A4" i="4"/>
  <c r="TD3" i="4"/>
  <c r="HK3" i="4"/>
  <c r="HJ3" i="4"/>
  <c r="HI3" i="4"/>
  <c r="HH3" i="4"/>
  <c r="HG3" i="4"/>
  <c r="HF3" i="4"/>
  <c r="HE3" i="4"/>
  <c r="HD3" i="4"/>
  <c r="HC3" i="4"/>
  <c r="HB3" i="4"/>
  <c r="HA3" i="4"/>
  <c r="GZ3" i="4"/>
  <c r="GY3" i="4"/>
  <c r="GX3" i="4"/>
  <c r="GW3" i="4"/>
  <c r="GV3" i="4"/>
  <c r="GU3" i="4"/>
  <c r="GT3" i="4"/>
  <c r="GS3" i="4"/>
  <c r="GR3" i="4"/>
  <c r="GQ3" i="4"/>
  <c r="GP3" i="4"/>
  <c r="GO3" i="4"/>
  <c r="GN3" i="4"/>
  <c r="GM3" i="4"/>
  <c r="GL3" i="4"/>
  <c r="GK3" i="4"/>
  <c r="GJ3" i="4"/>
  <c r="GI3" i="4"/>
  <c r="GH3" i="4"/>
  <c r="GG3" i="4"/>
  <c r="GF3" i="4"/>
  <c r="GE3" i="4"/>
  <c r="GD3" i="4"/>
  <c r="GC3" i="4"/>
  <c r="GB3" i="4"/>
  <c r="GA3" i="4"/>
  <c r="FZ3" i="4"/>
  <c r="FY3" i="4"/>
  <c r="FX3" i="4"/>
  <c r="FW3" i="4"/>
  <c r="FV3" i="4"/>
  <c r="FU3" i="4"/>
  <c r="FT3" i="4"/>
  <c r="FS3" i="4"/>
  <c r="FR3" i="4"/>
  <c r="FQ3" i="4"/>
  <c r="FP3" i="4"/>
  <c r="FO3" i="4"/>
  <c r="FN3" i="4"/>
  <c r="FM3" i="4"/>
  <c r="FL3" i="4"/>
  <c r="FK3" i="4"/>
  <c r="FJ3" i="4"/>
  <c r="FI3" i="4"/>
  <c r="FH3" i="4"/>
  <c r="FG3" i="4"/>
  <c r="FF3" i="4"/>
  <c r="FE3" i="4"/>
  <c r="FD3" i="4"/>
  <c r="FC3" i="4"/>
  <c r="FB3" i="4"/>
  <c r="FA3" i="4"/>
  <c r="EZ3" i="4"/>
  <c r="EY3" i="4"/>
  <c r="EX3" i="4"/>
  <c r="EW3" i="4"/>
  <c r="EV3" i="4"/>
  <c r="EU3" i="4"/>
  <c r="ET3" i="4"/>
  <c r="ES3" i="4"/>
  <c r="ER3" i="4"/>
  <c r="EQ3" i="4"/>
  <c r="EP3" i="4"/>
  <c r="EO3" i="4"/>
  <c r="EN3" i="4"/>
  <c r="EM3" i="4"/>
  <c r="EL3" i="4"/>
  <c r="EK3" i="4"/>
  <c r="EJ3" i="4"/>
  <c r="EI3" i="4"/>
  <c r="EH3" i="4"/>
  <c r="EG3" i="4"/>
  <c r="EF3" i="4"/>
  <c r="EE3" i="4"/>
  <c r="ED3" i="4"/>
  <c r="EC3" i="4"/>
  <c r="EB3" i="4"/>
  <c r="EA3" i="4"/>
  <c r="DZ3" i="4"/>
  <c r="DY3" i="4"/>
  <c r="DX3" i="4"/>
  <c r="DW3" i="4"/>
  <c r="DV3" i="4"/>
  <c r="DU3" i="4"/>
  <c r="DT3" i="4"/>
  <c r="DS3" i="4"/>
  <c r="DR3" i="4"/>
  <c r="DQ3" i="4"/>
  <c r="DP3" i="4"/>
  <c r="DO3" i="4"/>
  <c r="DN3" i="4"/>
  <c r="DM3" i="4"/>
  <c r="DL3" i="4"/>
  <c r="DK3" i="4"/>
  <c r="DJ3" i="4"/>
  <c r="DI3" i="4"/>
  <c r="DH3" i="4"/>
  <c r="DG3" i="4"/>
  <c r="DF3" i="4"/>
  <c r="DE3" i="4"/>
  <c r="DD3" i="4"/>
  <c r="DC3" i="4"/>
  <c r="DB3" i="4"/>
  <c r="DA3" i="4"/>
  <c r="CZ3" i="4"/>
  <c r="CY3" i="4"/>
  <c r="CX3" i="4"/>
  <c r="CW3" i="4"/>
  <c r="CV3" i="4"/>
  <c r="CU3" i="4"/>
  <c r="CT3" i="4"/>
  <c r="CS3" i="4"/>
  <c r="CR3" i="4"/>
  <c r="CQ3" i="4"/>
  <c r="CP3" i="4"/>
  <c r="CO3" i="4"/>
  <c r="CN3" i="4"/>
  <c r="CM3" i="4"/>
  <c r="CL3" i="4"/>
  <c r="CK3" i="4"/>
  <c r="CJ3" i="4"/>
  <c r="CI3" i="4"/>
  <c r="CH3" i="4"/>
  <c r="CG3" i="4"/>
  <c r="CF3" i="4"/>
  <c r="CE3" i="4"/>
  <c r="CD3" i="4"/>
  <c r="CC3" i="4"/>
  <c r="CB3" i="4"/>
  <c r="CA3" i="4"/>
  <c r="BZ3" i="4"/>
  <c r="BY3" i="4"/>
  <c r="BX3" i="4"/>
  <c r="BW3" i="4"/>
  <c r="BV3" i="4"/>
  <c r="BU3" i="4"/>
  <c r="BT3" i="4"/>
  <c r="BS3" i="4"/>
  <c r="BR3" i="4"/>
  <c r="BQ3" i="4"/>
  <c r="BP3" i="4"/>
  <c r="BO3" i="4"/>
  <c r="BN3" i="4"/>
  <c r="BM3" i="4"/>
  <c r="BL3" i="4"/>
  <c r="BK3" i="4"/>
  <c r="BJ3" i="4"/>
  <c r="BI3" i="4"/>
  <c r="BH3" i="4"/>
  <c r="BG3" i="4"/>
  <c r="BF3" i="4"/>
  <c r="BE3" i="4"/>
  <c r="BD3" i="4"/>
  <c r="BC3" i="4"/>
  <c r="BB3" i="4"/>
  <c r="BA3" i="4"/>
  <c r="AZ3" i="4"/>
  <c r="AY3" i="4"/>
  <c r="AX3" i="4"/>
  <c r="AW3" i="4"/>
  <c r="AV3" i="4"/>
  <c r="AU3" i="4"/>
  <c r="AT3" i="4"/>
  <c r="AS3" i="4"/>
  <c r="AR3" i="4"/>
  <c r="AQ3" i="4"/>
  <c r="AP3" i="4"/>
  <c r="AO3" i="4"/>
  <c r="AN3" i="4"/>
  <c r="AM3" i="4"/>
  <c r="AL3" i="4"/>
  <c r="AK3" i="4"/>
  <c r="AJ3" i="4"/>
  <c r="AI3" i="4"/>
  <c r="AH3" i="4"/>
  <c r="AG3" i="4"/>
  <c r="AF3" i="4"/>
  <c r="AE3" i="4"/>
  <c r="AD3" i="4"/>
  <c r="AC3" i="4"/>
  <c r="AB3" i="4"/>
  <c r="AA3" i="4"/>
  <c r="Z3" i="4"/>
  <c r="Y3" i="4"/>
  <c r="X3" i="4"/>
  <c r="W3" i="4"/>
  <c r="V3" i="4"/>
  <c r="U3" i="4"/>
  <c r="T3" i="4"/>
  <c r="N3" i="4"/>
  <c r="K3" i="4"/>
  <c r="H3" i="4"/>
  <c r="E3" i="4"/>
  <c r="TD2" i="4"/>
  <c r="HK2" i="4"/>
  <c r="HJ2" i="4"/>
  <c r="HI2" i="4"/>
  <c r="HH2" i="4"/>
  <c r="HG2" i="4"/>
  <c r="HF2" i="4"/>
  <c r="HE2" i="4"/>
  <c r="HD2" i="4"/>
  <c r="HC2" i="4"/>
  <c r="HB2" i="4"/>
  <c r="HA2" i="4"/>
  <c r="GZ2" i="4"/>
  <c r="GY2" i="4"/>
  <c r="GX2" i="4"/>
  <c r="GW2" i="4"/>
  <c r="GV2" i="4"/>
  <c r="GU2" i="4"/>
  <c r="GT2" i="4"/>
  <c r="GS2" i="4"/>
  <c r="GR2" i="4"/>
  <c r="GQ2" i="4"/>
  <c r="GP2" i="4"/>
  <c r="GO2" i="4"/>
  <c r="GN2" i="4"/>
  <c r="GM2" i="4"/>
  <c r="GL2" i="4"/>
  <c r="GK2" i="4"/>
  <c r="GJ2" i="4"/>
  <c r="GI2" i="4"/>
  <c r="GH2" i="4"/>
  <c r="GG2" i="4"/>
  <c r="GF2" i="4"/>
  <c r="GE2" i="4"/>
  <c r="GD2" i="4"/>
  <c r="GC2" i="4"/>
  <c r="GB2" i="4"/>
  <c r="GA2" i="4"/>
  <c r="FZ2" i="4"/>
  <c r="FY2" i="4"/>
  <c r="FX2" i="4"/>
  <c r="FW2" i="4"/>
  <c r="FV2" i="4"/>
  <c r="FU2" i="4"/>
  <c r="FT2" i="4"/>
  <c r="FS2" i="4"/>
  <c r="FR2" i="4"/>
  <c r="FQ2" i="4"/>
  <c r="FP2" i="4"/>
  <c r="FO2" i="4"/>
  <c r="FN2" i="4"/>
  <c r="FM2" i="4"/>
  <c r="FL2" i="4"/>
  <c r="FK2" i="4"/>
  <c r="FJ2" i="4"/>
  <c r="FI2" i="4"/>
  <c r="FH2" i="4"/>
  <c r="FG2" i="4"/>
  <c r="FF2" i="4"/>
  <c r="FE2" i="4"/>
  <c r="FD2" i="4"/>
  <c r="FC2" i="4"/>
  <c r="FB2" i="4"/>
  <c r="FA2" i="4"/>
  <c r="EZ2" i="4"/>
  <c r="EY2" i="4"/>
  <c r="EX2" i="4"/>
  <c r="EW2" i="4"/>
  <c r="EV2" i="4"/>
  <c r="EU2" i="4"/>
  <c r="ET2" i="4"/>
  <c r="ES2" i="4"/>
  <c r="ER2" i="4"/>
  <c r="EQ2" i="4"/>
  <c r="EP2" i="4"/>
  <c r="EO2" i="4"/>
  <c r="EN2" i="4"/>
  <c r="EM2" i="4"/>
  <c r="EL2" i="4"/>
  <c r="EK2" i="4"/>
  <c r="EJ2" i="4"/>
  <c r="EI2" i="4"/>
  <c r="EH2" i="4"/>
  <c r="EG2" i="4"/>
  <c r="EF2" i="4"/>
  <c r="EE2" i="4"/>
  <c r="ED2" i="4"/>
  <c r="EC2" i="4"/>
  <c r="EB2" i="4"/>
  <c r="EA2" i="4"/>
  <c r="DZ2" i="4"/>
  <c r="DY2" i="4"/>
  <c r="DX2" i="4"/>
  <c r="DW2" i="4"/>
  <c r="DV2" i="4"/>
  <c r="DU2" i="4"/>
  <c r="DT2" i="4"/>
  <c r="DS2" i="4"/>
  <c r="DR2" i="4"/>
  <c r="DQ2" i="4"/>
  <c r="DP2" i="4"/>
  <c r="DO2" i="4"/>
  <c r="DN2" i="4"/>
  <c r="DM2" i="4"/>
  <c r="DL2" i="4"/>
  <c r="DK2" i="4"/>
  <c r="DJ2" i="4"/>
  <c r="DI2" i="4"/>
  <c r="DH2" i="4"/>
  <c r="DG2" i="4"/>
  <c r="DF2" i="4"/>
  <c r="DE2" i="4"/>
  <c r="DD2" i="4"/>
  <c r="DC2" i="4"/>
  <c r="DB2" i="4"/>
  <c r="DA2" i="4"/>
  <c r="CZ2" i="4"/>
  <c r="CY2" i="4"/>
  <c r="CX2" i="4"/>
  <c r="CW2" i="4"/>
  <c r="CV2" i="4"/>
  <c r="CU2" i="4"/>
  <c r="CT2" i="4"/>
  <c r="CS2" i="4"/>
  <c r="CR2" i="4"/>
  <c r="CQ2" i="4"/>
  <c r="CP2" i="4"/>
  <c r="CO2" i="4"/>
  <c r="CN2" i="4"/>
  <c r="CM2" i="4"/>
  <c r="CL2" i="4"/>
  <c r="CK2" i="4"/>
  <c r="CJ2" i="4"/>
  <c r="CI2" i="4"/>
  <c r="CH2" i="4"/>
  <c r="CG2" i="4"/>
  <c r="CF2" i="4"/>
  <c r="CE2" i="4"/>
  <c r="CD2" i="4"/>
  <c r="CC2" i="4"/>
  <c r="CB2" i="4"/>
  <c r="CA2" i="4"/>
  <c r="BZ2" i="4"/>
  <c r="BY2" i="4"/>
  <c r="BX2" i="4"/>
  <c r="BW2" i="4"/>
  <c r="BV2" i="4"/>
  <c r="BU2" i="4"/>
  <c r="BT2" i="4"/>
  <c r="BS2" i="4"/>
  <c r="BR2" i="4"/>
  <c r="BQ2" i="4"/>
  <c r="BP2" i="4"/>
  <c r="BO2" i="4"/>
  <c r="BN2" i="4"/>
  <c r="BM2" i="4"/>
  <c r="BL2" i="4"/>
  <c r="BK2" i="4"/>
  <c r="BJ2" i="4"/>
  <c r="BI2" i="4"/>
  <c r="BH2" i="4"/>
  <c r="BG2" i="4"/>
  <c r="BF2" i="4"/>
  <c r="BE2" i="4"/>
  <c r="BD2" i="4"/>
  <c r="BC2" i="4"/>
  <c r="BB2" i="4"/>
  <c r="BA2" i="4"/>
  <c r="AZ2" i="4"/>
  <c r="AY2" i="4"/>
  <c r="AX2" i="4"/>
  <c r="AW2" i="4"/>
  <c r="AV2" i="4"/>
  <c r="AU2" i="4"/>
  <c r="AT2" i="4"/>
  <c r="AS2" i="4"/>
  <c r="AR2" i="4"/>
  <c r="AQ2" i="4"/>
  <c r="AP2" i="4"/>
  <c r="AO2" i="4"/>
  <c r="AN2" i="4"/>
  <c r="AM2" i="4"/>
  <c r="AL2" i="4"/>
  <c r="AK2" i="4"/>
  <c r="AJ2" i="4"/>
  <c r="AI2" i="4"/>
  <c r="AH2" i="4"/>
  <c r="AG2" i="4"/>
  <c r="AF2" i="4"/>
  <c r="AE2" i="4"/>
  <c r="AD2" i="4"/>
  <c r="AC2" i="4"/>
  <c r="AB2" i="4"/>
  <c r="AA2" i="4"/>
  <c r="Z2" i="4"/>
  <c r="Y2" i="4"/>
  <c r="X2" i="4"/>
  <c r="W2" i="4"/>
  <c r="V2" i="4"/>
  <c r="U2" i="4"/>
  <c r="T2" i="4"/>
  <c r="S2" i="4"/>
  <c r="N2" i="4"/>
  <c r="K2" i="4"/>
  <c r="H2" i="4"/>
  <c r="E2" i="4"/>
  <c r="A2" i="4"/>
  <c r="HN1" i="4"/>
  <c r="TD45" i="4" l="1"/>
  <c r="TD46" i="4"/>
  <c r="TD44" i="4"/>
  <c r="TE44" i="4" s="1"/>
  <c r="T56" i="4"/>
  <c r="W56" i="4" s="1"/>
  <c r="T53" i="4"/>
  <c r="W53" i="4" s="1"/>
  <c r="T44" i="4"/>
  <c r="W44" i="4" s="1"/>
  <c r="HN35" i="4"/>
  <c r="HN37" i="4"/>
  <c r="HN36" i="4"/>
  <c r="HN39" i="4"/>
  <c r="HN34" i="4"/>
  <c r="HN40" i="4"/>
  <c r="HN38" i="4"/>
  <c r="S45" i="4"/>
  <c r="V45" i="4" s="1"/>
  <c r="S55" i="4"/>
  <c r="V55" i="4" s="1"/>
  <c r="T54" i="4"/>
  <c r="W54" i="4" s="1"/>
  <c r="S46" i="4"/>
  <c r="V46" i="4" s="1"/>
  <c r="S56" i="4"/>
  <c r="V56" i="4" s="1"/>
  <c r="T55" i="4"/>
  <c r="W55" i="4" s="1"/>
  <c r="S44" i="4"/>
  <c r="V44" i="4" s="1"/>
  <c r="A44" i="5"/>
  <c r="A91" i="5"/>
  <c r="HN2" i="4"/>
  <c r="S49" i="4"/>
  <c r="V49" i="4" s="1"/>
  <c r="S50" i="4"/>
  <c r="V50" i="4" s="1"/>
  <c r="Q65" i="5"/>
  <c r="Q11" i="5"/>
  <c r="S52" i="4"/>
  <c r="V52" i="4" s="1"/>
  <c r="HO1" i="4"/>
  <c r="U47" i="4"/>
  <c r="X47" i="4" s="1"/>
  <c r="Q44" i="5"/>
  <c r="I65" i="5"/>
  <c r="I44" i="5"/>
  <c r="A65" i="5"/>
  <c r="A11" i="5"/>
  <c r="I11" i="5"/>
  <c r="HN5" i="4"/>
  <c r="HN33" i="4"/>
  <c r="HN32" i="4"/>
  <c r="HN31" i="4"/>
  <c r="HN30" i="4"/>
  <c r="HN29" i="4"/>
  <c r="HN28" i="4"/>
  <c r="HN27" i="4"/>
  <c r="HN26" i="4"/>
  <c r="HN25" i="4"/>
  <c r="HN24" i="4"/>
  <c r="HN20" i="4"/>
  <c r="HN23" i="4"/>
  <c r="HN21" i="4"/>
  <c r="HN19" i="4"/>
  <c r="HN18" i="4"/>
  <c r="HN17" i="4"/>
  <c r="HN11" i="4"/>
  <c r="HN16" i="4"/>
  <c r="HN15" i="4"/>
  <c r="HN14" i="4"/>
  <c r="HN13" i="4"/>
  <c r="HN12" i="4"/>
  <c r="HN22" i="4"/>
  <c r="HN6" i="4"/>
  <c r="HN3" i="4"/>
  <c r="HN9" i="4"/>
  <c r="HN4" i="4"/>
  <c r="HN7" i="4"/>
  <c r="HN10" i="4"/>
  <c r="HN8" i="4"/>
  <c r="S51" i="4"/>
  <c r="V51" i="4" s="1"/>
  <c r="S48" i="4"/>
  <c r="V48" i="4" s="1"/>
  <c r="S53" i="4"/>
  <c r="V53" i="4" s="1"/>
  <c r="S47" i="4"/>
  <c r="V47" i="4" s="1"/>
  <c r="TE45" i="4"/>
  <c r="S54" i="4"/>
  <c r="V54" i="4" s="1"/>
  <c r="T45" i="4"/>
  <c r="W45" i="4" s="1"/>
  <c r="T46" i="4"/>
  <c r="W46" i="4" s="1"/>
  <c r="T47" i="4"/>
  <c r="W47" i="4" s="1"/>
  <c r="T48" i="4"/>
  <c r="W48" i="4" s="1"/>
  <c r="TE46" i="4"/>
  <c r="T49" i="4"/>
  <c r="W49" i="4" s="1"/>
  <c r="T50" i="4"/>
  <c r="W50" i="4" s="1"/>
  <c r="T51" i="4"/>
  <c r="W51" i="4" s="1"/>
  <c r="T52" i="4"/>
  <c r="W52" i="4" s="1"/>
  <c r="U44" i="4"/>
  <c r="X44" i="4" s="1"/>
  <c r="U45" i="4"/>
  <c r="X45" i="4" s="1"/>
  <c r="U46" i="4"/>
  <c r="X46" i="4" s="1"/>
  <c r="U48" i="4"/>
  <c r="X48" i="4" s="1"/>
  <c r="U49" i="4"/>
  <c r="X49" i="4" s="1"/>
  <c r="U50" i="4"/>
  <c r="X50" i="4" s="1"/>
  <c r="HN44" i="4" l="1"/>
  <c r="HN46" i="4"/>
  <c r="HN45" i="4"/>
  <c r="HP1" i="4"/>
  <c r="HP20" i="4" s="1"/>
  <c r="HO35" i="4"/>
  <c r="HO37" i="4"/>
  <c r="HO36" i="4"/>
  <c r="HO38" i="4"/>
  <c r="HO39" i="4"/>
  <c r="HO40" i="4"/>
  <c r="HO23" i="4"/>
  <c r="HO30" i="4"/>
  <c r="HO31" i="4"/>
  <c r="HO7" i="4"/>
  <c r="HO4" i="4"/>
  <c r="HO14" i="4"/>
  <c r="HO15" i="4"/>
  <c r="HO22" i="4"/>
  <c r="HO2" i="4"/>
  <c r="HO9" i="4"/>
  <c r="HO16" i="4"/>
  <c r="HO24" i="4"/>
  <c r="HO32" i="4"/>
  <c r="HP30" i="4"/>
  <c r="HP11" i="4"/>
  <c r="HP13" i="4"/>
  <c r="HP29" i="4"/>
  <c r="HO3" i="4"/>
  <c r="HO17" i="4"/>
  <c r="HO25" i="4"/>
  <c r="HO33" i="4"/>
  <c r="HP5" i="4"/>
  <c r="HP15" i="4"/>
  <c r="HP23" i="4"/>
  <c r="HP31" i="4"/>
  <c r="HO6" i="4"/>
  <c r="HO18" i="4"/>
  <c r="HO26" i="4"/>
  <c r="HO34" i="4"/>
  <c r="HP10" i="4"/>
  <c r="HP16" i="4"/>
  <c r="HP24" i="4"/>
  <c r="HP32" i="4"/>
  <c r="HO8" i="4"/>
  <c r="HO11" i="4"/>
  <c r="HO19" i="4"/>
  <c r="HO27" i="4"/>
  <c r="HQ1" i="4"/>
  <c r="HP7" i="4"/>
  <c r="HP17" i="4"/>
  <c r="HP25" i="4"/>
  <c r="HP33" i="4"/>
  <c r="HP21" i="4"/>
  <c r="HO5" i="4"/>
  <c r="HO12" i="4"/>
  <c r="HO20" i="4"/>
  <c r="HO28" i="4"/>
  <c r="HP3" i="4"/>
  <c r="HP4" i="4"/>
  <c r="HP18" i="4"/>
  <c r="HP26" i="4"/>
  <c r="HP34" i="4"/>
  <c r="HO10" i="4"/>
  <c r="HO13" i="4"/>
  <c r="HO21" i="4"/>
  <c r="HO29" i="4"/>
  <c r="HP2" i="4"/>
  <c r="HP9" i="4"/>
  <c r="HP19" i="4"/>
  <c r="HP14" i="4" l="1"/>
  <c r="HP28" i="4"/>
  <c r="HP8" i="4"/>
  <c r="HP22" i="4"/>
  <c r="HP6" i="4"/>
  <c r="HP12" i="4"/>
  <c r="HO45" i="4"/>
  <c r="HO46" i="4"/>
  <c r="HO44" i="4"/>
  <c r="HP44" i="4"/>
  <c r="HO47" i="4" s="1"/>
  <c r="HR50" i="4" s="1"/>
  <c r="HU53" i="4" s="1"/>
  <c r="HX56" i="4" s="1"/>
  <c r="HQ34" i="4"/>
  <c r="HQ36" i="4"/>
  <c r="HQ35" i="4"/>
  <c r="HQ38" i="4"/>
  <c r="HQ40" i="4"/>
  <c r="HQ39" i="4"/>
  <c r="HQ37" i="4"/>
  <c r="HP27" i="4"/>
  <c r="HP45" i="4" s="1"/>
  <c r="HO48" i="4" s="1"/>
  <c r="HR51" i="4" s="1"/>
  <c r="HU54" i="4" s="1"/>
  <c r="HX57" i="4" s="1"/>
  <c r="HP36" i="4"/>
  <c r="HP35" i="4"/>
  <c r="HP37" i="4"/>
  <c r="HP38" i="4"/>
  <c r="HP40" i="4"/>
  <c r="HP39" i="4"/>
  <c r="HQ2" i="4"/>
  <c r="HQ6" i="4"/>
  <c r="HQ12" i="4"/>
  <c r="HQ15" i="4"/>
  <c r="HQ23" i="4"/>
  <c r="HQ14" i="4"/>
  <c r="HQ31" i="4"/>
  <c r="HQ32" i="4"/>
  <c r="HQ9" i="4"/>
  <c r="HQ13" i="4"/>
  <c r="HQ27" i="4"/>
  <c r="HQ19" i="4"/>
  <c r="HQ8" i="4"/>
  <c r="HQ28" i="4"/>
  <c r="HQ5" i="4"/>
  <c r="HQ20" i="4"/>
  <c r="HQ29" i="4"/>
  <c r="HQ10" i="4"/>
  <c r="HQ21" i="4"/>
  <c r="HQ11" i="4"/>
  <c r="HQ22" i="4"/>
  <c r="HQ24" i="4"/>
  <c r="HQ30" i="4"/>
  <c r="HQ16" i="4"/>
  <c r="HR1" i="4"/>
  <c r="HQ7" i="4"/>
  <c r="HQ17" i="4"/>
  <c r="HQ25" i="4"/>
  <c r="HQ33" i="4"/>
  <c r="HQ3" i="4"/>
  <c r="HQ4" i="4"/>
  <c r="HQ18" i="4"/>
  <c r="HQ26" i="4"/>
  <c r="HP46" i="4" l="1"/>
  <c r="HO49" i="4" s="1"/>
  <c r="HQ46" i="4"/>
  <c r="HP49" i="4" s="1"/>
  <c r="HQ44" i="4"/>
  <c r="HP47" i="4" s="1"/>
  <c r="HS50" i="4" s="1"/>
  <c r="HV53" i="4" s="1"/>
  <c r="HY56" i="4" s="1"/>
  <c r="HQ45" i="4"/>
  <c r="HP48" i="4" s="1"/>
  <c r="HS51" i="4" s="1"/>
  <c r="HV54" i="4" s="1"/>
  <c r="HY57" i="4" s="1"/>
  <c r="HR31" i="4"/>
  <c r="HR36" i="4"/>
  <c r="HR35" i="4"/>
  <c r="HR38" i="4"/>
  <c r="HR37" i="4"/>
  <c r="HR39" i="4"/>
  <c r="HR40" i="4"/>
  <c r="HQ50" i="4"/>
  <c r="HQ53" i="4" s="1"/>
  <c r="HT56" i="4" s="1"/>
  <c r="HQ51" i="4"/>
  <c r="HT54" i="4" s="1"/>
  <c r="HW57" i="4" s="1"/>
  <c r="HR11" i="4"/>
  <c r="HR7" i="4"/>
  <c r="HR26" i="4"/>
  <c r="HR9" i="4"/>
  <c r="HR25" i="4"/>
  <c r="HR17" i="4"/>
  <c r="HR27" i="4"/>
  <c r="HR10" i="4"/>
  <c r="HR6" i="4"/>
  <c r="HR18" i="4"/>
  <c r="HR28" i="4"/>
  <c r="HR13" i="4"/>
  <c r="HR29" i="4"/>
  <c r="HR2" i="4"/>
  <c r="HR14" i="4"/>
  <c r="HR22" i="4"/>
  <c r="HR34" i="4"/>
  <c r="HR12" i="4"/>
  <c r="HR19" i="4"/>
  <c r="HR8" i="4"/>
  <c r="HR20" i="4"/>
  <c r="HR32" i="4"/>
  <c r="HS1" i="4"/>
  <c r="HR15" i="4"/>
  <c r="HR24" i="4"/>
  <c r="HR33" i="4"/>
  <c r="HR4" i="4"/>
  <c r="HR5" i="4"/>
  <c r="HR21" i="4"/>
  <c r="HR30" i="4"/>
  <c r="HR3" i="4"/>
  <c r="HR16" i="4"/>
  <c r="HR23" i="4"/>
  <c r="HR46" i="4" l="1"/>
  <c r="HQ49" i="4" s="1"/>
  <c r="HR45" i="4"/>
  <c r="HQ48" i="4" s="1"/>
  <c r="HT51" i="4" s="1"/>
  <c r="HW54" i="4" s="1"/>
  <c r="HZ57" i="4" s="1"/>
  <c r="HR44" i="4"/>
  <c r="HQ47" i="4" s="1"/>
  <c r="HT50" i="4" s="1"/>
  <c r="HW53" i="4" s="1"/>
  <c r="HZ56" i="4" s="1"/>
  <c r="HS29" i="4"/>
  <c r="HS37" i="4"/>
  <c r="HS36" i="4"/>
  <c r="HS35" i="4"/>
  <c r="HS38" i="4"/>
  <c r="HS39" i="4"/>
  <c r="HS40" i="4"/>
  <c r="HS56" i="4"/>
  <c r="HQ56" i="4"/>
  <c r="HR53" i="4"/>
  <c r="HU56" i="4" s="1"/>
  <c r="HR56" i="4"/>
  <c r="HS53" i="4"/>
  <c r="HV56" i="4" s="1"/>
  <c r="HT53" i="4"/>
  <c r="HW56" i="4" s="1"/>
  <c r="HQ54" i="4"/>
  <c r="HS57" i="4" s="1"/>
  <c r="HR54" i="4"/>
  <c r="HU57" i="4" s="1"/>
  <c r="HS54" i="4"/>
  <c r="HV57" i="4" s="1"/>
  <c r="HS10" i="4"/>
  <c r="HS4" i="4"/>
  <c r="HS15" i="4"/>
  <c r="HS27" i="4"/>
  <c r="HS30" i="4"/>
  <c r="HS2" i="4"/>
  <c r="HS13" i="4"/>
  <c r="HS28" i="4"/>
  <c r="HS16" i="4"/>
  <c r="HS12" i="4"/>
  <c r="HS31" i="4"/>
  <c r="HS20" i="4"/>
  <c r="HS3" i="4"/>
  <c r="HS17" i="4"/>
  <c r="HT1" i="4"/>
  <c r="HS6" i="4"/>
  <c r="HS19" i="4"/>
  <c r="HS8" i="4"/>
  <c r="HS23" i="4"/>
  <c r="HS11" i="4"/>
  <c r="HS24" i="4"/>
  <c r="HS32" i="4"/>
  <c r="HS22" i="4"/>
  <c r="HS25" i="4"/>
  <c r="HS33" i="4"/>
  <c r="HS7" i="4"/>
  <c r="HS5" i="4"/>
  <c r="HS21" i="4"/>
  <c r="HS26" i="4"/>
  <c r="HS34" i="4"/>
  <c r="HS9" i="4"/>
  <c r="HS14" i="4"/>
  <c r="HS18" i="4"/>
  <c r="HS44" i="4" l="1"/>
  <c r="HR47" i="4" s="1"/>
  <c r="HU50" i="4" s="1"/>
  <c r="HX53" i="4" s="1"/>
  <c r="IA56" i="4" s="1"/>
  <c r="HS45" i="4"/>
  <c r="HR48" i="4" s="1"/>
  <c r="HU51" i="4" s="1"/>
  <c r="HX54" i="4" s="1"/>
  <c r="IA57" i="4" s="1"/>
  <c r="HS46" i="4"/>
  <c r="HR49" i="4" s="1"/>
  <c r="HT28" i="4"/>
  <c r="HT37" i="4"/>
  <c r="HT36" i="4"/>
  <c r="HT35" i="4"/>
  <c r="HT38" i="4"/>
  <c r="HT39" i="4"/>
  <c r="HT40" i="4"/>
  <c r="HT23" i="4"/>
  <c r="HR57" i="4"/>
  <c r="HT57" i="4"/>
  <c r="HQ57" i="4"/>
  <c r="HT30" i="4"/>
  <c r="HT33" i="4"/>
  <c r="HT4" i="4"/>
  <c r="HT9" i="4"/>
  <c r="HT5" i="4"/>
  <c r="HT17" i="4"/>
  <c r="HT18" i="4"/>
  <c r="HT3" i="4"/>
  <c r="HT21" i="4"/>
  <c r="HT34" i="4"/>
  <c r="HT8" i="4"/>
  <c r="HT22" i="4"/>
  <c r="HT15" i="4"/>
  <c r="HT14" i="4"/>
  <c r="HT25" i="4"/>
  <c r="HT2" i="4"/>
  <c r="HT26" i="4"/>
  <c r="HT10" i="4"/>
  <c r="HT16" i="4"/>
  <c r="HT29" i="4"/>
  <c r="HT31" i="4"/>
  <c r="HT6" i="4"/>
  <c r="HT11" i="4"/>
  <c r="HT24" i="4"/>
  <c r="HT32" i="4"/>
  <c r="HU1" i="4"/>
  <c r="HT27" i="4"/>
  <c r="HT12" i="4"/>
  <c r="HT19" i="4"/>
  <c r="HT7" i="4"/>
  <c r="HT13" i="4"/>
  <c r="HT20" i="4"/>
  <c r="HT45" i="4" s="1"/>
  <c r="HT44" i="4" l="1"/>
  <c r="HS47" i="4" s="1"/>
  <c r="HV50" i="4" s="1"/>
  <c r="HY53" i="4" s="1"/>
  <c r="IB56" i="4" s="1"/>
  <c r="HT46" i="4"/>
  <c r="HS49" i="4" s="1"/>
  <c r="HU23" i="4"/>
  <c r="HU35" i="4"/>
  <c r="HU37" i="4"/>
  <c r="HU36" i="4"/>
  <c r="HU39" i="4"/>
  <c r="HU38" i="4"/>
  <c r="HU40" i="4"/>
  <c r="HS48" i="4"/>
  <c r="HV51" i="4" s="1"/>
  <c r="HY54" i="4" s="1"/>
  <c r="IB57" i="4" s="1"/>
  <c r="HV1" i="4"/>
  <c r="HV29" i="4" s="1"/>
  <c r="HU11" i="4"/>
  <c r="HU14" i="4"/>
  <c r="HU24" i="4"/>
  <c r="HU32" i="4"/>
  <c r="HU2" i="4"/>
  <c r="HU6" i="4"/>
  <c r="HU15" i="4"/>
  <c r="HU25" i="4"/>
  <c r="HU33" i="4"/>
  <c r="HU13" i="4"/>
  <c r="HU31" i="4"/>
  <c r="HU3" i="4"/>
  <c r="HU5" i="4"/>
  <c r="HU8" i="4"/>
  <c r="HU16" i="4"/>
  <c r="HU26" i="4"/>
  <c r="HU34" i="4"/>
  <c r="HU10" i="4"/>
  <c r="HU18" i="4"/>
  <c r="HU20" i="4"/>
  <c r="HU28" i="4"/>
  <c r="HU7" i="4"/>
  <c r="HU19" i="4"/>
  <c r="HU21" i="4"/>
  <c r="HU29" i="4"/>
  <c r="HU4" i="4"/>
  <c r="HU12" i="4"/>
  <c r="HU22" i="4"/>
  <c r="HU30" i="4"/>
  <c r="HU9" i="4"/>
  <c r="HU17" i="4"/>
  <c r="HU27" i="4"/>
  <c r="HV34" i="4"/>
  <c r="HV31" i="4"/>
  <c r="HV30" i="4"/>
  <c r="HV27" i="4"/>
  <c r="HV26" i="4"/>
  <c r="HV20" i="4"/>
  <c r="HV23" i="4"/>
  <c r="HV19" i="4"/>
  <c r="HV18" i="4"/>
  <c r="HV16" i="4"/>
  <c r="HV15" i="4"/>
  <c r="HV12" i="4"/>
  <c r="HV6" i="4"/>
  <c r="HV4" i="4"/>
  <c r="HV7" i="4"/>
  <c r="HW1" i="4"/>
  <c r="HV2" i="4"/>
  <c r="HU45" i="4" l="1"/>
  <c r="HT48" i="4" s="1"/>
  <c r="HW51" i="4" s="1"/>
  <c r="HZ54" i="4" s="1"/>
  <c r="IC57" i="4" s="1"/>
  <c r="HV9" i="4"/>
  <c r="HV11" i="4"/>
  <c r="HV24" i="4"/>
  <c r="HV32" i="4"/>
  <c r="HV8" i="4"/>
  <c r="HV3" i="4"/>
  <c r="HV17" i="4"/>
  <c r="HV45" i="4" s="1"/>
  <c r="HU48" i="4" s="1"/>
  <c r="HX51" i="4" s="1"/>
  <c r="IA54" i="4" s="1"/>
  <c r="ID57" i="4" s="1"/>
  <c r="HV25" i="4"/>
  <c r="HV33" i="4"/>
  <c r="HV5" i="4"/>
  <c r="HV13" i="4"/>
  <c r="HV22" i="4"/>
  <c r="HV28" i="4"/>
  <c r="HV10" i="4"/>
  <c r="HV14" i="4"/>
  <c r="HV44" i="4" s="1"/>
  <c r="HU47" i="4" s="1"/>
  <c r="HX50" i="4" s="1"/>
  <c r="IA53" i="4" s="1"/>
  <c r="ID56" i="4" s="1"/>
  <c r="HV21" i="4"/>
  <c r="HU46" i="4"/>
  <c r="HT49" i="4" s="1"/>
  <c r="HQ52" i="4" s="1"/>
  <c r="HU44" i="4"/>
  <c r="HT47" i="4" s="1"/>
  <c r="HW50" i="4" s="1"/>
  <c r="HZ53" i="4" s="1"/>
  <c r="IC56" i="4" s="1"/>
  <c r="HW35" i="4"/>
  <c r="HW37" i="4"/>
  <c r="HW38" i="4"/>
  <c r="HW36" i="4"/>
  <c r="HW40" i="4"/>
  <c r="HW39" i="4"/>
  <c r="HV35" i="4"/>
  <c r="HV37" i="4"/>
  <c r="HV36" i="4"/>
  <c r="HV39" i="4"/>
  <c r="HV40" i="4"/>
  <c r="HV38" i="4"/>
  <c r="HW34" i="4"/>
  <c r="HW33" i="4"/>
  <c r="HW32" i="4"/>
  <c r="HW31" i="4"/>
  <c r="HW30" i="4"/>
  <c r="HW29" i="4"/>
  <c r="HW28" i="4"/>
  <c r="HW27" i="4"/>
  <c r="HW26" i="4"/>
  <c r="HW25" i="4"/>
  <c r="HW24" i="4"/>
  <c r="HW23" i="4"/>
  <c r="HW22" i="4"/>
  <c r="HW21" i="4"/>
  <c r="HW20" i="4"/>
  <c r="HW19" i="4"/>
  <c r="HW18" i="4"/>
  <c r="HW17" i="4"/>
  <c r="HW16" i="4"/>
  <c r="HW15" i="4"/>
  <c r="HW14" i="4"/>
  <c r="HW13" i="4"/>
  <c r="HW12" i="4"/>
  <c r="HW6" i="4"/>
  <c r="HW3" i="4"/>
  <c r="HW9" i="4"/>
  <c r="HW4" i="4"/>
  <c r="HW7" i="4"/>
  <c r="HW10" i="4"/>
  <c r="HW11" i="4"/>
  <c r="HW5" i="4"/>
  <c r="HW8" i="4"/>
  <c r="HX1" i="4"/>
  <c r="HW2" i="4"/>
  <c r="HW46" i="4" l="1"/>
  <c r="HV49" i="4" s="1"/>
  <c r="HV46" i="4"/>
  <c r="HU49" i="4" s="1"/>
  <c r="HR52" i="4" s="1"/>
  <c r="HW45" i="4"/>
  <c r="HV48" i="4" s="1"/>
  <c r="HY51" i="4" s="1"/>
  <c r="IB54" i="4" s="1"/>
  <c r="IE57" i="4" s="1"/>
  <c r="HW44" i="4"/>
  <c r="HV47" i="4" s="1"/>
  <c r="HY50" i="4" s="1"/>
  <c r="IB53" i="4" s="1"/>
  <c r="IE56" i="4" s="1"/>
  <c r="HX36" i="4"/>
  <c r="HX35" i="4"/>
  <c r="HX37" i="4"/>
  <c r="HX38" i="4"/>
  <c r="HX40" i="4"/>
  <c r="HX39" i="4"/>
  <c r="HX34" i="4"/>
  <c r="HX33" i="4"/>
  <c r="HX32" i="4"/>
  <c r="HX31" i="4"/>
  <c r="HX30" i="4"/>
  <c r="HX29" i="4"/>
  <c r="HX28" i="4"/>
  <c r="HX27" i="4"/>
  <c r="HX26" i="4"/>
  <c r="HX25" i="4"/>
  <c r="HX24" i="4"/>
  <c r="HX23" i="4"/>
  <c r="HX22" i="4"/>
  <c r="HX21" i="4"/>
  <c r="HX20" i="4"/>
  <c r="HX19" i="4"/>
  <c r="HX18" i="4"/>
  <c r="HX17" i="4"/>
  <c r="HX16" i="4"/>
  <c r="HX15" i="4"/>
  <c r="HX14" i="4"/>
  <c r="HX13" i="4"/>
  <c r="HX12" i="4"/>
  <c r="HX9" i="4"/>
  <c r="HX4" i="4"/>
  <c r="HX7" i="4"/>
  <c r="HX10" i="4"/>
  <c r="HX11" i="4"/>
  <c r="HX5" i="4"/>
  <c r="HX8" i="4"/>
  <c r="HX2" i="4"/>
  <c r="HX3" i="4"/>
  <c r="HX6" i="4"/>
  <c r="HY1" i="4"/>
  <c r="HS52" i="4" l="1"/>
  <c r="HX44" i="4"/>
  <c r="HW47" i="4" s="1"/>
  <c r="HZ50" i="4" s="1"/>
  <c r="IC53" i="4" s="1"/>
  <c r="IF56" i="4" s="1"/>
  <c r="HX46" i="4"/>
  <c r="HW49" i="4" s="1"/>
  <c r="HT52" i="4" s="1"/>
  <c r="HX45" i="4"/>
  <c r="HW48" i="4" s="1"/>
  <c r="HZ51" i="4" s="1"/>
  <c r="IC54" i="4" s="1"/>
  <c r="IF57" i="4" s="1"/>
  <c r="HY36" i="4"/>
  <c r="HY35" i="4"/>
  <c r="HY37" i="4"/>
  <c r="HY38" i="4"/>
  <c r="HY40" i="4"/>
  <c r="HY39" i="4"/>
  <c r="HY34" i="4"/>
  <c r="HY33" i="4"/>
  <c r="HY32" i="4"/>
  <c r="HY30" i="4"/>
  <c r="HY29" i="4"/>
  <c r="HY28" i="4"/>
  <c r="HY31" i="4"/>
  <c r="HY26" i="4"/>
  <c r="HY25" i="4"/>
  <c r="HY24" i="4"/>
  <c r="HY27" i="4"/>
  <c r="HY23" i="4"/>
  <c r="HY22" i="4"/>
  <c r="HY21" i="4"/>
  <c r="HY20" i="4"/>
  <c r="HY19" i="4"/>
  <c r="HY18" i="4"/>
  <c r="HY17" i="4"/>
  <c r="HY16" i="4"/>
  <c r="HY15" i="4"/>
  <c r="HY14" i="4"/>
  <c r="HY13" i="4"/>
  <c r="HY12" i="4"/>
  <c r="HY11" i="4"/>
  <c r="HY4" i="4"/>
  <c r="HY7" i="4"/>
  <c r="HY10" i="4"/>
  <c r="HY5" i="4"/>
  <c r="HY8" i="4"/>
  <c r="HY2" i="4"/>
  <c r="HY9" i="4"/>
  <c r="HY3" i="4"/>
  <c r="HZ1" i="4"/>
  <c r="HY6" i="4"/>
  <c r="HY44" i="4" l="1"/>
  <c r="HX47" i="4" s="1"/>
  <c r="IA50" i="4" s="1"/>
  <c r="ID53" i="4" s="1"/>
  <c r="IG56" i="4" s="1"/>
  <c r="HY46" i="4"/>
  <c r="HX49" i="4" s="1"/>
  <c r="HU52" i="4" s="1"/>
  <c r="HY45" i="4"/>
  <c r="HX48" i="4" s="1"/>
  <c r="IA51" i="4" s="1"/>
  <c r="ID54" i="4" s="1"/>
  <c r="IG57" i="4" s="1"/>
  <c r="HZ36" i="4"/>
  <c r="HZ35" i="4"/>
  <c r="HZ37" i="4"/>
  <c r="HZ38" i="4"/>
  <c r="HZ39" i="4"/>
  <c r="HZ40" i="4"/>
  <c r="HQ55" i="4"/>
  <c r="HZ34" i="4"/>
  <c r="HZ33" i="4"/>
  <c r="HZ32" i="4"/>
  <c r="HZ31" i="4"/>
  <c r="HZ30" i="4"/>
  <c r="HZ29" i="4"/>
  <c r="HZ28" i="4"/>
  <c r="HZ26" i="4"/>
  <c r="HZ25" i="4"/>
  <c r="HZ24" i="4"/>
  <c r="HZ27" i="4"/>
  <c r="HZ23" i="4"/>
  <c r="HZ22" i="4"/>
  <c r="HZ21" i="4"/>
  <c r="HZ20" i="4"/>
  <c r="HZ19" i="4"/>
  <c r="HZ18" i="4"/>
  <c r="HZ17" i="4"/>
  <c r="HZ16" i="4"/>
  <c r="HZ7" i="4"/>
  <c r="HZ15" i="4"/>
  <c r="HZ10" i="4"/>
  <c r="HZ14" i="4"/>
  <c r="HZ5" i="4"/>
  <c r="HZ13" i="4"/>
  <c r="HZ11" i="4"/>
  <c r="HZ8" i="4"/>
  <c r="HZ12" i="4"/>
  <c r="HZ6" i="4"/>
  <c r="HZ3" i="4"/>
  <c r="HZ9" i="4"/>
  <c r="IA1" i="4"/>
  <c r="HZ4" i="4"/>
  <c r="HZ2" i="4"/>
  <c r="HZ46" i="4" l="1"/>
  <c r="HY49" i="4" s="1"/>
  <c r="HV52" i="4" s="1"/>
  <c r="HS55" i="4" s="1"/>
  <c r="HZ44" i="4"/>
  <c r="HY47" i="4" s="1"/>
  <c r="IB50" i="4" s="1"/>
  <c r="IE53" i="4" s="1"/>
  <c r="IH56" i="4" s="1"/>
  <c r="HZ45" i="4"/>
  <c r="HY48" i="4" s="1"/>
  <c r="IB51" i="4" s="1"/>
  <c r="IE54" i="4" s="1"/>
  <c r="IH57" i="4" s="1"/>
  <c r="IA37" i="4"/>
  <c r="IA36" i="4"/>
  <c r="IA35" i="4"/>
  <c r="IA38" i="4"/>
  <c r="IA39" i="4"/>
  <c r="IA40" i="4"/>
  <c r="IA34" i="4"/>
  <c r="IA33" i="4"/>
  <c r="IA32" i="4"/>
  <c r="IA31" i="4"/>
  <c r="IA30" i="4"/>
  <c r="IA29" i="4"/>
  <c r="IA28" i="4"/>
  <c r="IA26" i="4"/>
  <c r="IA25" i="4"/>
  <c r="IA24" i="4"/>
  <c r="IA27" i="4"/>
  <c r="IA23" i="4"/>
  <c r="IA20" i="4"/>
  <c r="IA45" i="4" s="1"/>
  <c r="IA19" i="4"/>
  <c r="IA18" i="4"/>
  <c r="IA17" i="4"/>
  <c r="IA21" i="4"/>
  <c r="IA22" i="4"/>
  <c r="IA11" i="4"/>
  <c r="IA16" i="4"/>
  <c r="IA15" i="4"/>
  <c r="IA14" i="4"/>
  <c r="IA13" i="4"/>
  <c r="IA12" i="4"/>
  <c r="IA10" i="4"/>
  <c r="IA5" i="4"/>
  <c r="IA8" i="4"/>
  <c r="IA6" i="4"/>
  <c r="IA3" i="4"/>
  <c r="IA9" i="4"/>
  <c r="IB1" i="4"/>
  <c r="IA2" i="4"/>
  <c r="IA7" i="4"/>
  <c r="IA4" i="4"/>
  <c r="HR55" i="4"/>
  <c r="IA44" i="4" l="1"/>
  <c r="HZ47" i="4" s="1"/>
  <c r="IC50" i="4" s="1"/>
  <c r="IF53" i="4" s="1"/>
  <c r="II56" i="4" s="1"/>
  <c r="IA46" i="4"/>
  <c r="HZ49" i="4" s="1"/>
  <c r="HW52" i="4" s="1"/>
  <c r="HT55" i="4" s="1"/>
  <c r="IB37" i="4"/>
  <c r="IB36" i="4"/>
  <c r="IB35" i="4"/>
  <c r="IB38" i="4"/>
  <c r="IB39" i="4"/>
  <c r="IB40" i="4"/>
  <c r="HZ48" i="4"/>
  <c r="IC51" i="4" s="1"/>
  <c r="IF54" i="4" s="1"/>
  <c r="II57" i="4" s="1"/>
  <c r="IB34" i="4"/>
  <c r="IB33" i="4"/>
  <c r="IB32" i="4"/>
  <c r="IB31" i="4"/>
  <c r="IB30" i="4"/>
  <c r="IB29" i="4"/>
  <c r="IB28" i="4"/>
  <c r="IB27" i="4"/>
  <c r="IB23" i="4"/>
  <c r="IB22" i="4"/>
  <c r="IB21" i="4"/>
  <c r="IB20" i="4"/>
  <c r="IB19" i="4"/>
  <c r="IB18" i="4"/>
  <c r="IB17" i="4"/>
  <c r="IB26" i="4"/>
  <c r="IB25" i="4"/>
  <c r="IB24" i="4"/>
  <c r="IB11" i="4"/>
  <c r="IB16" i="4"/>
  <c r="IB15" i="4"/>
  <c r="IB14" i="4"/>
  <c r="IB13" i="4"/>
  <c r="IB12" i="4"/>
  <c r="IB5" i="4"/>
  <c r="IB8" i="4"/>
  <c r="IB6" i="4"/>
  <c r="IB3" i="4"/>
  <c r="IB9" i="4"/>
  <c r="IB4" i="4"/>
  <c r="IB7" i="4"/>
  <c r="IC1" i="4"/>
  <c r="IB10" i="4"/>
  <c r="IB2" i="4"/>
  <c r="IB45" i="4" l="1"/>
  <c r="IB46" i="4"/>
  <c r="IA49" i="4" s="1"/>
  <c r="HX52" i="4" s="1"/>
  <c r="IB44" i="4"/>
  <c r="IA47" i="4" s="1"/>
  <c r="ID50" i="4" s="1"/>
  <c r="IG53" i="4" s="1"/>
  <c r="IJ56" i="4" s="1"/>
  <c r="IC35" i="4"/>
  <c r="IC37" i="4"/>
  <c r="IC36" i="4"/>
  <c r="IC38" i="4"/>
  <c r="IC39" i="4"/>
  <c r="IC40" i="4"/>
  <c r="IA48" i="4"/>
  <c r="ID51" i="4" s="1"/>
  <c r="IG54" i="4" s="1"/>
  <c r="IJ57" i="4" s="1"/>
  <c r="IC34" i="4"/>
  <c r="IC33" i="4"/>
  <c r="IC32" i="4"/>
  <c r="IC31" i="4"/>
  <c r="IC27" i="4"/>
  <c r="IC30" i="4"/>
  <c r="IC29" i="4"/>
  <c r="IC28" i="4"/>
  <c r="IC26" i="4"/>
  <c r="IC25" i="4"/>
  <c r="IC24" i="4"/>
  <c r="IC23" i="4"/>
  <c r="IC22" i="4"/>
  <c r="IC21" i="4"/>
  <c r="IC20" i="4"/>
  <c r="IC11" i="4"/>
  <c r="IC19" i="4"/>
  <c r="IC18" i="4"/>
  <c r="IC17" i="4"/>
  <c r="IC16" i="4"/>
  <c r="IC15" i="4"/>
  <c r="IC14" i="4"/>
  <c r="IC13" i="4"/>
  <c r="IC12" i="4"/>
  <c r="IC8" i="4"/>
  <c r="IC6" i="4"/>
  <c r="IC3" i="4"/>
  <c r="IC9" i="4"/>
  <c r="IC4" i="4"/>
  <c r="IC7" i="4"/>
  <c r="IC10" i="4"/>
  <c r="ID1" i="4"/>
  <c r="IC5" i="4"/>
  <c r="IC2" i="4"/>
  <c r="HQ58" i="4"/>
  <c r="IC46" i="4" l="1"/>
  <c r="IB49" i="4" s="1"/>
  <c r="HY52" i="4" s="1"/>
  <c r="HV55" i="4" s="1"/>
  <c r="IC45" i="4"/>
  <c r="IB48" i="4" s="1"/>
  <c r="IE51" i="4" s="1"/>
  <c r="IH54" i="4" s="1"/>
  <c r="IK57" i="4" s="1"/>
  <c r="IC44" i="4"/>
  <c r="IB47" i="4" s="1"/>
  <c r="IE50" i="4" s="1"/>
  <c r="IH53" i="4" s="1"/>
  <c r="IK56" i="4" s="1"/>
  <c r="ID35" i="4"/>
  <c r="ID37" i="4"/>
  <c r="ID38" i="4"/>
  <c r="ID39" i="4"/>
  <c r="ID36" i="4"/>
  <c r="ID40" i="4"/>
  <c r="HU55" i="4"/>
  <c r="ID34" i="4"/>
  <c r="ID33" i="4"/>
  <c r="ID32" i="4"/>
  <c r="ID31" i="4"/>
  <c r="ID30" i="4"/>
  <c r="ID29" i="4"/>
  <c r="ID28" i="4"/>
  <c r="ID27" i="4"/>
  <c r="ID26" i="4"/>
  <c r="ID25" i="4"/>
  <c r="ID24" i="4"/>
  <c r="ID21" i="4"/>
  <c r="ID23" i="4"/>
  <c r="ID22" i="4"/>
  <c r="ID19" i="4"/>
  <c r="ID18" i="4"/>
  <c r="ID17" i="4"/>
  <c r="ID11" i="4"/>
  <c r="ID16" i="4"/>
  <c r="ID15" i="4"/>
  <c r="ID14" i="4"/>
  <c r="ID13" i="4"/>
  <c r="ID12" i="4"/>
  <c r="ID20" i="4"/>
  <c r="ID6" i="4"/>
  <c r="ID3" i="4"/>
  <c r="ID9" i="4"/>
  <c r="ID4" i="4"/>
  <c r="ID7" i="4"/>
  <c r="ID10" i="4"/>
  <c r="ID5" i="4"/>
  <c r="ID2" i="4"/>
  <c r="IE1" i="4"/>
  <c r="ID8" i="4"/>
  <c r="ID45" i="4" l="1"/>
  <c r="IC48" i="4" s="1"/>
  <c r="IF51" i="4" s="1"/>
  <c r="II54" i="4" s="1"/>
  <c r="IL57" i="4" s="1"/>
  <c r="ID44" i="4"/>
  <c r="IC47" i="4" s="1"/>
  <c r="IF50" i="4" s="1"/>
  <c r="II53" i="4" s="1"/>
  <c r="IL56" i="4" s="1"/>
  <c r="ID46" i="4"/>
  <c r="IC49" i="4" s="1"/>
  <c r="HZ52" i="4" s="1"/>
  <c r="IE35" i="4"/>
  <c r="IE37" i="4"/>
  <c r="IE38" i="4"/>
  <c r="IE36" i="4"/>
  <c r="IE39" i="4"/>
  <c r="IE40" i="4"/>
  <c r="HS58" i="4"/>
  <c r="HR58" i="4"/>
  <c r="IE34" i="4"/>
  <c r="IE33" i="4"/>
  <c r="IE32" i="4"/>
  <c r="IE31" i="4"/>
  <c r="IE30" i="4"/>
  <c r="IE29" i="4"/>
  <c r="IE28" i="4"/>
  <c r="IE27" i="4"/>
  <c r="IE26" i="4"/>
  <c r="IE25" i="4"/>
  <c r="IE24" i="4"/>
  <c r="IE23" i="4"/>
  <c r="IE22" i="4"/>
  <c r="IE21" i="4"/>
  <c r="IE20" i="4"/>
  <c r="IE19" i="4"/>
  <c r="IE18" i="4"/>
  <c r="IE17" i="4"/>
  <c r="IE16" i="4"/>
  <c r="IE15" i="4"/>
  <c r="IE14" i="4"/>
  <c r="IE13" i="4"/>
  <c r="IE12" i="4"/>
  <c r="IE6" i="4"/>
  <c r="IE3" i="4"/>
  <c r="IE9" i="4"/>
  <c r="IE11" i="4"/>
  <c r="IE4" i="4"/>
  <c r="IE7" i="4"/>
  <c r="IE10" i="4"/>
  <c r="IE5" i="4"/>
  <c r="IE8" i="4"/>
  <c r="IE2" i="4"/>
  <c r="IF1" i="4"/>
  <c r="IE46" i="4" l="1"/>
  <c r="ID49" i="4" s="1"/>
  <c r="IA52" i="4" s="1"/>
  <c r="HX55" i="4" s="1"/>
  <c r="IE45" i="4"/>
  <c r="ID48" i="4" s="1"/>
  <c r="IG51" i="4" s="1"/>
  <c r="IJ54" i="4" s="1"/>
  <c r="IM57" i="4" s="1"/>
  <c r="IE44" i="4"/>
  <c r="ID47" i="4" s="1"/>
  <c r="IG50" i="4" s="1"/>
  <c r="IJ53" i="4" s="1"/>
  <c r="IM56" i="4" s="1"/>
  <c r="IF36" i="4"/>
  <c r="IF35" i="4"/>
  <c r="IF37" i="4"/>
  <c r="IF38" i="4"/>
  <c r="IF40" i="4"/>
  <c r="IF39" i="4"/>
  <c r="IF34" i="4"/>
  <c r="IF33" i="4"/>
  <c r="IF32" i="4"/>
  <c r="IF31" i="4"/>
  <c r="IF30" i="4"/>
  <c r="IF29" i="4"/>
  <c r="IF28" i="4"/>
  <c r="IF27" i="4"/>
  <c r="IF26" i="4"/>
  <c r="IF25" i="4"/>
  <c r="IF24" i="4"/>
  <c r="IF23" i="4"/>
  <c r="IF22" i="4"/>
  <c r="IF21" i="4"/>
  <c r="IF20" i="4"/>
  <c r="IF19" i="4"/>
  <c r="IF18" i="4"/>
  <c r="IF17" i="4"/>
  <c r="IF16" i="4"/>
  <c r="IF15" i="4"/>
  <c r="IF14" i="4"/>
  <c r="IF13" i="4"/>
  <c r="IF12" i="4"/>
  <c r="IF9" i="4"/>
  <c r="IF11" i="4"/>
  <c r="IF4" i="4"/>
  <c r="IF7" i="4"/>
  <c r="IF10" i="4"/>
  <c r="IF5" i="4"/>
  <c r="IF8" i="4"/>
  <c r="IF3" i="4"/>
  <c r="IF2" i="4"/>
  <c r="IF6" i="4"/>
  <c r="IG1" i="4"/>
  <c r="HW55" i="4"/>
  <c r="IF44" i="4" l="1"/>
  <c r="IE47" i="4" s="1"/>
  <c r="IH50" i="4" s="1"/>
  <c r="IK53" i="4" s="1"/>
  <c r="IN56" i="4" s="1"/>
  <c r="IF46" i="4"/>
  <c r="IE49" i="4" s="1"/>
  <c r="IB52" i="4" s="1"/>
  <c r="IF45" i="4"/>
  <c r="IE48" i="4" s="1"/>
  <c r="IH51" i="4" s="1"/>
  <c r="IK54" i="4" s="1"/>
  <c r="IN57" i="4" s="1"/>
  <c r="IG36" i="4"/>
  <c r="IG35" i="4"/>
  <c r="IG38" i="4"/>
  <c r="IG37" i="4"/>
  <c r="IG40" i="4"/>
  <c r="IG39" i="4"/>
  <c r="IG34" i="4"/>
  <c r="IG33" i="4"/>
  <c r="IG32" i="4"/>
  <c r="IG31" i="4"/>
  <c r="IG30" i="4"/>
  <c r="IG29" i="4"/>
  <c r="IG28" i="4"/>
  <c r="IG27" i="4"/>
  <c r="IG26" i="4"/>
  <c r="IG25" i="4"/>
  <c r="IG24" i="4"/>
  <c r="IG23" i="4"/>
  <c r="IG22" i="4"/>
  <c r="IG21" i="4"/>
  <c r="IG20" i="4"/>
  <c r="IG19" i="4"/>
  <c r="IG18" i="4"/>
  <c r="IG17" i="4"/>
  <c r="IG16" i="4"/>
  <c r="IG15" i="4"/>
  <c r="IG14" i="4"/>
  <c r="IG13" i="4"/>
  <c r="IG12" i="4"/>
  <c r="IG11" i="4"/>
  <c r="IG4" i="4"/>
  <c r="IG7" i="4"/>
  <c r="IG10" i="4"/>
  <c r="IG5" i="4"/>
  <c r="IG8" i="4"/>
  <c r="IG9" i="4"/>
  <c r="IG2" i="4"/>
  <c r="IG3" i="4"/>
  <c r="IG6" i="4"/>
  <c r="IH1" i="4"/>
  <c r="HT58" i="4"/>
  <c r="HU58" i="4"/>
  <c r="IG44" i="4" l="1"/>
  <c r="IF47" i="4" s="1"/>
  <c r="II50" i="4" s="1"/>
  <c r="IL53" i="4" s="1"/>
  <c r="IO56" i="4" s="1"/>
  <c r="IG46" i="4"/>
  <c r="IF49" i="4" s="1"/>
  <c r="IC52" i="4" s="1"/>
  <c r="HZ55" i="4" s="1"/>
  <c r="IG45" i="4"/>
  <c r="IF48" i="4" s="1"/>
  <c r="II51" i="4" s="1"/>
  <c r="IL54" i="4" s="1"/>
  <c r="IO57" i="4" s="1"/>
  <c r="IH36" i="4"/>
  <c r="IH35" i="4"/>
  <c r="IH38" i="4"/>
  <c r="IH37" i="4"/>
  <c r="IH39" i="4"/>
  <c r="IH40" i="4"/>
  <c r="IH34" i="4"/>
  <c r="IH33" i="4"/>
  <c r="IH32" i="4"/>
  <c r="IH31" i="4"/>
  <c r="IH30" i="4"/>
  <c r="IH29" i="4"/>
  <c r="IH28" i="4"/>
  <c r="IH27" i="4"/>
  <c r="IH26" i="4"/>
  <c r="IH25" i="4"/>
  <c r="IH24" i="4"/>
  <c r="IH23" i="4"/>
  <c r="IH22" i="4"/>
  <c r="IH21" i="4"/>
  <c r="IH20" i="4"/>
  <c r="IH19" i="4"/>
  <c r="IH18" i="4"/>
  <c r="IH17" i="4"/>
  <c r="IH15" i="4"/>
  <c r="IH11" i="4"/>
  <c r="IH7" i="4"/>
  <c r="IH14" i="4"/>
  <c r="IH10" i="4"/>
  <c r="IH13" i="4"/>
  <c r="IH5" i="4"/>
  <c r="IH12" i="4"/>
  <c r="IH8" i="4"/>
  <c r="IH6" i="4"/>
  <c r="IH3" i="4"/>
  <c r="IH9" i="4"/>
  <c r="IH2" i="4"/>
  <c r="IH16" i="4"/>
  <c r="IH4" i="4"/>
  <c r="II1" i="4"/>
  <c r="HY55" i="4"/>
  <c r="IH46" i="4" l="1"/>
  <c r="IG49" i="4" s="1"/>
  <c r="ID52" i="4" s="1"/>
  <c r="IH44" i="4"/>
  <c r="IG47" i="4" s="1"/>
  <c r="IJ50" i="4" s="1"/>
  <c r="IM53" i="4" s="1"/>
  <c r="IP56" i="4" s="1"/>
  <c r="IH45" i="4"/>
  <c r="IG48" i="4" s="1"/>
  <c r="IJ51" i="4" s="1"/>
  <c r="IM54" i="4" s="1"/>
  <c r="IP57" i="4" s="1"/>
  <c r="II37" i="4"/>
  <c r="II36" i="4"/>
  <c r="II38" i="4"/>
  <c r="II35" i="4"/>
  <c r="II39" i="4"/>
  <c r="II40" i="4"/>
  <c r="II34" i="4"/>
  <c r="II33" i="4"/>
  <c r="II32" i="4"/>
  <c r="II31" i="4"/>
  <c r="II30" i="4"/>
  <c r="II29" i="4"/>
  <c r="II28" i="4"/>
  <c r="II26" i="4"/>
  <c r="II25" i="4"/>
  <c r="II24" i="4"/>
  <c r="II23" i="4"/>
  <c r="II21" i="4"/>
  <c r="II19" i="4"/>
  <c r="II18" i="4"/>
  <c r="II17" i="4"/>
  <c r="II22" i="4"/>
  <c r="II27" i="4"/>
  <c r="II20" i="4"/>
  <c r="II11" i="4"/>
  <c r="II16" i="4"/>
  <c r="II15" i="4"/>
  <c r="II14" i="4"/>
  <c r="II13" i="4"/>
  <c r="II12" i="4"/>
  <c r="II10" i="4"/>
  <c r="II5" i="4"/>
  <c r="II8" i="4"/>
  <c r="II6" i="4"/>
  <c r="II3" i="4"/>
  <c r="II9" i="4"/>
  <c r="II4" i="4"/>
  <c r="IJ1" i="4"/>
  <c r="II7" i="4"/>
  <c r="II2" i="4"/>
  <c r="HV58" i="4"/>
  <c r="HW58" i="4"/>
  <c r="II45" i="4" l="1"/>
  <c r="II46" i="4"/>
  <c r="IH49" i="4" s="1"/>
  <c r="IE52" i="4" s="1"/>
  <c r="IB55" i="4" s="1"/>
  <c r="II44" i="4"/>
  <c r="IH47" i="4" s="1"/>
  <c r="IK50" i="4" s="1"/>
  <c r="IN53" i="4" s="1"/>
  <c r="IQ56" i="4" s="1"/>
  <c r="IJ37" i="4"/>
  <c r="IJ36" i="4"/>
  <c r="IJ38" i="4"/>
  <c r="IJ35" i="4"/>
  <c r="IJ39" i="4"/>
  <c r="IJ40" i="4"/>
  <c r="IH48" i="4"/>
  <c r="IK51" i="4" s="1"/>
  <c r="IN54" i="4" s="1"/>
  <c r="IQ57" i="4" s="1"/>
  <c r="IJ34" i="4"/>
  <c r="IJ33" i="4"/>
  <c r="IJ32" i="4"/>
  <c r="IJ31" i="4"/>
  <c r="IJ30" i="4"/>
  <c r="IJ29" i="4"/>
  <c r="IJ28" i="4"/>
  <c r="IJ27" i="4"/>
  <c r="IJ23" i="4"/>
  <c r="IJ22" i="4"/>
  <c r="IJ21" i="4"/>
  <c r="IJ20" i="4"/>
  <c r="IJ26" i="4"/>
  <c r="IJ25" i="4"/>
  <c r="IJ24" i="4"/>
  <c r="IJ19" i="4"/>
  <c r="IJ18" i="4"/>
  <c r="IJ17" i="4"/>
  <c r="IJ11" i="4"/>
  <c r="IJ16" i="4"/>
  <c r="IJ15" i="4"/>
  <c r="IJ14" i="4"/>
  <c r="IJ13" i="4"/>
  <c r="IJ12" i="4"/>
  <c r="IJ5" i="4"/>
  <c r="IJ8" i="4"/>
  <c r="IJ6" i="4"/>
  <c r="IJ3" i="4"/>
  <c r="IJ9" i="4"/>
  <c r="IJ4" i="4"/>
  <c r="IJ7" i="4"/>
  <c r="IK1" i="4"/>
  <c r="IJ10" i="4"/>
  <c r="IJ2" i="4"/>
  <c r="IA55" i="4"/>
  <c r="IJ46" i="4" l="1"/>
  <c r="II49" i="4" s="1"/>
  <c r="IF52" i="4" s="1"/>
  <c r="IJ44" i="4"/>
  <c r="II47" i="4" s="1"/>
  <c r="IL50" i="4" s="1"/>
  <c r="IO53" i="4" s="1"/>
  <c r="IR56" i="4" s="1"/>
  <c r="IJ45" i="4"/>
  <c r="II48" i="4" s="1"/>
  <c r="IL51" i="4" s="1"/>
  <c r="IO54" i="4" s="1"/>
  <c r="IR57" i="4" s="1"/>
  <c r="IK35" i="4"/>
  <c r="IK37" i="4"/>
  <c r="IK36" i="4"/>
  <c r="IK39" i="4"/>
  <c r="IK38" i="4"/>
  <c r="IK40" i="4"/>
  <c r="HX58" i="4"/>
  <c r="HY58" i="4"/>
  <c r="IK34" i="4"/>
  <c r="IK33" i="4"/>
  <c r="IK32" i="4"/>
  <c r="IK31" i="4"/>
  <c r="IK30" i="4"/>
  <c r="IK29" i="4"/>
  <c r="IK28" i="4"/>
  <c r="IK27" i="4"/>
  <c r="IK26" i="4"/>
  <c r="IK25" i="4"/>
  <c r="IK24" i="4"/>
  <c r="IK23" i="4"/>
  <c r="IK22" i="4"/>
  <c r="IK21" i="4"/>
  <c r="IK20" i="4"/>
  <c r="IK11" i="4"/>
  <c r="IK19" i="4"/>
  <c r="IK18" i="4"/>
  <c r="IK17" i="4"/>
  <c r="IK16" i="4"/>
  <c r="IK15" i="4"/>
  <c r="IK14" i="4"/>
  <c r="IK13" i="4"/>
  <c r="IK12" i="4"/>
  <c r="IK8" i="4"/>
  <c r="IK6" i="4"/>
  <c r="IK3" i="4"/>
  <c r="IK9" i="4"/>
  <c r="IK4" i="4"/>
  <c r="IK7" i="4"/>
  <c r="IK10" i="4"/>
  <c r="IL1" i="4"/>
  <c r="IK5" i="4"/>
  <c r="IK2" i="4"/>
  <c r="IK46" i="4" l="1"/>
  <c r="IJ49" i="4" s="1"/>
  <c r="IG52" i="4" s="1"/>
  <c r="ID55" i="4" s="1"/>
  <c r="IK45" i="4"/>
  <c r="IJ48" i="4" s="1"/>
  <c r="IM51" i="4" s="1"/>
  <c r="IP54" i="4" s="1"/>
  <c r="IS57" i="4" s="1"/>
  <c r="IK44" i="4"/>
  <c r="IJ47" i="4" s="1"/>
  <c r="IM50" i="4" s="1"/>
  <c r="IP53" i="4" s="1"/>
  <c r="IS56" i="4" s="1"/>
  <c r="IL35" i="4"/>
  <c r="IL37" i="4"/>
  <c r="IL36" i="4"/>
  <c r="IL39" i="4"/>
  <c r="IL38" i="4"/>
  <c r="IL40" i="4"/>
  <c r="IL34" i="4"/>
  <c r="IL33" i="4"/>
  <c r="IL32" i="4"/>
  <c r="IL31" i="4"/>
  <c r="IL30" i="4"/>
  <c r="IL29" i="4"/>
  <c r="IL28" i="4"/>
  <c r="IL27" i="4"/>
  <c r="IL26" i="4"/>
  <c r="IL25" i="4"/>
  <c r="IL24" i="4"/>
  <c r="IL23" i="4"/>
  <c r="IL22" i="4"/>
  <c r="IL20" i="4"/>
  <c r="IL19" i="4"/>
  <c r="IL18" i="4"/>
  <c r="IL17" i="4"/>
  <c r="IL21" i="4"/>
  <c r="IL11" i="4"/>
  <c r="IL16" i="4"/>
  <c r="IL15" i="4"/>
  <c r="IL14" i="4"/>
  <c r="IL13" i="4"/>
  <c r="IL12" i="4"/>
  <c r="IL6" i="4"/>
  <c r="IL3" i="4"/>
  <c r="IL9" i="4"/>
  <c r="IL4" i="4"/>
  <c r="IL7" i="4"/>
  <c r="IL10" i="4"/>
  <c r="IM1" i="4"/>
  <c r="IL2" i="4"/>
  <c r="IL8" i="4"/>
  <c r="IL5" i="4"/>
  <c r="IC55" i="4"/>
  <c r="IL44" i="4" l="1"/>
  <c r="IK47" i="4" s="1"/>
  <c r="IN50" i="4" s="1"/>
  <c r="IQ53" i="4" s="1"/>
  <c r="IT56" i="4" s="1"/>
  <c r="IL46" i="4"/>
  <c r="IK49" i="4" s="1"/>
  <c r="IH52" i="4" s="1"/>
  <c r="IE55" i="4" s="1"/>
  <c r="IL45" i="4"/>
  <c r="IK48" i="4" s="1"/>
  <c r="IN51" i="4" s="1"/>
  <c r="IQ54" i="4" s="1"/>
  <c r="IT57" i="4" s="1"/>
  <c r="IM35" i="4"/>
  <c r="IM37" i="4"/>
  <c r="IM36" i="4"/>
  <c r="IM38" i="4"/>
  <c r="IM40" i="4"/>
  <c r="IM39" i="4"/>
  <c r="IM34" i="4"/>
  <c r="IM33" i="4"/>
  <c r="IM32" i="4"/>
  <c r="IM31" i="4"/>
  <c r="IM30" i="4"/>
  <c r="IM29" i="4"/>
  <c r="IM28" i="4"/>
  <c r="IM27" i="4"/>
  <c r="IM26" i="4"/>
  <c r="IM25" i="4"/>
  <c r="IM24" i="4"/>
  <c r="IM23" i="4"/>
  <c r="IM22" i="4"/>
  <c r="IM21" i="4"/>
  <c r="IM20" i="4"/>
  <c r="IM19" i="4"/>
  <c r="IM18" i="4"/>
  <c r="IM17" i="4"/>
  <c r="IM16" i="4"/>
  <c r="IM15" i="4"/>
  <c r="IM14" i="4"/>
  <c r="IM13" i="4"/>
  <c r="IM12" i="4"/>
  <c r="IM6" i="4"/>
  <c r="IM3" i="4"/>
  <c r="IM9" i="4"/>
  <c r="IM4" i="4"/>
  <c r="IM7" i="4"/>
  <c r="IM10" i="4"/>
  <c r="IM5" i="4"/>
  <c r="IM8" i="4"/>
  <c r="IM11" i="4"/>
  <c r="IM2" i="4"/>
  <c r="IN1" i="4"/>
  <c r="IA58" i="4"/>
  <c r="HZ58" i="4"/>
  <c r="IM44" i="4" l="1"/>
  <c r="IL47" i="4" s="1"/>
  <c r="IO50" i="4" s="1"/>
  <c r="IR53" i="4" s="1"/>
  <c r="IU56" i="4" s="1"/>
  <c r="IM45" i="4"/>
  <c r="IL48" i="4" s="1"/>
  <c r="IO51" i="4" s="1"/>
  <c r="IR54" i="4" s="1"/>
  <c r="IU57" i="4" s="1"/>
  <c r="IM46" i="4"/>
  <c r="IL49" i="4" s="1"/>
  <c r="II52" i="4" s="1"/>
  <c r="IN36" i="4"/>
  <c r="IN35" i="4"/>
  <c r="IN37" i="4"/>
  <c r="IN38" i="4"/>
  <c r="IN40" i="4"/>
  <c r="IN39" i="4"/>
  <c r="IN34" i="4"/>
  <c r="IN33" i="4"/>
  <c r="IN32" i="4"/>
  <c r="IN31" i="4"/>
  <c r="IN30" i="4"/>
  <c r="IN29" i="4"/>
  <c r="IN28" i="4"/>
  <c r="IN27" i="4"/>
  <c r="IN26" i="4"/>
  <c r="IN25" i="4"/>
  <c r="IN24" i="4"/>
  <c r="IN23" i="4"/>
  <c r="IN22" i="4"/>
  <c r="IN21" i="4"/>
  <c r="IN20" i="4"/>
  <c r="IN19" i="4"/>
  <c r="IN18" i="4"/>
  <c r="IN17" i="4"/>
  <c r="IN16" i="4"/>
  <c r="IN15" i="4"/>
  <c r="IN14" i="4"/>
  <c r="IN13" i="4"/>
  <c r="IN12" i="4"/>
  <c r="IN9" i="4"/>
  <c r="IN4" i="4"/>
  <c r="IN7" i="4"/>
  <c r="IN10" i="4"/>
  <c r="IN5" i="4"/>
  <c r="IN8" i="4"/>
  <c r="IN11" i="4"/>
  <c r="IN2" i="4"/>
  <c r="IN6" i="4"/>
  <c r="IO1" i="4"/>
  <c r="IN3" i="4"/>
  <c r="IB58" i="4"/>
  <c r="IN44" i="4" l="1"/>
  <c r="IM47" i="4" s="1"/>
  <c r="IP50" i="4" s="1"/>
  <c r="IS53" i="4" s="1"/>
  <c r="IV56" i="4" s="1"/>
  <c r="IN46" i="4"/>
  <c r="IM49" i="4" s="1"/>
  <c r="IJ52" i="4" s="1"/>
  <c r="IG55" i="4" s="1"/>
  <c r="IN45" i="4"/>
  <c r="IM48" i="4" s="1"/>
  <c r="IP51" i="4" s="1"/>
  <c r="IS54" i="4" s="1"/>
  <c r="IV57" i="4" s="1"/>
  <c r="IO36" i="4"/>
  <c r="IO35" i="4"/>
  <c r="IO38" i="4"/>
  <c r="IO37" i="4"/>
  <c r="IO40" i="4"/>
  <c r="IO39" i="4"/>
  <c r="IO33" i="4"/>
  <c r="IO32" i="4"/>
  <c r="IO31" i="4"/>
  <c r="IO30" i="4"/>
  <c r="IO29" i="4"/>
  <c r="IO28" i="4"/>
  <c r="IO27" i="4"/>
  <c r="IO34" i="4"/>
  <c r="IO26" i="4"/>
  <c r="IO25" i="4"/>
  <c r="IO24" i="4"/>
  <c r="IO23" i="4"/>
  <c r="IO22" i="4"/>
  <c r="IO21" i="4"/>
  <c r="IO20" i="4"/>
  <c r="IO19" i="4"/>
  <c r="IO18" i="4"/>
  <c r="IO17" i="4"/>
  <c r="IO16" i="4"/>
  <c r="IO15" i="4"/>
  <c r="IO14" i="4"/>
  <c r="IO13" i="4"/>
  <c r="IO12" i="4"/>
  <c r="IO11" i="4"/>
  <c r="IO4" i="4"/>
  <c r="IO7" i="4"/>
  <c r="IO10" i="4"/>
  <c r="IO5" i="4"/>
  <c r="IO8" i="4"/>
  <c r="IO2" i="4"/>
  <c r="IO6" i="4"/>
  <c r="IP1" i="4"/>
  <c r="IO9" i="4"/>
  <c r="IO3" i="4"/>
  <c r="IF55" i="4"/>
  <c r="IO44" i="4" l="1"/>
  <c r="IN47" i="4" s="1"/>
  <c r="IQ50" i="4" s="1"/>
  <c r="IT53" i="4" s="1"/>
  <c r="IW56" i="4" s="1"/>
  <c r="IO46" i="4"/>
  <c r="IN49" i="4" s="1"/>
  <c r="IK52" i="4" s="1"/>
  <c r="IO45" i="4"/>
  <c r="IN48" i="4" s="1"/>
  <c r="IQ51" i="4" s="1"/>
  <c r="IT54" i="4" s="1"/>
  <c r="IW57" i="4" s="1"/>
  <c r="IP36" i="4"/>
  <c r="IP35" i="4"/>
  <c r="IP38" i="4"/>
  <c r="IP37" i="4"/>
  <c r="IP39" i="4"/>
  <c r="IP40" i="4"/>
  <c r="ID58" i="4"/>
  <c r="IC58" i="4"/>
  <c r="IP34" i="4"/>
  <c r="IP33" i="4"/>
  <c r="IP32" i="4"/>
  <c r="IP31" i="4"/>
  <c r="IP30" i="4"/>
  <c r="IP29" i="4"/>
  <c r="IP28" i="4"/>
  <c r="IP26" i="4"/>
  <c r="IP25" i="4"/>
  <c r="IP24" i="4"/>
  <c r="IP27" i="4"/>
  <c r="IP23" i="4"/>
  <c r="IP22" i="4"/>
  <c r="IP21" i="4"/>
  <c r="IP20" i="4"/>
  <c r="IP19" i="4"/>
  <c r="IP18" i="4"/>
  <c r="IP17" i="4"/>
  <c r="IP14" i="4"/>
  <c r="IP7" i="4"/>
  <c r="IP13" i="4"/>
  <c r="IP10" i="4"/>
  <c r="IP12" i="4"/>
  <c r="IP5" i="4"/>
  <c r="IP8" i="4"/>
  <c r="IP11" i="4"/>
  <c r="IP6" i="4"/>
  <c r="IP3" i="4"/>
  <c r="IP16" i="4"/>
  <c r="IP9" i="4"/>
  <c r="IP4" i="4"/>
  <c r="IP15" i="4"/>
  <c r="IQ1" i="4"/>
  <c r="IP2" i="4"/>
  <c r="IP46" i="4" l="1"/>
  <c r="IO49" i="4" s="1"/>
  <c r="IL52" i="4" s="1"/>
  <c r="II55" i="4" s="1"/>
  <c r="IP45" i="4"/>
  <c r="IO48" i="4" s="1"/>
  <c r="IR51" i="4" s="1"/>
  <c r="IU54" i="4" s="1"/>
  <c r="IX57" i="4" s="1"/>
  <c r="IP44" i="4"/>
  <c r="IO47" i="4" s="1"/>
  <c r="IQ37" i="4"/>
  <c r="IQ36" i="4"/>
  <c r="IQ38" i="4"/>
  <c r="IQ39" i="4"/>
  <c r="IQ35" i="4"/>
  <c r="IQ40" i="4"/>
  <c r="IQ34" i="4"/>
  <c r="IQ33" i="4"/>
  <c r="IQ32" i="4"/>
  <c r="IQ31" i="4"/>
  <c r="IQ30" i="4"/>
  <c r="IQ29" i="4"/>
  <c r="IQ28" i="4"/>
  <c r="IQ26" i="4"/>
  <c r="IQ25" i="4"/>
  <c r="IQ24" i="4"/>
  <c r="IQ27" i="4"/>
  <c r="IQ23" i="4"/>
  <c r="IQ22" i="4"/>
  <c r="IQ19" i="4"/>
  <c r="IQ18" i="4"/>
  <c r="IQ17" i="4"/>
  <c r="IQ20" i="4"/>
  <c r="IQ21" i="4"/>
  <c r="IQ11" i="4"/>
  <c r="IQ16" i="4"/>
  <c r="IQ15" i="4"/>
  <c r="IQ14" i="4"/>
  <c r="IQ13" i="4"/>
  <c r="IQ12" i="4"/>
  <c r="IQ10" i="4"/>
  <c r="IQ5" i="4"/>
  <c r="IQ8" i="4"/>
  <c r="IQ6" i="4"/>
  <c r="IQ3" i="4"/>
  <c r="IQ9" i="4"/>
  <c r="IQ4" i="4"/>
  <c r="IR1" i="4"/>
  <c r="IQ2" i="4"/>
  <c r="IQ7" i="4"/>
  <c r="IH55" i="4"/>
  <c r="IQ45" i="4" l="1"/>
  <c r="IP48" i="4" s="1"/>
  <c r="IS51" i="4" s="1"/>
  <c r="IV54" i="4" s="1"/>
  <c r="IY57" i="4" s="1"/>
  <c r="IQ44" i="4"/>
  <c r="IP47" i="4" s="1"/>
  <c r="IQ46" i="4"/>
  <c r="IP49" i="4" s="1"/>
  <c r="IM52" i="4" s="1"/>
  <c r="IJ55" i="4" s="1"/>
  <c r="IG58" i="4" s="1"/>
  <c r="IR37" i="4"/>
  <c r="IR36" i="4"/>
  <c r="IR38" i="4"/>
  <c r="IR39" i="4"/>
  <c r="IR35" i="4"/>
  <c r="IR40" i="4"/>
  <c r="IF58" i="4"/>
  <c r="IE58" i="4"/>
  <c r="IR34" i="4"/>
  <c r="IR33" i="4"/>
  <c r="IR32" i="4"/>
  <c r="IR31" i="4"/>
  <c r="IR30" i="4"/>
  <c r="IR29" i="4"/>
  <c r="IR28" i="4"/>
  <c r="IR27" i="4"/>
  <c r="IR23" i="4"/>
  <c r="IR22" i="4"/>
  <c r="IR21" i="4"/>
  <c r="IR20" i="4"/>
  <c r="IR26" i="4"/>
  <c r="IR25" i="4"/>
  <c r="IR24" i="4"/>
  <c r="IR19" i="4"/>
  <c r="IR18" i="4"/>
  <c r="IR17" i="4"/>
  <c r="IR11" i="4"/>
  <c r="IR16" i="4"/>
  <c r="IR15" i="4"/>
  <c r="IR14" i="4"/>
  <c r="IR13" i="4"/>
  <c r="IR12" i="4"/>
  <c r="IR5" i="4"/>
  <c r="IR8" i="4"/>
  <c r="IR6" i="4"/>
  <c r="IR3" i="4"/>
  <c r="IR9" i="4"/>
  <c r="IR4" i="4"/>
  <c r="IR7" i="4"/>
  <c r="IR10" i="4"/>
  <c r="IS1" i="4"/>
  <c r="IR2" i="4"/>
  <c r="IR46" i="4" l="1"/>
  <c r="IQ49" i="4" s="1"/>
  <c r="IN52" i="4" s="1"/>
  <c r="IR44" i="4"/>
  <c r="IQ47" i="4" s="1"/>
  <c r="IR45" i="4"/>
  <c r="IQ48" i="4" s="1"/>
  <c r="IT51" i="4" s="1"/>
  <c r="IW54" i="4" s="1"/>
  <c r="IZ57" i="4" s="1"/>
  <c r="IS35" i="4"/>
  <c r="IS37" i="4"/>
  <c r="IS36" i="4"/>
  <c r="IS39" i="4"/>
  <c r="IS38" i="4"/>
  <c r="IS40" i="4"/>
  <c r="IS34" i="4"/>
  <c r="IS33" i="4"/>
  <c r="IS32" i="4"/>
  <c r="IS31" i="4"/>
  <c r="IS27" i="4"/>
  <c r="IS30" i="4"/>
  <c r="IS29" i="4"/>
  <c r="IS28" i="4"/>
  <c r="IS26" i="4"/>
  <c r="IS25" i="4"/>
  <c r="IS24" i="4"/>
  <c r="IS23" i="4"/>
  <c r="IS22" i="4"/>
  <c r="IS21" i="4"/>
  <c r="IS20" i="4"/>
  <c r="IS11" i="4"/>
  <c r="IS19" i="4"/>
  <c r="IS18" i="4"/>
  <c r="IS17" i="4"/>
  <c r="IS16" i="4"/>
  <c r="IS15" i="4"/>
  <c r="IS14" i="4"/>
  <c r="IS13" i="4"/>
  <c r="IS12" i="4"/>
  <c r="IS8" i="4"/>
  <c r="IS6" i="4"/>
  <c r="IS3" i="4"/>
  <c r="IS9" i="4"/>
  <c r="IS4" i="4"/>
  <c r="IS7" i="4"/>
  <c r="IS10" i="4"/>
  <c r="IT1" i="4"/>
  <c r="IS2" i="4"/>
  <c r="IS5" i="4"/>
  <c r="IS44" i="4" l="1"/>
  <c r="IR47" i="4" s="1"/>
  <c r="IS45" i="4"/>
  <c r="IR48" i="4" s="1"/>
  <c r="IU51" i="4" s="1"/>
  <c r="IX54" i="4" s="1"/>
  <c r="JA57" i="4" s="1"/>
  <c r="IS46" i="4"/>
  <c r="IR49" i="4" s="1"/>
  <c r="IO52" i="4" s="1"/>
  <c r="IL55" i="4" s="1"/>
  <c r="IT35" i="4"/>
  <c r="IT37" i="4"/>
  <c r="IT36" i="4"/>
  <c r="IT38" i="4"/>
  <c r="IT39" i="4"/>
  <c r="IT40" i="4"/>
  <c r="IK55" i="4"/>
  <c r="IT34" i="4"/>
  <c r="IT33" i="4"/>
  <c r="IT32" i="4"/>
  <c r="IT31" i="4"/>
  <c r="IT30" i="4"/>
  <c r="IT29" i="4"/>
  <c r="IT28" i="4"/>
  <c r="IT27" i="4"/>
  <c r="IT26" i="4"/>
  <c r="IT25" i="4"/>
  <c r="IT24" i="4"/>
  <c r="IT23" i="4"/>
  <c r="IT20" i="4"/>
  <c r="IT21" i="4"/>
  <c r="IT19" i="4"/>
  <c r="IT18" i="4"/>
  <c r="IT17" i="4"/>
  <c r="IT11" i="4"/>
  <c r="IT22" i="4"/>
  <c r="IT16" i="4"/>
  <c r="IT15" i="4"/>
  <c r="IT14" i="4"/>
  <c r="IT13" i="4"/>
  <c r="IT12" i="4"/>
  <c r="IT6" i="4"/>
  <c r="IT3" i="4"/>
  <c r="IT9" i="4"/>
  <c r="IT4" i="4"/>
  <c r="IT7" i="4"/>
  <c r="IT10" i="4"/>
  <c r="IU1" i="4"/>
  <c r="IT2" i="4"/>
  <c r="IT8" i="4"/>
  <c r="IT5" i="4"/>
  <c r="IT46" i="4" l="1"/>
  <c r="IS49" i="4" s="1"/>
  <c r="IP52" i="4" s="1"/>
  <c r="IT44" i="4"/>
  <c r="IS47" i="4" s="1"/>
  <c r="IT45" i="4"/>
  <c r="IS48" i="4" s="1"/>
  <c r="IV51" i="4" s="1"/>
  <c r="IY54" i="4" s="1"/>
  <c r="JB57" i="4" s="1"/>
  <c r="IU35" i="4"/>
  <c r="IU37" i="4"/>
  <c r="IU36" i="4"/>
  <c r="IU38" i="4"/>
  <c r="IU40" i="4"/>
  <c r="IU39" i="4"/>
  <c r="II58" i="4"/>
  <c r="IH58" i="4"/>
  <c r="IU34" i="4"/>
  <c r="IU33" i="4"/>
  <c r="IU32" i="4"/>
  <c r="IU31" i="4"/>
  <c r="IU30" i="4"/>
  <c r="IU29" i="4"/>
  <c r="IU28" i="4"/>
  <c r="IU27" i="4"/>
  <c r="IU26" i="4"/>
  <c r="IU25" i="4"/>
  <c r="IU24" i="4"/>
  <c r="IU23" i="4"/>
  <c r="IU22" i="4"/>
  <c r="IU21" i="4"/>
  <c r="IU20" i="4"/>
  <c r="IU19" i="4"/>
  <c r="IU18" i="4"/>
  <c r="IU17" i="4"/>
  <c r="IU16" i="4"/>
  <c r="IU15" i="4"/>
  <c r="IU14" i="4"/>
  <c r="IU13" i="4"/>
  <c r="IU12" i="4"/>
  <c r="IU6" i="4"/>
  <c r="IU3" i="4"/>
  <c r="IU9" i="4"/>
  <c r="IU4" i="4"/>
  <c r="IU7" i="4"/>
  <c r="IU11" i="4"/>
  <c r="IU10" i="4"/>
  <c r="IU5" i="4"/>
  <c r="IU8" i="4"/>
  <c r="IV1" i="4"/>
  <c r="IU2" i="4"/>
  <c r="IU46" i="4" l="1"/>
  <c r="IT49" i="4" s="1"/>
  <c r="IQ52" i="4" s="1"/>
  <c r="IN55" i="4" s="1"/>
  <c r="IU44" i="4"/>
  <c r="IT47" i="4" s="1"/>
  <c r="IU45" i="4"/>
  <c r="IT48" i="4" s="1"/>
  <c r="IW51" i="4" s="1"/>
  <c r="IZ54" i="4" s="1"/>
  <c r="JC57" i="4" s="1"/>
  <c r="IV36" i="4"/>
  <c r="IV35" i="4"/>
  <c r="IV37" i="4"/>
  <c r="IV38" i="4"/>
  <c r="IV40" i="4"/>
  <c r="IV39" i="4"/>
  <c r="IV34" i="4"/>
  <c r="IV33" i="4"/>
  <c r="IV32" i="4"/>
  <c r="IV31" i="4"/>
  <c r="IV30" i="4"/>
  <c r="IV29" i="4"/>
  <c r="IV28" i="4"/>
  <c r="IV27" i="4"/>
  <c r="IV26" i="4"/>
  <c r="IV25" i="4"/>
  <c r="IV24" i="4"/>
  <c r="IV23" i="4"/>
  <c r="IV22" i="4"/>
  <c r="IV21" i="4"/>
  <c r="IV20" i="4"/>
  <c r="IV19" i="4"/>
  <c r="IV18" i="4"/>
  <c r="IV17" i="4"/>
  <c r="IV16" i="4"/>
  <c r="IV15" i="4"/>
  <c r="IV14" i="4"/>
  <c r="IV13" i="4"/>
  <c r="IV12" i="4"/>
  <c r="IV9" i="4"/>
  <c r="IV4" i="4"/>
  <c r="IV7" i="4"/>
  <c r="IV11" i="4"/>
  <c r="IV10" i="4"/>
  <c r="IV5" i="4"/>
  <c r="IV8" i="4"/>
  <c r="IV6" i="4"/>
  <c r="IV2" i="4"/>
  <c r="IV3" i="4"/>
  <c r="IW1" i="4"/>
  <c r="IM55" i="4"/>
  <c r="IV44" i="4" l="1"/>
  <c r="IU47" i="4" s="1"/>
  <c r="IR50" i="4" s="1"/>
  <c r="IV46" i="4"/>
  <c r="IU49" i="4" s="1"/>
  <c r="IR52" i="4" s="1"/>
  <c r="IO55" i="4" s="1"/>
  <c r="IL58" i="4" s="1"/>
  <c r="IV45" i="4"/>
  <c r="IU48" i="4" s="1"/>
  <c r="IX51" i="4" s="1"/>
  <c r="JA54" i="4" s="1"/>
  <c r="JD57" i="4" s="1"/>
  <c r="IW36" i="4"/>
  <c r="IW35" i="4"/>
  <c r="IW38" i="4"/>
  <c r="IW37" i="4"/>
  <c r="IW40" i="4"/>
  <c r="IW39" i="4"/>
  <c r="IJ58" i="4"/>
  <c r="IK58" i="4"/>
  <c r="IW32" i="4"/>
  <c r="IW31" i="4"/>
  <c r="IW30" i="4"/>
  <c r="IW29" i="4"/>
  <c r="IW28" i="4"/>
  <c r="IW27" i="4"/>
  <c r="IW34" i="4"/>
  <c r="IW33" i="4"/>
  <c r="IW26" i="4"/>
  <c r="IW25" i="4"/>
  <c r="IW24" i="4"/>
  <c r="IW23" i="4"/>
  <c r="IW22" i="4"/>
  <c r="IW21" i="4"/>
  <c r="IW20" i="4"/>
  <c r="IW19" i="4"/>
  <c r="IW18" i="4"/>
  <c r="IW17" i="4"/>
  <c r="IW16" i="4"/>
  <c r="IW15" i="4"/>
  <c r="IW14" i="4"/>
  <c r="IW13" i="4"/>
  <c r="IW12" i="4"/>
  <c r="IW11" i="4"/>
  <c r="IW4" i="4"/>
  <c r="IW7" i="4"/>
  <c r="IW10" i="4"/>
  <c r="IW5" i="4"/>
  <c r="IW8" i="4"/>
  <c r="IW6" i="4"/>
  <c r="IW2" i="4"/>
  <c r="IW3" i="4"/>
  <c r="IX1" i="4"/>
  <c r="IW9" i="4"/>
  <c r="IW46" i="4" l="1"/>
  <c r="IV49" i="4" s="1"/>
  <c r="IS52" i="4" s="1"/>
  <c r="IW44" i="4"/>
  <c r="IV47" i="4" s="1"/>
  <c r="IW45" i="4"/>
  <c r="IV48" i="4" s="1"/>
  <c r="IY51" i="4" s="1"/>
  <c r="JB54" i="4" s="1"/>
  <c r="JE57" i="4" s="1"/>
  <c r="IX36" i="4"/>
  <c r="IX35" i="4"/>
  <c r="IX38" i="4"/>
  <c r="IX37" i="4"/>
  <c r="IX39" i="4"/>
  <c r="IX40" i="4"/>
  <c r="IX34" i="4"/>
  <c r="IX33" i="4"/>
  <c r="IX32" i="4"/>
  <c r="IX31" i="4"/>
  <c r="IX30" i="4"/>
  <c r="IX29" i="4"/>
  <c r="IX28" i="4"/>
  <c r="IX27" i="4"/>
  <c r="IX26" i="4"/>
  <c r="IX25" i="4"/>
  <c r="IX24" i="4"/>
  <c r="IX23" i="4"/>
  <c r="IX22" i="4"/>
  <c r="IX21" i="4"/>
  <c r="IX20" i="4"/>
  <c r="IX19" i="4"/>
  <c r="IX18" i="4"/>
  <c r="IX17" i="4"/>
  <c r="IX16" i="4"/>
  <c r="IX13" i="4"/>
  <c r="IX7" i="4"/>
  <c r="IX12" i="4"/>
  <c r="IX10" i="4"/>
  <c r="IX11" i="4"/>
  <c r="IX5" i="4"/>
  <c r="IX8" i="4"/>
  <c r="IX6" i="4"/>
  <c r="IX3" i="4"/>
  <c r="IX15" i="4"/>
  <c r="IX9" i="4"/>
  <c r="IX14" i="4"/>
  <c r="IY1" i="4"/>
  <c r="IX2" i="4"/>
  <c r="IX4" i="4"/>
  <c r="IX46" i="4" l="1"/>
  <c r="IW49" i="4" s="1"/>
  <c r="IT52" i="4" s="1"/>
  <c r="IQ55" i="4" s="1"/>
  <c r="IX44" i="4"/>
  <c r="IW47" i="4" s="1"/>
  <c r="IX45" i="4"/>
  <c r="IW48" i="4" s="1"/>
  <c r="IZ51" i="4" s="1"/>
  <c r="JC54" i="4" s="1"/>
  <c r="JF57" i="4" s="1"/>
  <c r="IY37" i="4"/>
  <c r="IY36" i="4"/>
  <c r="IY35" i="4"/>
  <c r="IY38" i="4"/>
  <c r="IY39" i="4"/>
  <c r="IY40" i="4"/>
  <c r="IS50" i="4"/>
  <c r="IY34" i="4"/>
  <c r="IY33" i="4"/>
  <c r="IY32" i="4"/>
  <c r="IY31" i="4"/>
  <c r="IY30" i="4"/>
  <c r="IY29" i="4"/>
  <c r="IY28" i="4"/>
  <c r="IY26" i="4"/>
  <c r="IY25" i="4"/>
  <c r="IY24" i="4"/>
  <c r="IY23" i="4"/>
  <c r="IY27" i="4"/>
  <c r="IY19" i="4"/>
  <c r="IY18" i="4"/>
  <c r="IY17" i="4"/>
  <c r="IY20" i="4"/>
  <c r="IY21" i="4"/>
  <c r="IY22" i="4"/>
  <c r="IY11" i="4"/>
  <c r="IY15" i="4"/>
  <c r="IY14" i="4"/>
  <c r="IY13" i="4"/>
  <c r="IY12" i="4"/>
  <c r="IY10" i="4"/>
  <c r="IY5" i="4"/>
  <c r="IY8" i="4"/>
  <c r="IY6" i="4"/>
  <c r="IY3" i="4"/>
  <c r="IY16" i="4"/>
  <c r="IY9" i="4"/>
  <c r="IZ1" i="4"/>
  <c r="IY7" i="4"/>
  <c r="IY2" i="4"/>
  <c r="IY4" i="4"/>
  <c r="IP55" i="4"/>
  <c r="IY44" i="4" l="1"/>
  <c r="IX47" i="4" s="1"/>
  <c r="IU50" i="4" s="1"/>
  <c r="IY46" i="4"/>
  <c r="IX49" i="4" s="1"/>
  <c r="IU52" i="4" s="1"/>
  <c r="IY45" i="4"/>
  <c r="IX48" i="4" s="1"/>
  <c r="JA51" i="4" s="1"/>
  <c r="JD54" i="4" s="1"/>
  <c r="JG57" i="4" s="1"/>
  <c r="IZ37" i="4"/>
  <c r="IZ36" i="4"/>
  <c r="IZ35" i="4"/>
  <c r="IZ38" i="4"/>
  <c r="IZ39" i="4"/>
  <c r="IZ40" i="4"/>
  <c r="IT50" i="4"/>
  <c r="IM58" i="4"/>
  <c r="IN58" i="4"/>
  <c r="IZ34" i="4"/>
  <c r="IZ33" i="4"/>
  <c r="IZ32" i="4"/>
  <c r="IZ31" i="4"/>
  <c r="IZ30" i="4"/>
  <c r="IZ29" i="4"/>
  <c r="IZ28" i="4"/>
  <c r="IZ27" i="4"/>
  <c r="IZ23" i="4"/>
  <c r="IZ22" i="4"/>
  <c r="IZ21" i="4"/>
  <c r="IZ20" i="4"/>
  <c r="IZ26" i="4"/>
  <c r="IZ25" i="4"/>
  <c r="IZ24" i="4"/>
  <c r="IZ19" i="4"/>
  <c r="IZ18" i="4"/>
  <c r="IZ17" i="4"/>
  <c r="IZ11" i="4"/>
  <c r="IZ15" i="4"/>
  <c r="IZ14" i="4"/>
  <c r="IZ13" i="4"/>
  <c r="IZ12" i="4"/>
  <c r="IZ16" i="4"/>
  <c r="IZ5" i="4"/>
  <c r="IZ8" i="4"/>
  <c r="IZ6" i="4"/>
  <c r="IZ3" i="4"/>
  <c r="IZ9" i="4"/>
  <c r="IZ4" i="4"/>
  <c r="IZ7" i="4"/>
  <c r="IZ10" i="4"/>
  <c r="JA1" i="4"/>
  <c r="IZ2" i="4"/>
  <c r="IZ44" i="4" l="1"/>
  <c r="IY47" i="4" s="1"/>
  <c r="IZ46" i="4"/>
  <c r="IY49" i="4" s="1"/>
  <c r="IV52" i="4" s="1"/>
  <c r="IS55" i="4" s="1"/>
  <c r="IZ45" i="4"/>
  <c r="IY48" i="4" s="1"/>
  <c r="JB51" i="4" s="1"/>
  <c r="JE54" i="4" s="1"/>
  <c r="JH57" i="4" s="1"/>
  <c r="JA35" i="4"/>
  <c r="JA37" i="4"/>
  <c r="JA36" i="4"/>
  <c r="JA38" i="4"/>
  <c r="JA39" i="4"/>
  <c r="JA40" i="4"/>
  <c r="IR55" i="4"/>
  <c r="JA34" i="4"/>
  <c r="JA33" i="4"/>
  <c r="JA32" i="4"/>
  <c r="JA31" i="4"/>
  <c r="JA30" i="4"/>
  <c r="JA29" i="4"/>
  <c r="JA28" i="4"/>
  <c r="JA27" i="4"/>
  <c r="JA26" i="4"/>
  <c r="JA25" i="4"/>
  <c r="JA24" i="4"/>
  <c r="JA23" i="4"/>
  <c r="JA22" i="4"/>
  <c r="JA21" i="4"/>
  <c r="JA20" i="4"/>
  <c r="JA19" i="4"/>
  <c r="JA18" i="4"/>
  <c r="JA17" i="4"/>
  <c r="JA11" i="4"/>
  <c r="JA15" i="4"/>
  <c r="JA14" i="4"/>
  <c r="JA13" i="4"/>
  <c r="JA12" i="4"/>
  <c r="JA16" i="4"/>
  <c r="JA8" i="4"/>
  <c r="JA6" i="4"/>
  <c r="JA3" i="4"/>
  <c r="JA9" i="4"/>
  <c r="JA4" i="4"/>
  <c r="JA7" i="4"/>
  <c r="JA10" i="4"/>
  <c r="JB1" i="4"/>
  <c r="JA5" i="4"/>
  <c r="JA2" i="4"/>
  <c r="JA46" i="4" l="1"/>
  <c r="JA45" i="4"/>
  <c r="IZ48" i="4" s="1"/>
  <c r="JC51" i="4" s="1"/>
  <c r="JF54" i="4" s="1"/>
  <c r="JI57" i="4" s="1"/>
  <c r="JA44" i="4"/>
  <c r="IZ47" i="4" s="1"/>
  <c r="IW50" i="4" s="1"/>
  <c r="JB35" i="4"/>
  <c r="JB37" i="4"/>
  <c r="JB36" i="4"/>
  <c r="JB38" i="4"/>
  <c r="JB39" i="4"/>
  <c r="JB40" i="4"/>
  <c r="IV50" i="4"/>
  <c r="IZ49" i="4"/>
  <c r="IW52" i="4" s="1"/>
  <c r="JB34" i="4"/>
  <c r="JB33" i="4"/>
  <c r="JB32" i="4"/>
  <c r="JB31" i="4"/>
  <c r="JB30" i="4"/>
  <c r="JB29" i="4"/>
  <c r="JB28" i="4"/>
  <c r="JB27" i="4"/>
  <c r="JB26" i="4"/>
  <c r="JB25" i="4"/>
  <c r="JB24" i="4"/>
  <c r="JB20" i="4"/>
  <c r="JB21" i="4"/>
  <c r="JB22" i="4"/>
  <c r="JB19" i="4"/>
  <c r="JB18" i="4"/>
  <c r="JB17" i="4"/>
  <c r="JB11" i="4"/>
  <c r="JB23" i="4"/>
  <c r="JB15" i="4"/>
  <c r="JB14" i="4"/>
  <c r="JB13" i="4"/>
  <c r="JB12" i="4"/>
  <c r="JB16" i="4"/>
  <c r="JB6" i="4"/>
  <c r="JB3" i="4"/>
  <c r="JB9" i="4"/>
  <c r="JB4" i="4"/>
  <c r="JB7" i="4"/>
  <c r="JB10" i="4"/>
  <c r="JB5" i="4"/>
  <c r="JB8" i="4"/>
  <c r="JB2" i="4"/>
  <c r="JC1" i="4"/>
  <c r="IP58" i="4"/>
  <c r="IO58" i="4"/>
  <c r="JB46" i="4" l="1"/>
  <c r="JA49" i="4" s="1"/>
  <c r="IX52" i="4" s="1"/>
  <c r="IU55" i="4" s="1"/>
  <c r="JB45" i="4"/>
  <c r="JB44" i="4"/>
  <c r="JA47" i="4" s="1"/>
  <c r="JC35" i="4"/>
  <c r="JC37" i="4"/>
  <c r="JC36" i="4"/>
  <c r="JC39" i="4"/>
  <c r="JC38" i="4"/>
  <c r="JC40" i="4"/>
  <c r="JA48" i="4"/>
  <c r="JD51" i="4" s="1"/>
  <c r="JG54" i="4" s="1"/>
  <c r="JJ57" i="4" s="1"/>
  <c r="IT55" i="4"/>
  <c r="JC34" i="4"/>
  <c r="JC33" i="4"/>
  <c r="JC32" i="4"/>
  <c r="JC31" i="4"/>
  <c r="JC30" i="4"/>
  <c r="JC29" i="4"/>
  <c r="JC28" i="4"/>
  <c r="JC27" i="4"/>
  <c r="JC26" i="4"/>
  <c r="JC25" i="4"/>
  <c r="JC24" i="4"/>
  <c r="JC23" i="4"/>
  <c r="JC22" i="4"/>
  <c r="JC21" i="4"/>
  <c r="JC20" i="4"/>
  <c r="JC19" i="4"/>
  <c r="JC18" i="4"/>
  <c r="JC17" i="4"/>
  <c r="JC15" i="4"/>
  <c r="JC14" i="4"/>
  <c r="JC13" i="4"/>
  <c r="JC12" i="4"/>
  <c r="JC16" i="4"/>
  <c r="JC6" i="4"/>
  <c r="JC3" i="4"/>
  <c r="JC11" i="4"/>
  <c r="JC9" i="4"/>
  <c r="JC4" i="4"/>
  <c r="JC7" i="4"/>
  <c r="JC10" i="4"/>
  <c r="JC5" i="4"/>
  <c r="JC8" i="4"/>
  <c r="JC2" i="4"/>
  <c r="JD1" i="4"/>
  <c r="IX50" i="4"/>
  <c r="JC44" i="4" l="1"/>
  <c r="JC46" i="4"/>
  <c r="JB49" i="4" s="1"/>
  <c r="IY52" i="4" s="1"/>
  <c r="JC45" i="4"/>
  <c r="JB48" i="4" s="1"/>
  <c r="JE51" i="4" s="1"/>
  <c r="JH54" i="4" s="1"/>
  <c r="JK57" i="4" s="1"/>
  <c r="JD36" i="4"/>
  <c r="JD35" i="4"/>
  <c r="JD37" i="4"/>
  <c r="JD38" i="4"/>
  <c r="JD40" i="4"/>
  <c r="JD39" i="4"/>
  <c r="IU53" i="4"/>
  <c r="JB47" i="4"/>
  <c r="IY50" i="4" s="1"/>
  <c r="IR58" i="4"/>
  <c r="IQ58" i="4"/>
  <c r="JD34" i="4"/>
  <c r="JD33" i="4"/>
  <c r="JD32" i="4"/>
  <c r="JD31" i="4"/>
  <c r="JD30" i="4"/>
  <c r="JD29" i="4"/>
  <c r="JD28" i="4"/>
  <c r="JD27" i="4"/>
  <c r="JD26" i="4"/>
  <c r="JD25" i="4"/>
  <c r="JD24" i="4"/>
  <c r="JD23" i="4"/>
  <c r="JD22" i="4"/>
  <c r="JD21" i="4"/>
  <c r="JD20" i="4"/>
  <c r="JD19" i="4"/>
  <c r="JD18" i="4"/>
  <c r="JD17" i="4"/>
  <c r="JD15" i="4"/>
  <c r="JD14" i="4"/>
  <c r="JD13" i="4"/>
  <c r="JD12" i="4"/>
  <c r="JD16" i="4"/>
  <c r="JD11" i="4"/>
  <c r="JD9" i="4"/>
  <c r="JD4" i="4"/>
  <c r="JD7" i="4"/>
  <c r="JD10" i="4"/>
  <c r="JD5" i="4"/>
  <c r="JD8" i="4"/>
  <c r="JD2" i="4"/>
  <c r="JD6" i="4"/>
  <c r="JD3" i="4"/>
  <c r="JE1" i="4"/>
  <c r="JD44" i="4" l="1"/>
  <c r="JC47" i="4" s="1"/>
  <c r="IZ50" i="4" s="1"/>
  <c r="JD46" i="4"/>
  <c r="JC49" i="4" s="1"/>
  <c r="IZ52" i="4" s="1"/>
  <c r="JD45" i="4"/>
  <c r="JC48" i="4" s="1"/>
  <c r="JF51" i="4" s="1"/>
  <c r="JI54" i="4" s="1"/>
  <c r="JL57" i="4" s="1"/>
  <c r="JE36" i="4"/>
  <c r="JE35" i="4"/>
  <c r="JE37" i="4"/>
  <c r="JE38" i="4"/>
  <c r="JE40" i="4"/>
  <c r="JE39" i="4"/>
  <c r="IV53" i="4"/>
  <c r="IV55" i="4"/>
  <c r="JE31" i="4"/>
  <c r="JE30" i="4"/>
  <c r="JE29" i="4"/>
  <c r="JE28" i="4"/>
  <c r="JE27" i="4"/>
  <c r="JE34" i="4"/>
  <c r="JE33" i="4"/>
  <c r="JE32" i="4"/>
  <c r="JE26" i="4"/>
  <c r="JE25" i="4"/>
  <c r="JE24" i="4"/>
  <c r="JE23" i="4"/>
  <c r="JE22" i="4"/>
  <c r="JE21" i="4"/>
  <c r="JE20" i="4"/>
  <c r="JE19" i="4"/>
  <c r="JE18" i="4"/>
  <c r="JE17" i="4"/>
  <c r="JE16" i="4"/>
  <c r="JE15" i="4"/>
  <c r="JE14" i="4"/>
  <c r="JE13" i="4"/>
  <c r="JE12" i="4"/>
  <c r="JE11" i="4"/>
  <c r="JE4" i="4"/>
  <c r="JE7" i="4"/>
  <c r="JE10" i="4"/>
  <c r="JE5" i="4"/>
  <c r="JE8" i="4"/>
  <c r="JE2" i="4"/>
  <c r="JE3" i="4"/>
  <c r="JF1" i="4"/>
  <c r="JE9" i="4"/>
  <c r="JE6" i="4"/>
  <c r="JE44" i="4" l="1"/>
  <c r="JD47" i="4" s="1"/>
  <c r="JA50" i="4" s="1"/>
  <c r="IX53" i="4" s="1"/>
  <c r="JE45" i="4"/>
  <c r="JD48" i="4" s="1"/>
  <c r="JG51" i="4" s="1"/>
  <c r="JJ54" i="4" s="1"/>
  <c r="JM57" i="4" s="1"/>
  <c r="JE46" i="4"/>
  <c r="JD49" i="4" s="1"/>
  <c r="JA52" i="4" s="1"/>
  <c r="JF36" i="4"/>
  <c r="JF35" i="4"/>
  <c r="JF37" i="4"/>
  <c r="JF38" i="4"/>
  <c r="JF39" i="4"/>
  <c r="JF40" i="4"/>
  <c r="IW53" i="4"/>
  <c r="IW55" i="4"/>
  <c r="JF34" i="4"/>
  <c r="JF33" i="4"/>
  <c r="JF32" i="4"/>
  <c r="JF31" i="4"/>
  <c r="JF30" i="4"/>
  <c r="JF29" i="4"/>
  <c r="JF28" i="4"/>
  <c r="JF26" i="4"/>
  <c r="JF25" i="4"/>
  <c r="JF24" i="4"/>
  <c r="JF27" i="4"/>
  <c r="JF23" i="4"/>
  <c r="JF22" i="4"/>
  <c r="JF21" i="4"/>
  <c r="JF20" i="4"/>
  <c r="JF19" i="4"/>
  <c r="JF18" i="4"/>
  <c r="JF17" i="4"/>
  <c r="JF16" i="4"/>
  <c r="JF12" i="4"/>
  <c r="JF7" i="4"/>
  <c r="JF10" i="4"/>
  <c r="JF5" i="4"/>
  <c r="JF8" i="4"/>
  <c r="JF15" i="4"/>
  <c r="JF6" i="4"/>
  <c r="JF3" i="4"/>
  <c r="JF14" i="4"/>
  <c r="JF9" i="4"/>
  <c r="JF2" i="4"/>
  <c r="JF13" i="4"/>
  <c r="JG1" i="4"/>
  <c r="JF4" i="4"/>
  <c r="JF11" i="4"/>
  <c r="IS58" i="4"/>
  <c r="JF46" i="4" l="1"/>
  <c r="JE49" i="4" s="1"/>
  <c r="JB52" i="4" s="1"/>
  <c r="JF45" i="4"/>
  <c r="JE48" i="4" s="1"/>
  <c r="JH51" i="4" s="1"/>
  <c r="JK54" i="4" s="1"/>
  <c r="JN57" i="4" s="1"/>
  <c r="JF44" i="4"/>
  <c r="JE47" i="4" s="1"/>
  <c r="JB50" i="4" s="1"/>
  <c r="IY53" i="4" s="1"/>
  <c r="JG37" i="4"/>
  <c r="JG36" i="4"/>
  <c r="JG35" i="4"/>
  <c r="JG38" i="4"/>
  <c r="JG39" i="4"/>
  <c r="JG40" i="4"/>
  <c r="IT58" i="4"/>
  <c r="IX55" i="4"/>
  <c r="IU58" i="4" s="1"/>
  <c r="JG34" i="4"/>
  <c r="JG33" i="4"/>
  <c r="JG32" i="4"/>
  <c r="JG31" i="4"/>
  <c r="JG30" i="4"/>
  <c r="JG29" i="4"/>
  <c r="JG28" i="4"/>
  <c r="JG26" i="4"/>
  <c r="JG25" i="4"/>
  <c r="JG24" i="4"/>
  <c r="JG27" i="4"/>
  <c r="JG23" i="4"/>
  <c r="JG20" i="4"/>
  <c r="JG19" i="4"/>
  <c r="JG18" i="4"/>
  <c r="JG17" i="4"/>
  <c r="JG16" i="4"/>
  <c r="JG21" i="4"/>
  <c r="JG22" i="4"/>
  <c r="JG11" i="4"/>
  <c r="JG15" i="4"/>
  <c r="JG14" i="4"/>
  <c r="JG13" i="4"/>
  <c r="JG12" i="4"/>
  <c r="JG10" i="4"/>
  <c r="JG5" i="4"/>
  <c r="JG8" i="4"/>
  <c r="JG6" i="4"/>
  <c r="JG3" i="4"/>
  <c r="JG9" i="4"/>
  <c r="JG7" i="4"/>
  <c r="JH1" i="4"/>
  <c r="JG2" i="4"/>
  <c r="JG4" i="4"/>
  <c r="JG46" i="4" l="1"/>
  <c r="JF49" i="4" s="1"/>
  <c r="JC52" i="4" s="1"/>
  <c r="IZ55" i="4" s="1"/>
  <c r="JG44" i="4"/>
  <c r="JF47" i="4" s="1"/>
  <c r="JC50" i="4" s="1"/>
  <c r="IZ53" i="4" s="1"/>
  <c r="JG45" i="4"/>
  <c r="JF48" i="4" s="1"/>
  <c r="JI51" i="4" s="1"/>
  <c r="JL54" i="4" s="1"/>
  <c r="JO57" i="4" s="1"/>
  <c r="JH37" i="4"/>
  <c r="JH36" i="4"/>
  <c r="JH35" i="4"/>
  <c r="JH38" i="4"/>
  <c r="JH39" i="4"/>
  <c r="JH40" i="4"/>
  <c r="JH34" i="4"/>
  <c r="JH33" i="4"/>
  <c r="JH32" i="4"/>
  <c r="JH31" i="4"/>
  <c r="JH30" i="4"/>
  <c r="JH29" i="4"/>
  <c r="JH28" i="4"/>
  <c r="JH27" i="4"/>
  <c r="JH23" i="4"/>
  <c r="JH22" i="4"/>
  <c r="JH21" i="4"/>
  <c r="JH20" i="4"/>
  <c r="JH26" i="4"/>
  <c r="JH25" i="4"/>
  <c r="JH24" i="4"/>
  <c r="JH19" i="4"/>
  <c r="JH18" i="4"/>
  <c r="JH17" i="4"/>
  <c r="JH16" i="4"/>
  <c r="JH11" i="4"/>
  <c r="JH15" i="4"/>
  <c r="JH14" i="4"/>
  <c r="JH13" i="4"/>
  <c r="JH12" i="4"/>
  <c r="JH5" i="4"/>
  <c r="JH8" i="4"/>
  <c r="JH6" i="4"/>
  <c r="JH3" i="4"/>
  <c r="JH9" i="4"/>
  <c r="JH4" i="4"/>
  <c r="JH7" i="4"/>
  <c r="JI1" i="4"/>
  <c r="JH2" i="4"/>
  <c r="JH10" i="4"/>
  <c r="IY55" i="4"/>
  <c r="JH45" i="4" l="1"/>
  <c r="JG48" i="4" s="1"/>
  <c r="JJ51" i="4" s="1"/>
  <c r="JM54" i="4" s="1"/>
  <c r="JP57" i="4" s="1"/>
  <c r="JH46" i="4"/>
  <c r="JG49" i="4" s="1"/>
  <c r="JD52" i="4" s="1"/>
  <c r="JH44" i="4"/>
  <c r="JG47" i="4" s="1"/>
  <c r="JD50" i="4" s="1"/>
  <c r="JA53" i="4" s="1"/>
  <c r="JI35" i="4"/>
  <c r="JI37" i="4"/>
  <c r="JI36" i="4"/>
  <c r="JI39" i="4"/>
  <c r="JI40" i="4"/>
  <c r="JI38" i="4"/>
  <c r="IV58" i="4"/>
  <c r="JI34" i="4"/>
  <c r="JI33" i="4"/>
  <c r="JI32" i="4"/>
  <c r="JI31" i="4"/>
  <c r="JI30" i="4"/>
  <c r="JI29" i="4"/>
  <c r="JI28" i="4"/>
  <c r="JI27" i="4"/>
  <c r="JI26" i="4"/>
  <c r="JI25" i="4"/>
  <c r="JI24" i="4"/>
  <c r="JI23" i="4"/>
  <c r="JI22" i="4"/>
  <c r="JI21" i="4"/>
  <c r="JI20" i="4"/>
  <c r="JI19" i="4"/>
  <c r="JI18" i="4"/>
  <c r="JI17" i="4"/>
  <c r="JI16" i="4"/>
  <c r="JI11" i="4"/>
  <c r="JI15" i="4"/>
  <c r="JI14" i="4"/>
  <c r="JI13" i="4"/>
  <c r="JI12" i="4"/>
  <c r="JI8" i="4"/>
  <c r="JI6" i="4"/>
  <c r="JI3" i="4"/>
  <c r="JI9" i="4"/>
  <c r="JI4" i="4"/>
  <c r="JI7" i="4"/>
  <c r="JI10" i="4"/>
  <c r="JJ1" i="4"/>
  <c r="JI5" i="4"/>
  <c r="JI2" i="4"/>
  <c r="IW58" i="4"/>
  <c r="JI46" i="4" l="1"/>
  <c r="JH49" i="4" s="1"/>
  <c r="JE52" i="4" s="1"/>
  <c r="JB55" i="4" s="1"/>
  <c r="JI44" i="4"/>
  <c r="JH47" i="4" s="1"/>
  <c r="JE50" i="4" s="1"/>
  <c r="JI45" i="4"/>
  <c r="JH48" i="4" s="1"/>
  <c r="JK51" i="4" s="1"/>
  <c r="JN54" i="4" s="1"/>
  <c r="JQ57" i="4" s="1"/>
  <c r="JJ35" i="4"/>
  <c r="JJ37" i="4"/>
  <c r="JJ39" i="4"/>
  <c r="JJ38" i="4"/>
  <c r="JJ36" i="4"/>
  <c r="JJ40" i="4"/>
  <c r="IX56" i="4"/>
  <c r="JA55" i="4"/>
  <c r="JJ34" i="4"/>
  <c r="JJ33" i="4"/>
  <c r="JJ32" i="4"/>
  <c r="JJ31" i="4"/>
  <c r="JJ30" i="4"/>
  <c r="JJ29" i="4"/>
  <c r="JJ28" i="4"/>
  <c r="JJ27" i="4"/>
  <c r="JJ26" i="4"/>
  <c r="JJ25" i="4"/>
  <c r="JJ24" i="4"/>
  <c r="JJ21" i="4"/>
  <c r="JJ22" i="4"/>
  <c r="JJ23" i="4"/>
  <c r="JJ19" i="4"/>
  <c r="JJ18" i="4"/>
  <c r="JJ17" i="4"/>
  <c r="JJ16" i="4"/>
  <c r="JJ11" i="4"/>
  <c r="JJ20" i="4"/>
  <c r="JJ15" i="4"/>
  <c r="JJ14" i="4"/>
  <c r="JJ13" i="4"/>
  <c r="JJ12" i="4"/>
  <c r="JJ6" i="4"/>
  <c r="JJ3" i="4"/>
  <c r="JJ9" i="4"/>
  <c r="JJ4" i="4"/>
  <c r="JJ7" i="4"/>
  <c r="JJ10" i="4"/>
  <c r="JJ5" i="4"/>
  <c r="JJ8" i="4"/>
  <c r="JJ2" i="4"/>
  <c r="JK1" i="4"/>
  <c r="JJ46" i="4" l="1"/>
  <c r="JI49" i="4" s="1"/>
  <c r="JF52" i="4" s="1"/>
  <c r="JC55" i="4" s="1"/>
  <c r="IZ58" i="4" s="1"/>
  <c r="JJ45" i="4"/>
  <c r="JI48" i="4" s="1"/>
  <c r="JL51" i="4" s="1"/>
  <c r="JO54" i="4" s="1"/>
  <c r="JR57" i="4" s="1"/>
  <c r="JJ44" i="4"/>
  <c r="JI47" i="4" s="1"/>
  <c r="JF50" i="4" s="1"/>
  <c r="JK35" i="4"/>
  <c r="JK37" i="4"/>
  <c r="JK36" i="4"/>
  <c r="JK40" i="4"/>
  <c r="JK38" i="4"/>
  <c r="JK39" i="4"/>
  <c r="JB53" i="4"/>
  <c r="IY58" i="4"/>
  <c r="IX58" i="4"/>
  <c r="JK34" i="4"/>
  <c r="JK33" i="4"/>
  <c r="JK32" i="4"/>
  <c r="JK31" i="4"/>
  <c r="JK30" i="4"/>
  <c r="JK29" i="4"/>
  <c r="JK28" i="4"/>
  <c r="JK27" i="4"/>
  <c r="JK26" i="4"/>
  <c r="JK25" i="4"/>
  <c r="JK24" i="4"/>
  <c r="JK23" i="4"/>
  <c r="JK22" i="4"/>
  <c r="JK21" i="4"/>
  <c r="JK20" i="4"/>
  <c r="JK19" i="4"/>
  <c r="JK18" i="4"/>
  <c r="JK17" i="4"/>
  <c r="JK16" i="4"/>
  <c r="JK15" i="4"/>
  <c r="JK14" i="4"/>
  <c r="JK13" i="4"/>
  <c r="JK12" i="4"/>
  <c r="JK6" i="4"/>
  <c r="JK3" i="4"/>
  <c r="JK9" i="4"/>
  <c r="JK4" i="4"/>
  <c r="JK7" i="4"/>
  <c r="JK10" i="4"/>
  <c r="JK5" i="4"/>
  <c r="JK11" i="4"/>
  <c r="JK8" i="4"/>
  <c r="JK2" i="4"/>
  <c r="JL1" i="4"/>
  <c r="JK46" i="4" l="1"/>
  <c r="JJ49" i="4" s="1"/>
  <c r="JG52" i="4" s="1"/>
  <c r="JK45" i="4"/>
  <c r="JJ48" i="4" s="1"/>
  <c r="JM51" i="4" s="1"/>
  <c r="JP54" i="4" s="1"/>
  <c r="JS57" i="4" s="1"/>
  <c r="JK44" i="4"/>
  <c r="JJ47" i="4" s="1"/>
  <c r="JG50" i="4" s="1"/>
  <c r="JL36" i="4"/>
  <c r="JL35" i="4"/>
  <c r="JL37" i="4"/>
  <c r="JL38" i="4"/>
  <c r="JL39" i="4"/>
  <c r="JL40" i="4"/>
  <c r="IY56" i="4"/>
  <c r="JL34" i="4"/>
  <c r="JL33" i="4"/>
  <c r="JL32" i="4"/>
  <c r="JL31" i="4"/>
  <c r="JL30" i="4"/>
  <c r="JL29" i="4"/>
  <c r="JL28" i="4"/>
  <c r="JL27" i="4"/>
  <c r="JL26" i="4"/>
  <c r="JL25" i="4"/>
  <c r="JL24" i="4"/>
  <c r="JL23" i="4"/>
  <c r="JL22" i="4"/>
  <c r="JL21" i="4"/>
  <c r="JL20" i="4"/>
  <c r="JL19" i="4"/>
  <c r="JL18" i="4"/>
  <c r="JL17" i="4"/>
  <c r="JL16" i="4"/>
  <c r="JL15" i="4"/>
  <c r="JL14" i="4"/>
  <c r="JL13" i="4"/>
  <c r="JL12" i="4"/>
  <c r="JL9" i="4"/>
  <c r="JL4" i="4"/>
  <c r="JL7" i="4"/>
  <c r="JL10" i="4"/>
  <c r="JL5" i="4"/>
  <c r="JL11" i="4"/>
  <c r="JL8" i="4"/>
  <c r="JL3" i="4"/>
  <c r="JL2" i="4"/>
  <c r="JL6" i="4"/>
  <c r="JM1" i="4"/>
  <c r="JC53" i="4"/>
  <c r="JL44" i="4" l="1"/>
  <c r="JK47" i="4" s="1"/>
  <c r="JH50" i="4" s="1"/>
  <c r="JL46" i="4"/>
  <c r="JK49" i="4" s="1"/>
  <c r="JH52" i="4" s="1"/>
  <c r="JE55" i="4" s="1"/>
  <c r="JL45" i="4"/>
  <c r="JK48" i="4" s="1"/>
  <c r="JN51" i="4" s="1"/>
  <c r="JQ54" i="4" s="1"/>
  <c r="JT57" i="4" s="1"/>
  <c r="JM36" i="4"/>
  <c r="JM35" i="4"/>
  <c r="JM38" i="4"/>
  <c r="JM37" i="4"/>
  <c r="JM40" i="4"/>
  <c r="JM39" i="4"/>
  <c r="IZ56" i="4"/>
  <c r="JD55" i="4"/>
  <c r="JD53" i="4"/>
  <c r="JA56" i="4" s="1"/>
  <c r="JM30" i="4"/>
  <c r="JM29" i="4"/>
  <c r="JM28" i="4"/>
  <c r="JM27" i="4"/>
  <c r="JM34" i="4"/>
  <c r="JM33" i="4"/>
  <c r="JM32" i="4"/>
  <c r="JM26" i="4"/>
  <c r="JM25" i="4"/>
  <c r="JM24" i="4"/>
  <c r="JM23" i="4"/>
  <c r="JM22" i="4"/>
  <c r="JM21" i="4"/>
  <c r="JM20" i="4"/>
  <c r="JM19" i="4"/>
  <c r="JM18" i="4"/>
  <c r="JM17" i="4"/>
  <c r="JM16" i="4"/>
  <c r="JM31" i="4"/>
  <c r="JM15" i="4"/>
  <c r="JM14" i="4"/>
  <c r="JM13" i="4"/>
  <c r="JM12" i="4"/>
  <c r="JM11" i="4"/>
  <c r="JM4" i="4"/>
  <c r="JM7" i="4"/>
  <c r="JM44" i="4" s="1"/>
  <c r="JM10" i="4"/>
  <c r="JM5" i="4"/>
  <c r="JM8" i="4"/>
  <c r="JM2" i="4"/>
  <c r="JM3" i="4"/>
  <c r="JM9" i="4"/>
  <c r="JM6" i="4"/>
  <c r="JN1" i="4"/>
  <c r="JM46" i="4" l="1"/>
  <c r="JL49" i="4" s="1"/>
  <c r="JI52" i="4" s="1"/>
  <c r="JF55" i="4" s="1"/>
  <c r="JC58" i="4" s="1"/>
  <c r="JM45" i="4"/>
  <c r="JL48" i="4" s="1"/>
  <c r="JO51" i="4" s="1"/>
  <c r="JR54" i="4" s="1"/>
  <c r="JU57" i="4" s="1"/>
  <c r="JN36" i="4"/>
  <c r="JN35" i="4"/>
  <c r="JN38" i="4"/>
  <c r="JN37" i="4"/>
  <c r="JN40" i="4"/>
  <c r="JN39" i="4"/>
  <c r="JL47" i="4"/>
  <c r="JI50" i="4" s="1"/>
  <c r="JA58" i="4"/>
  <c r="JB58" i="4"/>
  <c r="JE53" i="4"/>
  <c r="JB56" i="4" s="1"/>
  <c r="JN34" i="4"/>
  <c r="JN33" i="4"/>
  <c r="JN32" i="4"/>
  <c r="JN31" i="4"/>
  <c r="JN30" i="4"/>
  <c r="JN29" i="4"/>
  <c r="JN28" i="4"/>
  <c r="JN27" i="4"/>
  <c r="JN26" i="4"/>
  <c r="JN25" i="4"/>
  <c r="JN24" i="4"/>
  <c r="JN23" i="4"/>
  <c r="JN22" i="4"/>
  <c r="JN21" i="4"/>
  <c r="JN20" i="4"/>
  <c r="JN19" i="4"/>
  <c r="JN18" i="4"/>
  <c r="JN17" i="4"/>
  <c r="JN16" i="4"/>
  <c r="JN7" i="4"/>
  <c r="JN10" i="4"/>
  <c r="JN5" i="4"/>
  <c r="JN8" i="4"/>
  <c r="JN15" i="4"/>
  <c r="JN11" i="4"/>
  <c r="JN14" i="4"/>
  <c r="JN6" i="4"/>
  <c r="JN3" i="4"/>
  <c r="JN13" i="4"/>
  <c r="JN9" i="4"/>
  <c r="JN12" i="4"/>
  <c r="JN2" i="4"/>
  <c r="JN4" i="4"/>
  <c r="JO1" i="4"/>
  <c r="JN46" i="4" l="1"/>
  <c r="JM49" i="4" s="1"/>
  <c r="JJ52" i="4" s="1"/>
  <c r="JN45" i="4"/>
  <c r="JM48" i="4" s="1"/>
  <c r="JN44" i="4"/>
  <c r="JM47" i="4" s="1"/>
  <c r="JJ50" i="4" s="1"/>
  <c r="JO37" i="4"/>
  <c r="JO36" i="4"/>
  <c r="JO38" i="4"/>
  <c r="JO35" i="4"/>
  <c r="JO39" i="4"/>
  <c r="JO40" i="4"/>
  <c r="JF53" i="4"/>
  <c r="JC56" i="4" s="1"/>
  <c r="JO34" i="4"/>
  <c r="JO33" i="4"/>
  <c r="JO32" i="4"/>
  <c r="JO31" i="4"/>
  <c r="JO30" i="4"/>
  <c r="JO29" i="4"/>
  <c r="JO28" i="4"/>
  <c r="JO26" i="4"/>
  <c r="JO25" i="4"/>
  <c r="JO24" i="4"/>
  <c r="JO23" i="4"/>
  <c r="JO27" i="4"/>
  <c r="JO21" i="4"/>
  <c r="JO19" i="4"/>
  <c r="JO18" i="4"/>
  <c r="JO17" i="4"/>
  <c r="JO16" i="4"/>
  <c r="JO22" i="4"/>
  <c r="JO20" i="4"/>
  <c r="JO11" i="4"/>
  <c r="JO15" i="4"/>
  <c r="JO14" i="4"/>
  <c r="JO13" i="4"/>
  <c r="JO12" i="4"/>
  <c r="JO10" i="4"/>
  <c r="JO5" i="4"/>
  <c r="JO8" i="4"/>
  <c r="JO6" i="4"/>
  <c r="JO3" i="4"/>
  <c r="JO9" i="4"/>
  <c r="JP1" i="4"/>
  <c r="JO4" i="4"/>
  <c r="JO2" i="4"/>
  <c r="JO7" i="4"/>
  <c r="JO46" i="4" l="1"/>
  <c r="JO44" i="4"/>
  <c r="JN47" i="4" s="1"/>
  <c r="JK50" i="4" s="1"/>
  <c r="JO45" i="4"/>
  <c r="JN48" i="4" s="1"/>
  <c r="JP37" i="4"/>
  <c r="JP36" i="4"/>
  <c r="JP38" i="4"/>
  <c r="JP39" i="4"/>
  <c r="JP35" i="4"/>
  <c r="JP40" i="4"/>
  <c r="JN49" i="4"/>
  <c r="JK52" i="4" s="1"/>
  <c r="JH55" i="4" s="1"/>
  <c r="JG53" i="4"/>
  <c r="JP34" i="4"/>
  <c r="JP33" i="4"/>
  <c r="JP32" i="4"/>
  <c r="JP31" i="4"/>
  <c r="JP30" i="4"/>
  <c r="JP29" i="4"/>
  <c r="JP28" i="4"/>
  <c r="JP27" i="4"/>
  <c r="JP23" i="4"/>
  <c r="JP22" i="4"/>
  <c r="JP21" i="4"/>
  <c r="JP20" i="4"/>
  <c r="JP26" i="4"/>
  <c r="JP25" i="4"/>
  <c r="JP24" i="4"/>
  <c r="JP19" i="4"/>
  <c r="JP18" i="4"/>
  <c r="JP17" i="4"/>
  <c r="JP16" i="4"/>
  <c r="JP11" i="4"/>
  <c r="JP15" i="4"/>
  <c r="JP14" i="4"/>
  <c r="JP13" i="4"/>
  <c r="JP12" i="4"/>
  <c r="JP5" i="4"/>
  <c r="JP8" i="4"/>
  <c r="JP6" i="4"/>
  <c r="JP3" i="4"/>
  <c r="JP9" i="4"/>
  <c r="JP4" i="4"/>
  <c r="JP7" i="4"/>
  <c r="JQ1" i="4"/>
  <c r="JP2" i="4"/>
  <c r="JP10" i="4"/>
  <c r="JG55" i="4"/>
  <c r="JP45" i="4" l="1"/>
  <c r="JO48" i="4" s="1"/>
  <c r="JP44" i="4"/>
  <c r="JO47" i="4" s="1"/>
  <c r="JL50" i="4" s="1"/>
  <c r="JP46" i="4"/>
  <c r="JO49" i="4" s="1"/>
  <c r="JL52" i="4" s="1"/>
  <c r="JQ35" i="4"/>
  <c r="JQ37" i="4"/>
  <c r="JQ36" i="4"/>
  <c r="JQ38" i="4"/>
  <c r="JQ39" i="4"/>
  <c r="JQ40" i="4"/>
  <c r="JD56" i="4"/>
  <c r="JD58" i="4"/>
  <c r="JE58" i="4"/>
  <c r="JH53" i="4"/>
  <c r="JQ34" i="4"/>
  <c r="JQ33" i="4"/>
  <c r="JQ32" i="4"/>
  <c r="JQ31" i="4"/>
  <c r="JQ30" i="4"/>
  <c r="JQ29" i="4"/>
  <c r="JQ28" i="4"/>
  <c r="JQ27" i="4"/>
  <c r="JQ26" i="4"/>
  <c r="JQ25" i="4"/>
  <c r="JQ24" i="4"/>
  <c r="JQ23" i="4"/>
  <c r="JQ22" i="4"/>
  <c r="JQ21" i="4"/>
  <c r="JQ20" i="4"/>
  <c r="JQ11" i="4"/>
  <c r="JQ15" i="4"/>
  <c r="JQ14" i="4"/>
  <c r="JQ13" i="4"/>
  <c r="JQ12" i="4"/>
  <c r="JQ8" i="4"/>
  <c r="JQ6" i="4"/>
  <c r="JQ3" i="4"/>
  <c r="JQ9" i="4"/>
  <c r="JQ16" i="4"/>
  <c r="JQ4" i="4"/>
  <c r="JQ17" i="4"/>
  <c r="JQ7" i="4"/>
  <c r="JQ18" i="4"/>
  <c r="JQ10" i="4"/>
  <c r="JQ19" i="4"/>
  <c r="JR1" i="4"/>
  <c r="JQ5" i="4"/>
  <c r="JQ2" i="4"/>
  <c r="JQ46" i="4" l="1"/>
  <c r="JQ44" i="4"/>
  <c r="JP47" i="4" s="1"/>
  <c r="JM50" i="4" s="1"/>
  <c r="JJ53" i="4" s="1"/>
  <c r="JQ45" i="4"/>
  <c r="JP48" i="4" s="1"/>
  <c r="JR35" i="4"/>
  <c r="JR37" i="4"/>
  <c r="JR36" i="4"/>
  <c r="JR38" i="4"/>
  <c r="JR39" i="4"/>
  <c r="JR40" i="4"/>
  <c r="JP49" i="4"/>
  <c r="JM52" i="4" s="1"/>
  <c r="JJ55" i="4" s="1"/>
  <c r="JI53" i="4"/>
  <c r="JF56" i="4" s="1"/>
  <c r="JE56" i="4"/>
  <c r="JI55" i="4"/>
  <c r="JR34" i="4"/>
  <c r="JR33" i="4"/>
  <c r="JR32" i="4"/>
  <c r="JR31" i="4"/>
  <c r="JR30" i="4"/>
  <c r="JR29" i="4"/>
  <c r="JR28" i="4"/>
  <c r="JR27" i="4"/>
  <c r="JR26" i="4"/>
  <c r="JR25" i="4"/>
  <c r="JR24" i="4"/>
  <c r="JR22" i="4"/>
  <c r="JR23" i="4"/>
  <c r="JR20" i="4"/>
  <c r="JR19" i="4"/>
  <c r="JR18" i="4"/>
  <c r="JR17" i="4"/>
  <c r="JR16" i="4"/>
  <c r="JR11" i="4"/>
  <c r="JR15" i="4"/>
  <c r="JR14" i="4"/>
  <c r="JR13" i="4"/>
  <c r="JR12" i="4"/>
  <c r="JR6" i="4"/>
  <c r="JR3" i="4"/>
  <c r="JR9" i="4"/>
  <c r="JR4" i="4"/>
  <c r="JR7" i="4"/>
  <c r="JR21" i="4"/>
  <c r="JR10" i="4"/>
  <c r="JR8" i="4"/>
  <c r="JS1" i="4"/>
  <c r="JR2" i="4"/>
  <c r="JR5" i="4"/>
  <c r="JR46" i="4" l="1"/>
  <c r="JQ49" i="4" s="1"/>
  <c r="JN52" i="4" s="1"/>
  <c r="JR45" i="4"/>
  <c r="JQ48" i="4" s="1"/>
  <c r="JR44" i="4"/>
  <c r="JQ47" i="4" s="1"/>
  <c r="JN50" i="4" s="1"/>
  <c r="JK53" i="4" s="1"/>
  <c r="JS35" i="4"/>
  <c r="JS37" i="4"/>
  <c r="JS36" i="4"/>
  <c r="JS38" i="4"/>
  <c r="JS39" i="4"/>
  <c r="JS40" i="4"/>
  <c r="JG56" i="4"/>
  <c r="JF58" i="4"/>
  <c r="JG58" i="4"/>
  <c r="JS34" i="4"/>
  <c r="JS33" i="4"/>
  <c r="JS32" i="4"/>
  <c r="JS31" i="4"/>
  <c r="JS30" i="4"/>
  <c r="JS29" i="4"/>
  <c r="JS28" i="4"/>
  <c r="JS27" i="4"/>
  <c r="JS26" i="4"/>
  <c r="JS25" i="4"/>
  <c r="JS24" i="4"/>
  <c r="JS23" i="4"/>
  <c r="JS22" i="4"/>
  <c r="JS21" i="4"/>
  <c r="JS20" i="4"/>
  <c r="JS19" i="4"/>
  <c r="JS18" i="4"/>
  <c r="JS17" i="4"/>
  <c r="JS16" i="4"/>
  <c r="JS15" i="4"/>
  <c r="JS14" i="4"/>
  <c r="JS13" i="4"/>
  <c r="JS12" i="4"/>
  <c r="JS6" i="4"/>
  <c r="JS3" i="4"/>
  <c r="JS9" i="4"/>
  <c r="JS4" i="4"/>
  <c r="JS11" i="4"/>
  <c r="JS7" i="4"/>
  <c r="JS10" i="4"/>
  <c r="JS5" i="4"/>
  <c r="JS8" i="4"/>
  <c r="JT1" i="4"/>
  <c r="JS2" i="4"/>
  <c r="JS44" i="4" l="1"/>
  <c r="JR47" i="4" s="1"/>
  <c r="JO50" i="4" s="1"/>
  <c r="JS46" i="4"/>
  <c r="JR49" i="4" s="1"/>
  <c r="JO52" i="4" s="1"/>
  <c r="JS45" i="4"/>
  <c r="JR48" i="4" s="1"/>
  <c r="JT36" i="4"/>
  <c r="JT35" i="4"/>
  <c r="JT37" i="4"/>
  <c r="JT38" i="4"/>
  <c r="JT39" i="4"/>
  <c r="JT40" i="4"/>
  <c r="JH56" i="4"/>
  <c r="JT34" i="4"/>
  <c r="JT33" i="4"/>
  <c r="JT32" i="4"/>
  <c r="JT31" i="4"/>
  <c r="JT30" i="4"/>
  <c r="JT29" i="4"/>
  <c r="JT28" i="4"/>
  <c r="JT27" i="4"/>
  <c r="JT26" i="4"/>
  <c r="JT25" i="4"/>
  <c r="JT24" i="4"/>
  <c r="JT23" i="4"/>
  <c r="JT22" i="4"/>
  <c r="JT21" i="4"/>
  <c r="JT20" i="4"/>
  <c r="JT19" i="4"/>
  <c r="JT18" i="4"/>
  <c r="JT17" i="4"/>
  <c r="JT16" i="4"/>
  <c r="JT15" i="4"/>
  <c r="JT14" i="4"/>
  <c r="JT13" i="4"/>
  <c r="JT12" i="4"/>
  <c r="JT9" i="4"/>
  <c r="JT4" i="4"/>
  <c r="JT11" i="4"/>
  <c r="JT7" i="4"/>
  <c r="JT10" i="4"/>
  <c r="JT5" i="4"/>
  <c r="JT8" i="4"/>
  <c r="JT2" i="4"/>
  <c r="JT3" i="4"/>
  <c r="JT6" i="4"/>
  <c r="JU1" i="4"/>
  <c r="JK55" i="4"/>
  <c r="JT44" i="4" l="1"/>
  <c r="JS47" i="4" s="1"/>
  <c r="JP50" i="4" s="1"/>
  <c r="JT46" i="4"/>
  <c r="JS49" i="4" s="1"/>
  <c r="JP52" i="4" s="1"/>
  <c r="JT45" i="4"/>
  <c r="JS48" i="4" s="1"/>
  <c r="JP51" i="4" s="1"/>
  <c r="JU36" i="4"/>
  <c r="JU35" i="4"/>
  <c r="JU38" i="4"/>
  <c r="JU37" i="4"/>
  <c r="JU40" i="4"/>
  <c r="JU39" i="4"/>
  <c r="JL55" i="4"/>
  <c r="JI58" i="4" s="1"/>
  <c r="JH58" i="4"/>
  <c r="JU34" i="4"/>
  <c r="JU30" i="4"/>
  <c r="JU29" i="4"/>
  <c r="JU28" i="4"/>
  <c r="JU27" i="4"/>
  <c r="JU33" i="4"/>
  <c r="JU32" i="4"/>
  <c r="JU31" i="4"/>
  <c r="JU26" i="4"/>
  <c r="JU25" i="4"/>
  <c r="JU24" i="4"/>
  <c r="JU23" i="4"/>
  <c r="JU22" i="4"/>
  <c r="JU21" i="4"/>
  <c r="JU20" i="4"/>
  <c r="JU19" i="4"/>
  <c r="JU18" i="4"/>
  <c r="JU17" i="4"/>
  <c r="JU16" i="4"/>
  <c r="JU15" i="4"/>
  <c r="JU14" i="4"/>
  <c r="JU13" i="4"/>
  <c r="JU12" i="4"/>
  <c r="JU11" i="4"/>
  <c r="JU4" i="4"/>
  <c r="JU7" i="4"/>
  <c r="JU10" i="4"/>
  <c r="JU5" i="4"/>
  <c r="JU8" i="4"/>
  <c r="JU2" i="4"/>
  <c r="JU6" i="4"/>
  <c r="JU9" i="4"/>
  <c r="JV1" i="4"/>
  <c r="JU3" i="4"/>
  <c r="JL53" i="4"/>
  <c r="JU46" i="4" l="1"/>
  <c r="JT49" i="4" s="1"/>
  <c r="JQ52" i="4" s="1"/>
  <c r="JN55" i="4" s="1"/>
  <c r="JU44" i="4"/>
  <c r="JT47" i="4" s="1"/>
  <c r="JQ50" i="4" s="1"/>
  <c r="JU45" i="4"/>
  <c r="JT48" i="4" s="1"/>
  <c r="JV36" i="4"/>
  <c r="JV35" i="4"/>
  <c r="JV38" i="4"/>
  <c r="JV39" i="4"/>
  <c r="JV40" i="4"/>
  <c r="JV37" i="4"/>
  <c r="JM55" i="4"/>
  <c r="JV34" i="4"/>
  <c r="JV33" i="4"/>
  <c r="JV32" i="4"/>
  <c r="JV31" i="4"/>
  <c r="JV30" i="4"/>
  <c r="JV29" i="4"/>
  <c r="JV28" i="4"/>
  <c r="JV26" i="4"/>
  <c r="JV25" i="4"/>
  <c r="JV24" i="4"/>
  <c r="JV27" i="4"/>
  <c r="JV23" i="4"/>
  <c r="JV22" i="4"/>
  <c r="JV21" i="4"/>
  <c r="JV20" i="4"/>
  <c r="JV19" i="4"/>
  <c r="JV18" i="4"/>
  <c r="JV17" i="4"/>
  <c r="JV16" i="4"/>
  <c r="JV7" i="4"/>
  <c r="JV11" i="4"/>
  <c r="JV10" i="4"/>
  <c r="JV5" i="4"/>
  <c r="JV15" i="4"/>
  <c r="JV8" i="4"/>
  <c r="JV14" i="4"/>
  <c r="JV13" i="4"/>
  <c r="JV6" i="4"/>
  <c r="JV3" i="4"/>
  <c r="JV12" i="4"/>
  <c r="JV9" i="4"/>
  <c r="JV4" i="4"/>
  <c r="JW1" i="4"/>
  <c r="JV2" i="4"/>
  <c r="JM53" i="4"/>
  <c r="JJ56" i="4" s="1"/>
  <c r="JI56" i="4"/>
  <c r="JV46" i="4" l="1"/>
  <c r="JU49" i="4" s="1"/>
  <c r="JR52" i="4" s="1"/>
  <c r="JV45" i="4"/>
  <c r="JU48" i="4" s="1"/>
  <c r="JR51" i="4" s="1"/>
  <c r="JV44" i="4"/>
  <c r="JU47" i="4" s="1"/>
  <c r="JR50" i="4" s="1"/>
  <c r="JW37" i="4"/>
  <c r="JW36" i="4"/>
  <c r="JW38" i="4"/>
  <c r="JW39" i="4"/>
  <c r="JW40" i="4"/>
  <c r="JW35" i="4"/>
  <c r="JQ51" i="4"/>
  <c r="JN53" i="4"/>
  <c r="JK58" i="4"/>
  <c r="JJ58" i="4"/>
  <c r="JW34" i="4"/>
  <c r="JW33" i="4"/>
  <c r="JW32" i="4"/>
  <c r="JW31" i="4"/>
  <c r="JW30" i="4"/>
  <c r="JW29" i="4"/>
  <c r="JW28" i="4"/>
  <c r="JW26" i="4"/>
  <c r="JW25" i="4"/>
  <c r="JW24" i="4"/>
  <c r="JW27" i="4"/>
  <c r="JW23" i="4"/>
  <c r="JW22" i="4"/>
  <c r="JW19" i="4"/>
  <c r="JW18" i="4"/>
  <c r="JW17" i="4"/>
  <c r="JW16" i="4"/>
  <c r="JW20" i="4"/>
  <c r="JW21" i="4"/>
  <c r="JW11" i="4"/>
  <c r="JW15" i="4"/>
  <c r="JW14" i="4"/>
  <c r="JW13" i="4"/>
  <c r="JW12" i="4"/>
  <c r="JW10" i="4"/>
  <c r="JW5" i="4"/>
  <c r="JW8" i="4"/>
  <c r="JW6" i="4"/>
  <c r="JW3" i="4"/>
  <c r="JW9" i="4"/>
  <c r="JW4" i="4"/>
  <c r="JX1" i="4"/>
  <c r="JW7" i="4"/>
  <c r="JW2" i="4"/>
  <c r="JW46" i="4" l="1"/>
  <c r="JV49" i="4" s="1"/>
  <c r="JS52" i="4" s="1"/>
  <c r="JW44" i="4"/>
  <c r="JV47" i="4" s="1"/>
  <c r="JS50" i="4" s="1"/>
  <c r="JP53" i="4" s="1"/>
  <c r="JW45" i="4"/>
  <c r="JV48" i="4" s="1"/>
  <c r="JX37" i="4"/>
  <c r="JX36" i="4"/>
  <c r="JX38" i="4"/>
  <c r="JX39" i="4"/>
  <c r="JX40" i="4"/>
  <c r="JX35" i="4"/>
  <c r="JO55" i="4"/>
  <c r="JO53" i="4"/>
  <c r="JK56" i="4"/>
  <c r="JX34" i="4"/>
  <c r="JX33" i="4"/>
  <c r="JX32" i="4"/>
  <c r="JX31" i="4"/>
  <c r="JX30" i="4"/>
  <c r="JX29" i="4"/>
  <c r="JX28" i="4"/>
  <c r="JX27" i="4"/>
  <c r="JX26" i="4"/>
  <c r="JX25" i="4"/>
  <c r="JX24" i="4"/>
  <c r="JX23" i="4"/>
  <c r="JX22" i="4"/>
  <c r="JX21" i="4"/>
  <c r="JX20" i="4"/>
  <c r="JX19" i="4"/>
  <c r="JX18" i="4"/>
  <c r="JX17" i="4"/>
  <c r="JX16" i="4"/>
  <c r="JX11" i="4"/>
  <c r="JX15" i="4"/>
  <c r="JX14" i="4"/>
  <c r="JX13" i="4"/>
  <c r="JX12" i="4"/>
  <c r="JX5" i="4"/>
  <c r="JX8" i="4"/>
  <c r="JX6" i="4"/>
  <c r="JX3" i="4"/>
  <c r="JX9" i="4"/>
  <c r="JX4" i="4"/>
  <c r="JX7" i="4"/>
  <c r="JY1" i="4"/>
  <c r="JX10" i="4"/>
  <c r="JX2" i="4"/>
  <c r="JX46" i="4" l="1"/>
  <c r="JW49" i="4" s="1"/>
  <c r="JT52" i="4" s="1"/>
  <c r="JX44" i="4"/>
  <c r="JW47" i="4" s="1"/>
  <c r="JT50" i="4" s="1"/>
  <c r="JX45" i="4"/>
  <c r="JW48" i="4" s="1"/>
  <c r="JT51" i="4" s="1"/>
  <c r="JY35" i="4"/>
  <c r="JY36" i="4"/>
  <c r="JY39" i="4"/>
  <c r="JY38" i="4"/>
  <c r="JY37" i="4"/>
  <c r="JY40" i="4"/>
  <c r="JS51" i="4"/>
  <c r="JP55" i="4"/>
  <c r="JM58" i="4" s="1"/>
  <c r="JL58" i="4"/>
  <c r="JL56" i="4"/>
  <c r="JM56" i="4"/>
  <c r="JY34" i="4"/>
  <c r="JY33" i="4"/>
  <c r="JY32" i="4"/>
  <c r="JY31" i="4"/>
  <c r="JY27" i="4"/>
  <c r="JY26" i="4"/>
  <c r="JY25" i="4"/>
  <c r="JY24" i="4"/>
  <c r="JY23" i="4"/>
  <c r="JY22" i="4"/>
  <c r="JY21" i="4"/>
  <c r="JY20" i="4"/>
  <c r="JY28" i="4"/>
  <c r="JY29" i="4"/>
  <c r="JY30" i="4"/>
  <c r="JY11" i="4"/>
  <c r="JY15" i="4"/>
  <c r="JY14" i="4"/>
  <c r="JY13" i="4"/>
  <c r="JY12" i="4"/>
  <c r="JY19" i="4"/>
  <c r="JY18" i="4"/>
  <c r="JY17" i="4"/>
  <c r="JY16" i="4"/>
  <c r="JY8" i="4"/>
  <c r="JY6" i="4"/>
  <c r="JY3" i="4"/>
  <c r="JY9" i="4"/>
  <c r="JY4" i="4"/>
  <c r="JY7" i="4"/>
  <c r="JY10" i="4"/>
  <c r="JZ1" i="4"/>
  <c r="JY2" i="4"/>
  <c r="JY5" i="4"/>
  <c r="JY44" i="4" l="1"/>
  <c r="JX47" i="4" s="1"/>
  <c r="JU50" i="4" s="1"/>
  <c r="JY45" i="4"/>
  <c r="JX48" i="4" s="1"/>
  <c r="JU51" i="4" s="1"/>
  <c r="JY46" i="4"/>
  <c r="JX49" i="4" s="1"/>
  <c r="JU52" i="4" s="1"/>
  <c r="JZ35" i="4"/>
  <c r="JZ37" i="4"/>
  <c r="JZ36" i="4"/>
  <c r="JZ39" i="4"/>
  <c r="JZ38" i="4"/>
  <c r="JZ40" i="4"/>
  <c r="JQ55" i="4"/>
  <c r="JQ53" i="4"/>
  <c r="JZ34" i="4"/>
  <c r="JZ33" i="4"/>
  <c r="JZ32" i="4"/>
  <c r="JZ31" i="4"/>
  <c r="JZ30" i="4"/>
  <c r="JZ29" i="4"/>
  <c r="JZ28" i="4"/>
  <c r="JZ27" i="4"/>
  <c r="JZ26" i="4"/>
  <c r="JZ25" i="4"/>
  <c r="JZ24" i="4"/>
  <c r="JZ20" i="4"/>
  <c r="JZ23" i="4"/>
  <c r="JZ21" i="4"/>
  <c r="JZ19" i="4"/>
  <c r="JZ18" i="4"/>
  <c r="JZ17" i="4"/>
  <c r="JZ16" i="4"/>
  <c r="JZ11" i="4"/>
  <c r="JZ22" i="4"/>
  <c r="JZ15" i="4"/>
  <c r="JZ14" i="4"/>
  <c r="JZ13" i="4"/>
  <c r="JZ12" i="4"/>
  <c r="JZ6" i="4"/>
  <c r="JZ3" i="4"/>
  <c r="JZ9" i="4"/>
  <c r="JZ4" i="4"/>
  <c r="JZ7" i="4"/>
  <c r="JZ10" i="4"/>
  <c r="JZ8" i="4"/>
  <c r="JZ2" i="4"/>
  <c r="JZ5" i="4"/>
  <c r="KA1" i="4"/>
  <c r="JZ46" i="4" l="1"/>
  <c r="JY49" i="4" s="1"/>
  <c r="JV52" i="4" s="1"/>
  <c r="JZ45" i="4"/>
  <c r="JY48" i="4" s="1"/>
  <c r="JZ44" i="4"/>
  <c r="JY47" i="4" s="1"/>
  <c r="JV50" i="4" s="1"/>
  <c r="KA35" i="4"/>
  <c r="KA37" i="4"/>
  <c r="KA36" i="4"/>
  <c r="KA39" i="4"/>
  <c r="KA40" i="4"/>
  <c r="KA38" i="4"/>
  <c r="JR55" i="4"/>
  <c r="JN58" i="4"/>
  <c r="JR53" i="4"/>
  <c r="JO56" i="4" s="1"/>
  <c r="KA34" i="4"/>
  <c r="KA33" i="4"/>
  <c r="KA32" i="4"/>
  <c r="KA31" i="4"/>
  <c r="KA30" i="4"/>
  <c r="KA29" i="4"/>
  <c r="KA28" i="4"/>
  <c r="KA27" i="4"/>
  <c r="KA26" i="4"/>
  <c r="KA25" i="4"/>
  <c r="KA24" i="4"/>
  <c r="KA23" i="4"/>
  <c r="KA22" i="4"/>
  <c r="KA21" i="4"/>
  <c r="KA20" i="4"/>
  <c r="KA19" i="4"/>
  <c r="KA18" i="4"/>
  <c r="KA17" i="4"/>
  <c r="KA16" i="4"/>
  <c r="KA15" i="4"/>
  <c r="KA14" i="4"/>
  <c r="KA13" i="4"/>
  <c r="KA12" i="4"/>
  <c r="KA11" i="4"/>
  <c r="KA6" i="4"/>
  <c r="KA3" i="4"/>
  <c r="KA9" i="4"/>
  <c r="KA4" i="4"/>
  <c r="KA7" i="4"/>
  <c r="KA10" i="4"/>
  <c r="KA5" i="4"/>
  <c r="KA8" i="4"/>
  <c r="KA2" i="4"/>
  <c r="KB1" i="4"/>
  <c r="JN56" i="4"/>
  <c r="KA46" i="4" l="1"/>
  <c r="JZ49" i="4" s="1"/>
  <c r="JW52" i="4" s="1"/>
  <c r="JT55" i="4" s="1"/>
  <c r="KA45" i="4"/>
  <c r="JZ48" i="4" s="1"/>
  <c r="JW51" i="4" s="1"/>
  <c r="KA44" i="4"/>
  <c r="JZ47" i="4" s="1"/>
  <c r="JW50" i="4" s="1"/>
  <c r="KB36" i="4"/>
  <c r="KB35" i="4"/>
  <c r="KB37" i="4"/>
  <c r="KB38" i="4"/>
  <c r="KB40" i="4"/>
  <c r="KB39" i="4"/>
  <c r="JV51" i="4"/>
  <c r="KB34" i="4"/>
  <c r="KB33" i="4"/>
  <c r="KB32" i="4"/>
  <c r="KB31" i="4"/>
  <c r="KB30" i="4"/>
  <c r="KB29" i="4"/>
  <c r="KB28" i="4"/>
  <c r="KB27" i="4"/>
  <c r="KB26" i="4"/>
  <c r="KB25" i="4"/>
  <c r="KB24" i="4"/>
  <c r="KB23" i="4"/>
  <c r="KB22" i="4"/>
  <c r="KB21" i="4"/>
  <c r="KB20" i="4"/>
  <c r="KB19" i="4"/>
  <c r="KB18" i="4"/>
  <c r="KB17" i="4"/>
  <c r="KB16" i="4"/>
  <c r="KB15" i="4"/>
  <c r="KB14" i="4"/>
  <c r="KB13" i="4"/>
  <c r="KB12" i="4"/>
  <c r="KB9" i="4"/>
  <c r="KB4" i="4"/>
  <c r="KB7" i="4"/>
  <c r="KB10" i="4"/>
  <c r="KB5" i="4"/>
  <c r="KB8" i="4"/>
  <c r="KB6" i="4"/>
  <c r="KB2" i="4"/>
  <c r="KB3" i="4"/>
  <c r="KB11" i="4"/>
  <c r="KC1" i="4"/>
  <c r="JO58" i="4"/>
  <c r="JS53" i="4"/>
  <c r="JS55" i="4"/>
  <c r="KB44" i="4" l="1"/>
  <c r="KA47" i="4" s="1"/>
  <c r="JX50" i="4" s="1"/>
  <c r="KB46" i="4"/>
  <c r="KA49" i="4" s="1"/>
  <c r="JX52" i="4" s="1"/>
  <c r="KB45" i="4"/>
  <c r="KA48" i="4" s="1"/>
  <c r="KC36" i="4"/>
  <c r="KC35" i="4"/>
  <c r="KC38" i="4"/>
  <c r="KC40" i="4"/>
  <c r="KC37" i="4"/>
  <c r="KC39" i="4"/>
  <c r="JT54" i="4"/>
  <c r="JS54" i="4"/>
  <c r="JP58" i="4"/>
  <c r="JQ58" i="4"/>
  <c r="JP56" i="4"/>
  <c r="JT53" i="4"/>
  <c r="KC34" i="4"/>
  <c r="KC33" i="4"/>
  <c r="KC30" i="4"/>
  <c r="KC29" i="4"/>
  <c r="KC28" i="4"/>
  <c r="KC27" i="4"/>
  <c r="KC32" i="4"/>
  <c r="KC31" i="4"/>
  <c r="KC26" i="4"/>
  <c r="KC25" i="4"/>
  <c r="KC24" i="4"/>
  <c r="KC23" i="4"/>
  <c r="KC22" i="4"/>
  <c r="KC21" i="4"/>
  <c r="KC20" i="4"/>
  <c r="KC45" i="4" s="1"/>
  <c r="KC19" i="4"/>
  <c r="KC18" i="4"/>
  <c r="KC17" i="4"/>
  <c r="KC16" i="4"/>
  <c r="KC15" i="4"/>
  <c r="KC14" i="4"/>
  <c r="KC13" i="4"/>
  <c r="KC12" i="4"/>
  <c r="KC11" i="4"/>
  <c r="KC4" i="4"/>
  <c r="KC7" i="4"/>
  <c r="KC10" i="4"/>
  <c r="KC5" i="4"/>
  <c r="KC8" i="4"/>
  <c r="KC6" i="4"/>
  <c r="KC2" i="4"/>
  <c r="KC9" i="4"/>
  <c r="KC3" i="4"/>
  <c r="KD1" i="4"/>
  <c r="KC46" i="4" l="1"/>
  <c r="KB49" i="4" s="1"/>
  <c r="JY52" i="4" s="1"/>
  <c r="KC44" i="4"/>
  <c r="KB47" i="4" s="1"/>
  <c r="JY50" i="4" s="1"/>
  <c r="KD36" i="4"/>
  <c r="KD35" i="4"/>
  <c r="KD37" i="4"/>
  <c r="KD38" i="4"/>
  <c r="KD40" i="4"/>
  <c r="KD39" i="4"/>
  <c r="JX51" i="4"/>
  <c r="KB48" i="4"/>
  <c r="JY51" i="4" s="1"/>
  <c r="JU55" i="4"/>
  <c r="JU53" i="4"/>
  <c r="JR56" i="4" s="1"/>
  <c r="JQ56" i="4"/>
  <c r="KD34" i="4"/>
  <c r="KD33" i="4"/>
  <c r="KD32" i="4"/>
  <c r="KD31" i="4"/>
  <c r="KD30" i="4"/>
  <c r="KD29" i="4"/>
  <c r="KD28" i="4"/>
  <c r="KD27" i="4"/>
  <c r="KD26" i="4"/>
  <c r="KD25" i="4"/>
  <c r="KD24" i="4"/>
  <c r="KD23" i="4"/>
  <c r="KD22" i="4"/>
  <c r="KD21" i="4"/>
  <c r="KD20" i="4"/>
  <c r="KD19" i="4"/>
  <c r="KD18" i="4"/>
  <c r="KD17" i="4"/>
  <c r="KD16" i="4"/>
  <c r="KD7" i="4"/>
  <c r="KD10" i="4"/>
  <c r="KD15" i="4"/>
  <c r="KD5" i="4"/>
  <c r="KD14" i="4"/>
  <c r="KD8" i="4"/>
  <c r="KD13" i="4"/>
  <c r="KD12" i="4"/>
  <c r="KD6" i="4"/>
  <c r="KD3" i="4"/>
  <c r="KD11" i="4"/>
  <c r="KD9" i="4"/>
  <c r="KD4" i="4"/>
  <c r="KE1" i="4"/>
  <c r="KD2" i="4"/>
  <c r="KD44" i="4" l="1"/>
  <c r="KC47" i="4" s="1"/>
  <c r="JZ50" i="4" s="1"/>
  <c r="KD46" i="4"/>
  <c r="KC49" i="4" s="1"/>
  <c r="JZ52" i="4" s="1"/>
  <c r="KD45" i="4"/>
  <c r="KC48" i="4" s="1"/>
  <c r="KE37" i="4"/>
  <c r="KE36" i="4"/>
  <c r="KE35" i="4"/>
  <c r="KE38" i="4"/>
  <c r="KE39" i="4"/>
  <c r="KE40" i="4"/>
  <c r="JV54" i="4"/>
  <c r="JU54" i="4"/>
  <c r="JR58" i="4"/>
  <c r="JV53" i="4"/>
  <c r="KE34" i="4"/>
  <c r="KE33" i="4"/>
  <c r="KE32" i="4"/>
  <c r="KE31" i="4"/>
  <c r="KE30" i="4"/>
  <c r="KE29" i="4"/>
  <c r="KE28" i="4"/>
  <c r="KE26" i="4"/>
  <c r="KE25" i="4"/>
  <c r="KE24" i="4"/>
  <c r="KE23" i="4"/>
  <c r="KE27" i="4"/>
  <c r="KE19" i="4"/>
  <c r="KE18" i="4"/>
  <c r="KE17" i="4"/>
  <c r="KE16" i="4"/>
  <c r="KE20" i="4"/>
  <c r="KE21" i="4"/>
  <c r="KE22" i="4"/>
  <c r="KE11" i="4"/>
  <c r="KE15" i="4"/>
  <c r="KE14" i="4"/>
  <c r="KE13" i="4"/>
  <c r="KE12" i="4"/>
  <c r="KE10" i="4"/>
  <c r="KE5" i="4"/>
  <c r="KE8" i="4"/>
  <c r="KE6" i="4"/>
  <c r="KE3" i="4"/>
  <c r="KE9" i="4"/>
  <c r="KE2" i="4"/>
  <c r="KF1" i="4"/>
  <c r="KE7" i="4"/>
  <c r="KE4" i="4"/>
  <c r="JV55" i="4"/>
  <c r="KE45" i="4" l="1"/>
  <c r="KD48" i="4" s="1"/>
  <c r="KA51" i="4" s="1"/>
  <c r="KE46" i="4"/>
  <c r="KD49" i="4" s="1"/>
  <c r="KA52" i="4" s="1"/>
  <c r="KE44" i="4"/>
  <c r="KD47" i="4" s="1"/>
  <c r="KA50" i="4" s="1"/>
  <c r="KF36" i="4"/>
  <c r="KF35" i="4"/>
  <c r="KF37" i="4"/>
  <c r="KF38" i="4"/>
  <c r="KF39" i="4"/>
  <c r="KF40" i="4"/>
  <c r="JZ51" i="4"/>
  <c r="JW55" i="4"/>
  <c r="JS56" i="4"/>
  <c r="KF34" i="4"/>
  <c r="KF33" i="4"/>
  <c r="KF32" i="4"/>
  <c r="KF31" i="4"/>
  <c r="KF30" i="4"/>
  <c r="KF29" i="4"/>
  <c r="KF28" i="4"/>
  <c r="KF27" i="4"/>
  <c r="KF26" i="4"/>
  <c r="KF25" i="4"/>
  <c r="KF24" i="4"/>
  <c r="KF23" i="4"/>
  <c r="KF22" i="4"/>
  <c r="KF21" i="4"/>
  <c r="KF20" i="4"/>
  <c r="KF19" i="4"/>
  <c r="KF18" i="4"/>
  <c r="KF17" i="4"/>
  <c r="KF16" i="4"/>
  <c r="KF11" i="4"/>
  <c r="KF15" i="4"/>
  <c r="KF14" i="4"/>
  <c r="KF13" i="4"/>
  <c r="KF12" i="4"/>
  <c r="KF5" i="4"/>
  <c r="KF8" i="4"/>
  <c r="KF6" i="4"/>
  <c r="KF3" i="4"/>
  <c r="KF9" i="4"/>
  <c r="KF4" i="4"/>
  <c r="KF7" i="4"/>
  <c r="KG1" i="4"/>
  <c r="KF10" i="4"/>
  <c r="KF2" i="4"/>
  <c r="JS58" i="4"/>
  <c r="JW53" i="4"/>
  <c r="KF44" i="4" l="1"/>
  <c r="KE47" i="4" s="1"/>
  <c r="KB50" i="4" s="1"/>
  <c r="KF46" i="4"/>
  <c r="KE49" i="4" s="1"/>
  <c r="KB52" i="4" s="1"/>
  <c r="KF45" i="4"/>
  <c r="KE48" i="4" s="1"/>
  <c r="KB51" i="4" s="1"/>
  <c r="KG35" i="4"/>
  <c r="KG36" i="4"/>
  <c r="KG37" i="4"/>
  <c r="KG39" i="4"/>
  <c r="KG38" i="4"/>
  <c r="KG40" i="4"/>
  <c r="JW54" i="4"/>
  <c r="JX54" i="4"/>
  <c r="JX55" i="4"/>
  <c r="JT58" i="4"/>
  <c r="KG34" i="4"/>
  <c r="KG33" i="4"/>
  <c r="KG32" i="4"/>
  <c r="KG31" i="4"/>
  <c r="KG27" i="4"/>
  <c r="KG30" i="4"/>
  <c r="KG29" i="4"/>
  <c r="KG28" i="4"/>
  <c r="KG26" i="4"/>
  <c r="KG25" i="4"/>
  <c r="KG24" i="4"/>
  <c r="KG23" i="4"/>
  <c r="KG22" i="4"/>
  <c r="KG21" i="4"/>
  <c r="KG20" i="4"/>
  <c r="KG11" i="4"/>
  <c r="KG15" i="4"/>
  <c r="KG14" i="4"/>
  <c r="KG13" i="4"/>
  <c r="KG12" i="4"/>
  <c r="KG19" i="4"/>
  <c r="KG18" i="4"/>
  <c r="KG17" i="4"/>
  <c r="KG16" i="4"/>
  <c r="KG8" i="4"/>
  <c r="KG6" i="4"/>
  <c r="KG3" i="4"/>
  <c r="KG9" i="4"/>
  <c r="KG4" i="4"/>
  <c r="KG7" i="4"/>
  <c r="KG10" i="4"/>
  <c r="KH1" i="4"/>
  <c r="KG5" i="4"/>
  <c r="KG2" i="4"/>
  <c r="JT56" i="4"/>
  <c r="JX53" i="4"/>
  <c r="JU56" i="4" s="1"/>
  <c r="KG45" i="4" l="1"/>
  <c r="KF48" i="4" s="1"/>
  <c r="KC51" i="4" s="1"/>
  <c r="JZ54" i="4" s="1"/>
  <c r="KG44" i="4"/>
  <c r="KF47" i="4" s="1"/>
  <c r="KC50" i="4" s="1"/>
  <c r="KG46" i="4"/>
  <c r="KF49" i="4" s="1"/>
  <c r="KC52" i="4" s="1"/>
  <c r="KH35" i="4"/>
  <c r="KH37" i="4"/>
  <c r="KH36" i="4"/>
  <c r="KH39" i="4"/>
  <c r="KH38" i="4"/>
  <c r="KH40" i="4"/>
  <c r="JY54" i="4"/>
  <c r="KH34" i="4"/>
  <c r="KH33" i="4"/>
  <c r="KH32" i="4"/>
  <c r="KH31" i="4"/>
  <c r="KH30" i="4"/>
  <c r="KH29" i="4"/>
  <c r="KH28" i="4"/>
  <c r="KH27" i="4"/>
  <c r="KH26" i="4"/>
  <c r="KH25" i="4"/>
  <c r="KH24" i="4"/>
  <c r="KH20" i="4"/>
  <c r="KH23" i="4"/>
  <c r="KH21" i="4"/>
  <c r="KH22" i="4"/>
  <c r="KH19" i="4"/>
  <c r="KH18" i="4"/>
  <c r="KH17" i="4"/>
  <c r="KH16" i="4"/>
  <c r="KH11" i="4"/>
  <c r="KH15" i="4"/>
  <c r="KH14" i="4"/>
  <c r="KH13" i="4"/>
  <c r="KH12" i="4"/>
  <c r="KH6" i="4"/>
  <c r="KH3" i="4"/>
  <c r="KH9" i="4"/>
  <c r="KH4" i="4"/>
  <c r="KH7" i="4"/>
  <c r="KH10" i="4"/>
  <c r="KH5" i="4"/>
  <c r="KH2" i="4"/>
  <c r="KH8" i="4"/>
  <c r="KI1" i="4"/>
  <c r="JY53" i="4"/>
  <c r="JV56" i="4" s="1"/>
  <c r="JU58" i="4"/>
  <c r="JY55" i="4"/>
  <c r="KH45" i="4" l="1"/>
  <c r="KG48" i="4" s="1"/>
  <c r="KH46" i="4"/>
  <c r="KG49" i="4" s="1"/>
  <c r="KD52" i="4" s="1"/>
  <c r="KA55" i="4" s="1"/>
  <c r="KH44" i="4"/>
  <c r="KG47" i="4" s="1"/>
  <c r="KD50" i="4" s="1"/>
  <c r="KI35" i="4"/>
  <c r="KI37" i="4"/>
  <c r="KI38" i="4"/>
  <c r="KI36" i="4"/>
  <c r="KI39" i="4"/>
  <c r="KI40" i="4"/>
  <c r="JV57" i="4"/>
  <c r="JW57" i="4"/>
  <c r="JZ55" i="4"/>
  <c r="JV58" i="4"/>
  <c r="JZ53" i="4"/>
  <c r="KI34" i="4"/>
  <c r="KI33" i="4"/>
  <c r="KI32" i="4"/>
  <c r="KI31" i="4"/>
  <c r="KI30" i="4"/>
  <c r="KI29" i="4"/>
  <c r="KI28" i="4"/>
  <c r="KI27" i="4"/>
  <c r="KI26" i="4"/>
  <c r="KI25" i="4"/>
  <c r="KI24" i="4"/>
  <c r="KI23" i="4"/>
  <c r="KI22" i="4"/>
  <c r="KI21" i="4"/>
  <c r="KI20" i="4"/>
  <c r="KI19" i="4"/>
  <c r="KI18" i="4"/>
  <c r="KI17" i="4"/>
  <c r="KI16" i="4"/>
  <c r="KI15" i="4"/>
  <c r="KI14" i="4"/>
  <c r="KI13" i="4"/>
  <c r="KI12" i="4"/>
  <c r="KI6" i="4"/>
  <c r="KI3" i="4"/>
  <c r="KI9" i="4"/>
  <c r="KI4" i="4"/>
  <c r="KI7" i="4"/>
  <c r="KI10" i="4"/>
  <c r="KI11" i="4"/>
  <c r="KI5" i="4"/>
  <c r="KI8" i="4"/>
  <c r="KI2" i="4"/>
  <c r="KJ1" i="4"/>
  <c r="KI45" i="4" l="1"/>
  <c r="KH48" i="4" s="1"/>
  <c r="KI44" i="4"/>
  <c r="KH47" i="4" s="1"/>
  <c r="KE50" i="4" s="1"/>
  <c r="KB53" i="4" s="1"/>
  <c r="KI46" i="4"/>
  <c r="KH49" i="4" s="1"/>
  <c r="KE52" i="4" s="1"/>
  <c r="KJ36" i="4"/>
  <c r="KJ35" i="4"/>
  <c r="KJ38" i="4"/>
  <c r="KJ37" i="4"/>
  <c r="KJ40" i="4"/>
  <c r="KJ39" i="4"/>
  <c r="KD51" i="4"/>
  <c r="JX58" i="4"/>
  <c r="KA53" i="4"/>
  <c r="JW56" i="4"/>
  <c r="KJ34" i="4"/>
  <c r="KJ33" i="4"/>
  <c r="KJ32" i="4"/>
  <c r="KJ31" i="4"/>
  <c r="KJ30" i="4"/>
  <c r="KJ29" i="4"/>
  <c r="KJ28" i="4"/>
  <c r="KJ27" i="4"/>
  <c r="KJ26" i="4"/>
  <c r="KJ25" i="4"/>
  <c r="KJ24" i="4"/>
  <c r="KJ23" i="4"/>
  <c r="KJ22" i="4"/>
  <c r="KJ21" i="4"/>
  <c r="KJ20" i="4"/>
  <c r="KJ19" i="4"/>
  <c r="KJ18" i="4"/>
  <c r="KJ17" i="4"/>
  <c r="KJ16" i="4"/>
  <c r="KJ15" i="4"/>
  <c r="KJ14" i="4"/>
  <c r="KJ13" i="4"/>
  <c r="KJ12" i="4"/>
  <c r="KJ9" i="4"/>
  <c r="KJ4" i="4"/>
  <c r="KJ7" i="4"/>
  <c r="KJ10" i="4"/>
  <c r="KJ11" i="4"/>
  <c r="KJ5" i="4"/>
  <c r="KJ8" i="4"/>
  <c r="KJ2" i="4"/>
  <c r="KJ3" i="4"/>
  <c r="KJ6" i="4"/>
  <c r="KK1" i="4"/>
  <c r="JW58" i="4"/>
  <c r="KJ44" i="4" l="1"/>
  <c r="KI47" i="4" s="1"/>
  <c r="KF50" i="4" s="1"/>
  <c r="KJ46" i="4"/>
  <c r="KI49" i="4" s="1"/>
  <c r="KF52" i="4" s="1"/>
  <c r="KC55" i="4" s="1"/>
  <c r="KJ45" i="4"/>
  <c r="KI48" i="4" s="1"/>
  <c r="KK36" i="4"/>
  <c r="KK35" i="4"/>
  <c r="KK38" i="4"/>
  <c r="KK37" i="4"/>
  <c r="KK40" i="4"/>
  <c r="KK39" i="4"/>
  <c r="KA54" i="4"/>
  <c r="KE51" i="4"/>
  <c r="KB54" i="4" s="1"/>
  <c r="JY56" i="4"/>
  <c r="KB55" i="4"/>
  <c r="KK34" i="4"/>
  <c r="KK33" i="4"/>
  <c r="KK32" i="4"/>
  <c r="KK30" i="4"/>
  <c r="KK29" i="4"/>
  <c r="KK28" i="4"/>
  <c r="KK27" i="4"/>
  <c r="KK31" i="4"/>
  <c r="KK26" i="4"/>
  <c r="KK25" i="4"/>
  <c r="KK24" i="4"/>
  <c r="KK23" i="4"/>
  <c r="KK22" i="4"/>
  <c r="KK21" i="4"/>
  <c r="KK20" i="4"/>
  <c r="KK19" i="4"/>
  <c r="KK18" i="4"/>
  <c r="KK17" i="4"/>
  <c r="KK16" i="4"/>
  <c r="KK15" i="4"/>
  <c r="KK14" i="4"/>
  <c r="KK13" i="4"/>
  <c r="KK12" i="4"/>
  <c r="KK11" i="4"/>
  <c r="KK4" i="4"/>
  <c r="KK7" i="4"/>
  <c r="KK10" i="4"/>
  <c r="KK5" i="4"/>
  <c r="KK8" i="4"/>
  <c r="KK2" i="4"/>
  <c r="KK9" i="4"/>
  <c r="KK3" i="4"/>
  <c r="KL1" i="4"/>
  <c r="KK6" i="4"/>
  <c r="JX56" i="4"/>
  <c r="KK44" i="4" l="1"/>
  <c r="KJ47" i="4" s="1"/>
  <c r="KG50" i="4" s="1"/>
  <c r="KK46" i="4"/>
  <c r="KJ49" i="4" s="1"/>
  <c r="KG52" i="4" s="1"/>
  <c r="KK45" i="4"/>
  <c r="KJ48" i="4" s="1"/>
  <c r="KG51" i="4" s="1"/>
  <c r="KL36" i="4"/>
  <c r="KL35" i="4"/>
  <c r="KL38" i="4"/>
  <c r="KL39" i="4"/>
  <c r="KL37" i="4"/>
  <c r="KL40" i="4"/>
  <c r="JY57" i="4"/>
  <c r="JX57" i="4"/>
  <c r="KF51" i="4"/>
  <c r="KL34" i="4"/>
  <c r="KL33" i="4"/>
  <c r="KL32" i="4"/>
  <c r="KL31" i="4"/>
  <c r="KL30" i="4"/>
  <c r="KL29" i="4"/>
  <c r="KL28" i="4"/>
  <c r="KL26" i="4"/>
  <c r="KL25" i="4"/>
  <c r="KL24" i="4"/>
  <c r="KL27" i="4"/>
  <c r="KL23" i="4"/>
  <c r="KL22" i="4"/>
  <c r="KL21" i="4"/>
  <c r="KL20" i="4"/>
  <c r="KL19" i="4"/>
  <c r="KL18" i="4"/>
  <c r="KL17" i="4"/>
  <c r="KL16" i="4"/>
  <c r="KL7" i="4"/>
  <c r="KL15" i="4"/>
  <c r="KL10" i="4"/>
  <c r="KL14" i="4"/>
  <c r="KL5" i="4"/>
  <c r="KL13" i="4"/>
  <c r="KL11" i="4"/>
  <c r="KL8" i="4"/>
  <c r="KL12" i="4"/>
  <c r="KL6" i="4"/>
  <c r="KL3" i="4"/>
  <c r="KL9" i="4"/>
  <c r="KL2" i="4"/>
  <c r="KM1" i="4"/>
  <c r="KL4" i="4"/>
  <c r="JZ58" i="4"/>
  <c r="JY58" i="4"/>
  <c r="KC53" i="4"/>
  <c r="KL45" i="4" l="1"/>
  <c r="KK48" i="4" s="1"/>
  <c r="KH51" i="4" s="1"/>
  <c r="KL46" i="4"/>
  <c r="KK49" i="4" s="1"/>
  <c r="KH52" i="4" s="1"/>
  <c r="KE55" i="4" s="1"/>
  <c r="KL44" i="4"/>
  <c r="KK47" i="4" s="1"/>
  <c r="KH50" i="4" s="1"/>
  <c r="KE53" i="4" s="1"/>
  <c r="KM36" i="4"/>
  <c r="KM35" i="4"/>
  <c r="KM38" i="4"/>
  <c r="KM37" i="4"/>
  <c r="KM39" i="4"/>
  <c r="KM40" i="4"/>
  <c r="KC54" i="4"/>
  <c r="KD54" i="4"/>
  <c r="KD53" i="4"/>
  <c r="KA56" i="4" s="1"/>
  <c r="KM34" i="4"/>
  <c r="KM33" i="4"/>
  <c r="KM32" i="4"/>
  <c r="KM31" i="4"/>
  <c r="KM30" i="4"/>
  <c r="KM29" i="4"/>
  <c r="KM28" i="4"/>
  <c r="KM26" i="4"/>
  <c r="KM25" i="4"/>
  <c r="KM24" i="4"/>
  <c r="KM27" i="4"/>
  <c r="KM23" i="4"/>
  <c r="KM20" i="4"/>
  <c r="KM19" i="4"/>
  <c r="KM18" i="4"/>
  <c r="KM17" i="4"/>
  <c r="KM16" i="4"/>
  <c r="KM21" i="4"/>
  <c r="KM22" i="4"/>
  <c r="KM11" i="4"/>
  <c r="KM15" i="4"/>
  <c r="KM14" i="4"/>
  <c r="KM13" i="4"/>
  <c r="KM12" i="4"/>
  <c r="KM10" i="4"/>
  <c r="KM5" i="4"/>
  <c r="KM8" i="4"/>
  <c r="KM6" i="4"/>
  <c r="KM3" i="4"/>
  <c r="KM9" i="4"/>
  <c r="KN1" i="4"/>
  <c r="KM7" i="4"/>
  <c r="KM4" i="4"/>
  <c r="KM2" i="4"/>
  <c r="JZ56" i="4"/>
  <c r="KD55" i="4"/>
  <c r="KM46" i="4" l="1"/>
  <c r="KL49" i="4" s="1"/>
  <c r="KI52" i="4" s="1"/>
  <c r="KF55" i="4" s="1"/>
  <c r="KC58" i="4" s="1"/>
  <c r="KM44" i="4"/>
  <c r="KL47" i="4" s="1"/>
  <c r="KI50" i="4" s="1"/>
  <c r="KM45" i="4"/>
  <c r="KL48" i="4" s="1"/>
  <c r="KI51" i="4" s="1"/>
  <c r="KN36" i="4"/>
  <c r="KN35" i="4"/>
  <c r="KN38" i="4"/>
  <c r="KN37" i="4"/>
  <c r="KN39" i="4"/>
  <c r="KN40" i="4"/>
  <c r="KA57" i="4"/>
  <c r="JZ57" i="4"/>
  <c r="KE54" i="4"/>
  <c r="KB57" i="4" s="1"/>
  <c r="KN34" i="4"/>
  <c r="KN33" i="4"/>
  <c r="KN46" i="4" s="1"/>
  <c r="KN32" i="4"/>
  <c r="KN31" i="4"/>
  <c r="KN30" i="4"/>
  <c r="KN29" i="4"/>
  <c r="KN28" i="4"/>
  <c r="KN27" i="4"/>
  <c r="KN23" i="4"/>
  <c r="KN22" i="4"/>
  <c r="KN21" i="4"/>
  <c r="KN20" i="4"/>
  <c r="KN19" i="4"/>
  <c r="KN18" i="4"/>
  <c r="KN17" i="4"/>
  <c r="KN16" i="4"/>
  <c r="KN26" i="4"/>
  <c r="KN25" i="4"/>
  <c r="KN24" i="4"/>
  <c r="KN11" i="4"/>
  <c r="KN15" i="4"/>
  <c r="KN14" i="4"/>
  <c r="KN13" i="4"/>
  <c r="KN12" i="4"/>
  <c r="KN5" i="4"/>
  <c r="KN8" i="4"/>
  <c r="KN6" i="4"/>
  <c r="KN3" i="4"/>
  <c r="KN9" i="4"/>
  <c r="KN4" i="4"/>
  <c r="KN7" i="4"/>
  <c r="KO1" i="4"/>
  <c r="KN10" i="4"/>
  <c r="KN2" i="4"/>
  <c r="KB58" i="4"/>
  <c r="KA58" i="4"/>
  <c r="KB56" i="4"/>
  <c r="KN45" i="4" l="1"/>
  <c r="KM48" i="4" s="1"/>
  <c r="KN44" i="4"/>
  <c r="KM47" i="4" s="1"/>
  <c r="KJ50" i="4" s="1"/>
  <c r="KO35" i="4"/>
  <c r="KO36" i="4"/>
  <c r="KO37" i="4"/>
  <c r="KO38" i="4"/>
  <c r="KO39" i="4"/>
  <c r="KO40" i="4"/>
  <c r="KF54" i="4"/>
  <c r="KM49" i="4"/>
  <c r="KJ52" i="4" s="1"/>
  <c r="KF53" i="4"/>
  <c r="KO34" i="4"/>
  <c r="KO33" i="4"/>
  <c r="KO32" i="4"/>
  <c r="KO31" i="4"/>
  <c r="KO27" i="4"/>
  <c r="KO30" i="4"/>
  <c r="KO29" i="4"/>
  <c r="KO28" i="4"/>
  <c r="KO26" i="4"/>
  <c r="KO25" i="4"/>
  <c r="KO24" i="4"/>
  <c r="KO23" i="4"/>
  <c r="KO22" i="4"/>
  <c r="KO21" i="4"/>
  <c r="KO20" i="4"/>
  <c r="KO11" i="4"/>
  <c r="KO19" i="4"/>
  <c r="KO18" i="4"/>
  <c r="KO17" i="4"/>
  <c r="KO16" i="4"/>
  <c r="KO15" i="4"/>
  <c r="KO14" i="4"/>
  <c r="KO13" i="4"/>
  <c r="KO12" i="4"/>
  <c r="KO8" i="4"/>
  <c r="KO6" i="4"/>
  <c r="KO3" i="4"/>
  <c r="KO9" i="4"/>
  <c r="KO4" i="4"/>
  <c r="KO7" i="4"/>
  <c r="KO10" i="4"/>
  <c r="KP1" i="4"/>
  <c r="KO5" i="4"/>
  <c r="KO2" i="4"/>
  <c r="KO46" i="4" l="1"/>
  <c r="KN49" i="4" s="1"/>
  <c r="KK52" i="4" s="1"/>
  <c r="KH55" i="4" s="1"/>
  <c r="KO45" i="4"/>
  <c r="KN48" i="4" s="1"/>
  <c r="KO44" i="4"/>
  <c r="KN47" i="4" s="1"/>
  <c r="KK50" i="4" s="1"/>
  <c r="KP35" i="4"/>
  <c r="KP37" i="4"/>
  <c r="KP36" i="4"/>
  <c r="KP38" i="4"/>
  <c r="KP39" i="4"/>
  <c r="KP40" i="4"/>
  <c r="KJ51" i="4"/>
  <c r="KC57" i="4"/>
  <c r="KG55" i="4"/>
  <c r="KG53" i="4"/>
  <c r="KD56" i="4" s="1"/>
  <c r="KC56" i="4"/>
  <c r="KP34" i="4"/>
  <c r="KP33" i="4"/>
  <c r="KP32" i="4"/>
  <c r="KP31" i="4"/>
  <c r="KP30" i="4"/>
  <c r="KP29" i="4"/>
  <c r="KP28" i="4"/>
  <c r="KP27" i="4"/>
  <c r="KP26" i="4"/>
  <c r="KP25" i="4"/>
  <c r="KP24" i="4"/>
  <c r="KP21" i="4"/>
  <c r="KP23" i="4"/>
  <c r="KP22" i="4"/>
  <c r="KP19" i="4"/>
  <c r="KP18" i="4"/>
  <c r="KP17" i="4"/>
  <c r="KP16" i="4"/>
  <c r="KP11" i="4"/>
  <c r="KP20" i="4"/>
  <c r="KP15" i="4"/>
  <c r="KP14" i="4"/>
  <c r="KP13" i="4"/>
  <c r="KP12" i="4"/>
  <c r="KP6" i="4"/>
  <c r="KP3" i="4"/>
  <c r="KP9" i="4"/>
  <c r="KP4" i="4"/>
  <c r="KP7" i="4"/>
  <c r="KP10" i="4"/>
  <c r="KP5" i="4"/>
  <c r="KQ1" i="4"/>
  <c r="KP2" i="4"/>
  <c r="KP8" i="4"/>
  <c r="KP45" i="4" l="1"/>
  <c r="KO48" i="4" s="1"/>
  <c r="KP46" i="4"/>
  <c r="KO49" i="4" s="1"/>
  <c r="KL52" i="4" s="1"/>
  <c r="KP44" i="4"/>
  <c r="KO47" i="4" s="1"/>
  <c r="KL50" i="4" s="1"/>
  <c r="KQ35" i="4"/>
  <c r="KQ37" i="4"/>
  <c r="KQ36" i="4"/>
  <c r="KQ38" i="4"/>
  <c r="KQ39" i="4"/>
  <c r="KQ40" i="4"/>
  <c r="KG54" i="4"/>
  <c r="KK51" i="4"/>
  <c r="KD58" i="4"/>
  <c r="KE58" i="4"/>
  <c r="KQ34" i="4"/>
  <c r="KQ33" i="4"/>
  <c r="KQ32" i="4"/>
  <c r="KQ31" i="4"/>
  <c r="KQ30" i="4"/>
  <c r="KQ29" i="4"/>
  <c r="KQ28" i="4"/>
  <c r="KQ27" i="4"/>
  <c r="KQ26" i="4"/>
  <c r="KQ25" i="4"/>
  <c r="KQ24" i="4"/>
  <c r="KQ23" i="4"/>
  <c r="KQ22" i="4"/>
  <c r="KQ21" i="4"/>
  <c r="KQ20" i="4"/>
  <c r="KQ19" i="4"/>
  <c r="KQ18" i="4"/>
  <c r="KQ17" i="4"/>
  <c r="KQ16" i="4"/>
  <c r="KQ15" i="4"/>
  <c r="KQ14" i="4"/>
  <c r="KQ13" i="4"/>
  <c r="KQ12" i="4"/>
  <c r="KQ6" i="4"/>
  <c r="KQ3" i="4"/>
  <c r="KQ9" i="4"/>
  <c r="KQ11" i="4"/>
  <c r="KQ4" i="4"/>
  <c r="KQ7" i="4"/>
  <c r="KQ10" i="4"/>
  <c r="KQ5" i="4"/>
  <c r="KQ8" i="4"/>
  <c r="KQ2" i="4"/>
  <c r="KR1" i="4"/>
  <c r="KH53" i="4"/>
  <c r="KQ44" i="4" l="1"/>
  <c r="KP47" i="4" s="1"/>
  <c r="KM50" i="4" s="1"/>
  <c r="KQ46" i="4"/>
  <c r="KP49" i="4" s="1"/>
  <c r="KM52" i="4" s="1"/>
  <c r="KJ55" i="4" s="1"/>
  <c r="KQ45" i="4"/>
  <c r="KP48" i="4" s="1"/>
  <c r="KM51" i="4" s="1"/>
  <c r="KR36" i="4"/>
  <c r="KR35" i="4"/>
  <c r="KR38" i="4"/>
  <c r="KR37" i="4"/>
  <c r="KR39" i="4"/>
  <c r="KR40" i="4"/>
  <c r="KD57" i="4"/>
  <c r="KH54" i="4"/>
  <c r="KL51" i="4"/>
  <c r="KE56" i="4"/>
  <c r="KR34" i="4"/>
  <c r="KR33" i="4"/>
  <c r="KR32" i="4"/>
  <c r="KR31" i="4"/>
  <c r="KR30" i="4"/>
  <c r="KR29" i="4"/>
  <c r="KR28" i="4"/>
  <c r="KR27" i="4"/>
  <c r="KR26" i="4"/>
  <c r="KR25" i="4"/>
  <c r="KR24" i="4"/>
  <c r="KR23" i="4"/>
  <c r="KR22" i="4"/>
  <c r="KR21" i="4"/>
  <c r="KR20" i="4"/>
  <c r="KR19" i="4"/>
  <c r="KR18" i="4"/>
  <c r="KR17" i="4"/>
  <c r="KR16" i="4"/>
  <c r="KR15" i="4"/>
  <c r="KR14" i="4"/>
  <c r="KR13" i="4"/>
  <c r="KR12" i="4"/>
  <c r="KR9" i="4"/>
  <c r="KR11" i="4"/>
  <c r="KR4" i="4"/>
  <c r="KR7" i="4"/>
  <c r="KR10" i="4"/>
  <c r="KR5" i="4"/>
  <c r="KR8" i="4"/>
  <c r="KR3" i="4"/>
  <c r="KR2" i="4"/>
  <c r="KR6" i="4"/>
  <c r="KS1" i="4"/>
  <c r="KI55" i="4"/>
  <c r="KI53" i="4"/>
  <c r="KF56" i="4" s="1"/>
  <c r="KR46" i="4" l="1"/>
  <c r="KQ49" i="4" s="1"/>
  <c r="KN52" i="4" s="1"/>
  <c r="KR45" i="4"/>
  <c r="KQ48" i="4" s="1"/>
  <c r="KN51" i="4" s="1"/>
  <c r="KR44" i="4"/>
  <c r="KQ47" i="4" s="1"/>
  <c r="KN50" i="4" s="1"/>
  <c r="KS36" i="4"/>
  <c r="KS35" i="4"/>
  <c r="KS38" i="4"/>
  <c r="KS37" i="4"/>
  <c r="KS40" i="4"/>
  <c r="KS39" i="4"/>
  <c r="KI54" i="4"/>
  <c r="KJ54" i="4"/>
  <c r="KE57" i="4"/>
  <c r="KS34" i="4"/>
  <c r="KS33" i="4"/>
  <c r="KS32" i="4"/>
  <c r="KS31" i="4"/>
  <c r="KS30" i="4"/>
  <c r="KS29" i="4"/>
  <c r="KS28" i="4"/>
  <c r="KS27" i="4"/>
  <c r="KS26" i="4"/>
  <c r="KS25" i="4"/>
  <c r="KS24" i="4"/>
  <c r="KS23" i="4"/>
  <c r="KS22" i="4"/>
  <c r="KS21" i="4"/>
  <c r="KS20" i="4"/>
  <c r="KS19" i="4"/>
  <c r="KS18" i="4"/>
  <c r="KS17" i="4"/>
  <c r="KS16" i="4"/>
  <c r="KS15" i="4"/>
  <c r="KS14" i="4"/>
  <c r="KS13" i="4"/>
  <c r="KS12" i="4"/>
  <c r="KS11" i="4"/>
  <c r="KS4" i="4"/>
  <c r="KS7" i="4"/>
  <c r="KS44" i="4" s="1"/>
  <c r="KS10" i="4"/>
  <c r="KS5" i="4"/>
  <c r="KS8" i="4"/>
  <c r="KS9" i="4"/>
  <c r="KS2" i="4"/>
  <c r="KS6" i="4"/>
  <c r="KT1" i="4"/>
  <c r="KS3" i="4"/>
  <c r="KG58" i="4"/>
  <c r="KF58" i="4"/>
  <c r="KJ53" i="4"/>
  <c r="KS46" i="4" l="1"/>
  <c r="KR49" i="4" s="1"/>
  <c r="KO52" i="4" s="1"/>
  <c r="KS45" i="4"/>
  <c r="KR48" i="4" s="1"/>
  <c r="KO51" i="4" s="1"/>
  <c r="KL54" i="4" s="1"/>
  <c r="KT36" i="4"/>
  <c r="KT35" i="4"/>
  <c r="KT38" i="4"/>
  <c r="KT37" i="4"/>
  <c r="KT39" i="4"/>
  <c r="KT40" i="4"/>
  <c r="KG57" i="4"/>
  <c r="KF57" i="4"/>
  <c r="KK54" i="4"/>
  <c r="KH57" i="4" s="1"/>
  <c r="KR47" i="4"/>
  <c r="KO50" i="4" s="1"/>
  <c r="KG56" i="4"/>
  <c r="KK55" i="4"/>
  <c r="KK53" i="4"/>
  <c r="KT34" i="4"/>
  <c r="KT33" i="4"/>
  <c r="KT32" i="4"/>
  <c r="KT31" i="4"/>
  <c r="KT30" i="4"/>
  <c r="KT29" i="4"/>
  <c r="KT28" i="4"/>
  <c r="KT27" i="4"/>
  <c r="KT26" i="4"/>
  <c r="KT25" i="4"/>
  <c r="KT24" i="4"/>
  <c r="KT23" i="4"/>
  <c r="KT22" i="4"/>
  <c r="KT21" i="4"/>
  <c r="KT20" i="4"/>
  <c r="KT45" i="4" s="1"/>
  <c r="KT19" i="4"/>
  <c r="KT18" i="4"/>
  <c r="KT17" i="4"/>
  <c r="KT16" i="4"/>
  <c r="KT15" i="4"/>
  <c r="KT11" i="4"/>
  <c r="KT7" i="4"/>
  <c r="KT14" i="4"/>
  <c r="KT10" i="4"/>
  <c r="KT13" i="4"/>
  <c r="KT5" i="4"/>
  <c r="KT12" i="4"/>
  <c r="KT8" i="4"/>
  <c r="KT6" i="4"/>
  <c r="KT3" i="4"/>
  <c r="KT9" i="4"/>
  <c r="KT4" i="4"/>
  <c r="KU1" i="4"/>
  <c r="KT2" i="4"/>
  <c r="KT46" i="4" l="1"/>
  <c r="KS49" i="4" s="1"/>
  <c r="KP52" i="4" s="1"/>
  <c r="KT44" i="4"/>
  <c r="KS47" i="4" s="1"/>
  <c r="KP50" i="4" s="1"/>
  <c r="KM53" i="4" s="1"/>
  <c r="KU36" i="4"/>
  <c r="KU38" i="4"/>
  <c r="KU35" i="4"/>
  <c r="KU39" i="4"/>
  <c r="KU37" i="4"/>
  <c r="KU40" i="4"/>
  <c r="KI57" i="4"/>
  <c r="KS48" i="4"/>
  <c r="KP51" i="4" s="1"/>
  <c r="KU34" i="4"/>
  <c r="KU33" i="4"/>
  <c r="KU32" i="4"/>
  <c r="KU31" i="4"/>
  <c r="KU30" i="4"/>
  <c r="KU29" i="4"/>
  <c r="KU28" i="4"/>
  <c r="KU26" i="4"/>
  <c r="KU25" i="4"/>
  <c r="KU24" i="4"/>
  <c r="KU23" i="4"/>
  <c r="KU27" i="4"/>
  <c r="KU21" i="4"/>
  <c r="KU19" i="4"/>
  <c r="KU18" i="4"/>
  <c r="KU17" i="4"/>
  <c r="KU16" i="4"/>
  <c r="KU22" i="4"/>
  <c r="KU20" i="4"/>
  <c r="KU11" i="4"/>
  <c r="KU15" i="4"/>
  <c r="KU14" i="4"/>
  <c r="KU13" i="4"/>
  <c r="KU12" i="4"/>
  <c r="KU10" i="4"/>
  <c r="KU5" i="4"/>
  <c r="KU8" i="4"/>
  <c r="KU6" i="4"/>
  <c r="KU3" i="4"/>
  <c r="KU9" i="4"/>
  <c r="KU4" i="4"/>
  <c r="KV1" i="4"/>
  <c r="KU2" i="4"/>
  <c r="KU7" i="4"/>
  <c r="KL53" i="4"/>
  <c r="KH58" i="4"/>
  <c r="KH56" i="4"/>
  <c r="KL55" i="4"/>
  <c r="KI58" i="4" s="1"/>
  <c r="KU45" i="4" l="1"/>
  <c r="KU44" i="4"/>
  <c r="KT47" i="4" s="1"/>
  <c r="KQ50" i="4" s="1"/>
  <c r="KU46" i="4"/>
  <c r="KT49" i="4" s="1"/>
  <c r="KQ52" i="4" s="1"/>
  <c r="KV36" i="4"/>
  <c r="KV38" i="4"/>
  <c r="KV39" i="4"/>
  <c r="KV35" i="4"/>
  <c r="KV37" i="4"/>
  <c r="KV40" i="4"/>
  <c r="KM54" i="4"/>
  <c r="KT48" i="4"/>
  <c r="KM55" i="4"/>
  <c r="KI56" i="4"/>
  <c r="KJ56" i="4"/>
  <c r="KV34" i="4"/>
  <c r="KV33" i="4"/>
  <c r="KV32" i="4"/>
  <c r="KV31" i="4"/>
  <c r="KV30" i="4"/>
  <c r="KV29" i="4"/>
  <c r="KV28" i="4"/>
  <c r="KV27" i="4"/>
  <c r="KV23" i="4"/>
  <c r="KV22" i="4"/>
  <c r="KV21" i="4"/>
  <c r="KV20" i="4"/>
  <c r="KV26" i="4"/>
  <c r="KV25" i="4"/>
  <c r="KV24" i="4"/>
  <c r="KV19" i="4"/>
  <c r="KV18" i="4"/>
  <c r="KV17" i="4"/>
  <c r="KV16" i="4"/>
  <c r="KV11" i="4"/>
  <c r="KV15" i="4"/>
  <c r="KV14" i="4"/>
  <c r="KV13" i="4"/>
  <c r="KV12" i="4"/>
  <c r="KV5" i="4"/>
  <c r="KV8" i="4"/>
  <c r="KV6" i="4"/>
  <c r="KV3" i="4"/>
  <c r="KV9" i="4"/>
  <c r="KV4" i="4"/>
  <c r="KV7" i="4"/>
  <c r="KW1" i="4"/>
  <c r="KV10" i="4"/>
  <c r="KV2" i="4"/>
  <c r="KV46" i="4" l="1"/>
  <c r="KU49" i="4" s="1"/>
  <c r="KR52" i="4" s="1"/>
  <c r="KV45" i="4"/>
  <c r="KU48" i="4" s="1"/>
  <c r="KR51" i="4" s="1"/>
  <c r="KV44" i="4"/>
  <c r="KU47" i="4" s="1"/>
  <c r="KR50" i="4" s="1"/>
  <c r="KO53" i="4" s="1"/>
  <c r="KW35" i="4"/>
  <c r="KW36" i="4"/>
  <c r="KW37" i="4"/>
  <c r="KW39" i="4"/>
  <c r="KW40" i="4"/>
  <c r="KW38" i="4"/>
  <c r="KJ57" i="4"/>
  <c r="KQ51" i="4"/>
  <c r="KW34" i="4"/>
  <c r="KW33" i="4"/>
  <c r="KW32" i="4"/>
  <c r="KW31" i="4"/>
  <c r="KW30" i="4"/>
  <c r="KW29" i="4"/>
  <c r="KW28" i="4"/>
  <c r="KW27" i="4"/>
  <c r="KW26" i="4"/>
  <c r="KW25" i="4"/>
  <c r="KW24" i="4"/>
  <c r="KW23" i="4"/>
  <c r="KW22" i="4"/>
  <c r="KW21" i="4"/>
  <c r="KW20" i="4"/>
  <c r="KW11" i="4"/>
  <c r="KW19" i="4"/>
  <c r="KW18" i="4"/>
  <c r="KW17" i="4"/>
  <c r="KW16" i="4"/>
  <c r="KW15" i="4"/>
  <c r="KW14" i="4"/>
  <c r="KW13" i="4"/>
  <c r="KW12" i="4"/>
  <c r="KW8" i="4"/>
  <c r="KW6" i="4"/>
  <c r="KW3" i="4"/>
  <c r="KW9" i="4"/>
  <c r="KW4" i="4"/>
  <c r="KW7" i="4"/>
  <c r="KW10" i="4"/>
  <c r="KX1" i="4"/>
  <c r="KW5" i="4"/>
  <c r="KW2" i="4"/>
  <c r="KJ58" i="4"/>
  <c r="KN53" i="4"/>
  <c r="KN55" i="4"/>
  <c r="KW46" i="4" l="1"/>
  <c r="KV49" i="4" s="1"/>
  <c r="KS52" i="4" s="1"/>
  <c r="KP55" i="4" s="1"/>
  <c r="KW44" i="4"/>
  <c r="KV47" i="4" s="1"/>
  <c r="KS50" i="4" s="1"/>
  <c r="KP53" i="4" s="1"/>
  <c r="KW45" i="4"/>
  <c r="KV48" i="4" s="1"/>
  <c r="KX35" i="4"/>
  <c r="KX36" i="4"/>
  <c r="KX37" i="4"/>
  <c r="KX39" i="4"/>
  <c r="KX40" i="4"/>
  <c r="KX38" i="4"/>
  <c r="KO54" i="4"/>
  <c r="KN54" i="4"/>
  <c r="KX34" i="4"/>
  <c r="KX33" i="4"/>
  <c r="KX32" i="4"/>
  <c r="KX31" i="4"/>
  <c r="KX30" i="4"/>
  <c r="KX29" i="4"/>
  <c r="KX28" i="4"/>
  <c r="KX27" i="4"/>
  <c r="KX26" i="4"/>
  <c r="KX25" i="4"/>
  <c r="KX24" i="4"/>
  <c r="KX23" i="4"/>
  <c r="KX22" i="4"/>
  <c r="KX20" i="4"/>
  <c r="KX19" i="4"/>
  <c r="KX18" i="4"/>
  <c r="KX17" i="4"/>
  <c r="KX16" i="4"/>
  <c r="KX11" i="4"/>
  <c r="KX15" i="4"/>
  <c r="KX14" i="4"/>
  <c r="KX13" i="4"/>
  <c r="KX12" i="4"/>
  <c r="KX21" i="4"/>
  <c r="KX6" i="4"/>
  <c r="KX3" i="4"/>
  <c r="KX9" i="4"/>
  <c r="KX4" i="4"/>
  <c r="KX7" i="4"/>
  <c r="KX10" i="4"/>
  <c r="KX2" i="4"/>
  <c r="KX8" i="4"/>
  <c r="KX5" i="4"/>
  <c r="KY1" i="4"/>
  <c r="KK58" i="4"/>
  <c r="KK56" i="4"/>
  <c r="KL56" i="4"/>
  <c r="KO55" i="4"/>
  <c r="KX46" i="4" l="1"/>
  <c r="KW49" i="4" s="1"/>
  <c r="KT52" i="4" s="1"/>
  <c r="KX45" i="4"/>
  <c r="KW48" i="4" s="1"/>
  <c r="KT51" i="4" s="1"/>
  <c r="KX44" i="4"/>
  <c r="KW47" i="4" s="1"/>
  <c r="KT50" i="4" s="1"/>
  <c r="KY35" i="4"/>
  <c r="KY36" i="4"/>
  <c r="KY37" i="4"/>
  <c r="KY38" i="4"/>
  <c r="KY40" i="4"/>
  <c r="KY39" i="4"/>
  <c r="KK57" i="4"/>
  <c r="KL57" i="4"/>
  <c r="KS51" i="4"/>
  <c r="KY34" i="4"/>
  <c r="KY33" i="4"/>
  <c r="KY32" i="4"/>
  <c r="KY31" i="4"/>
  <c r="KY30" i="4"/>
  <c r="KY29" i="4"/>
  <c r="KY28" i="4"/>
  <c r="KY27" i="4"/>
  <c r="KY26" i="4"/>
  <c r="KY25" i="4"/>
  <c r="KY24" i="4"/>
  <c r="KY23" i="4"/>
  <c r="KY22" i="4"/>
  <c r="KY21" i="4"/>
  <c r="KY20" i="4"/>
  <c r="KY19" i="4"/>
  <c r="KY18" i="4"/>
  <c r="KY17" i="4"/>
  <c r="KY16" i="4"/>
  <c r="KY15" i="4"/>
  <c r="KY14" i="4"/>
  <c r="KY13" i="4"/>
  <c r="KY12" i="4"/>
  <c r="KY6" i="4"/>
  <c r="KY3" i="4"/>
  <c r="KY9" i="4"/>
  <c r="KY4" i="4"/>
  <c r="KY7" i="4"/>
  <c r="KY10" i="4"/>
  <c r="KY5" i="4"/>
  <c r="KY8" i="4"/>
  <c r="KZ1" i="4"/>
  <c r="KY2" i="4"/>
  <c r="KY11" i="4"/>
  <c r="KL58" i="4"/>
  <c r="KM58" i="4"/>
  <c r="KM56" i="4"/>
  <c r="KY45" i="4" l="1"/>
  <c r="KX48" i="4" s="1"/>
  <c r="KY46" i="4"/>
  <c r="KX49" i="4" s="1"/>
  <c r="KU52" i="4" s="1"/>
  <c r="KR55" i="4" s="1"/>
  <c r="KY44" i="4"/>
  <c r="KX47" i="4" s="1"/>
  <c r="KU50" i="4" s="1"/>
  <c r="KR53" i="4" s="1"/>
  <c r="KZ36" i="4"/>
  <c r="KZ35" i="4"/>
  <c r="KZ38" i="4"/>
  <c r="KZ37" i="4"/>
  <c r="KZ39" i="4"/>
  <c r="KZ40" i="4"/>
  <c r="KP54" i="4"/>
  <c r="KQ54" i="4"/>
  <c r="KQ55" i="4"/>
  <c r="KZ34" i="4"/>
  <c r="KZ33" i="4"/>
  <c r="KZ32" i="4"/>
  <c r="KZ31" i="4"/>
  <c r="KZ30" i="4"/>
  <c r="KZ29" i="4"/>
  <c r="KZ28" i="4"/>
  <c r="KZ27" i="4"/>
  <c r="KZ26" i="4"/>
  <c r="KZ25" i="4"/>
  <c r="KZ24" i="4"/>
  <c r="KZ23" i="4"/>
  <c r="KZ22" i="4"/>
  <c r="KZ21" i="4"/>
  <c r="KZ20" i="4"/>
  <c r="KZ19" i="4"/>
  <c r="KZ18" i="4"/>
  <c r="KZ17" i="4"/>
  <c r="KZ16" i="4"/>
  <c r="KZ15" i="4"/>
  <c r="KZ14" i="4"/>
  <c r="KZ13" i="4"/>
  <c r="KZ12" i="4"/>
  <c r="KZ9" i="4"/>
  <c r="KZ4" i="4"/>
  <c r="KZ7" i="4"/>
  <c r="KZ10" i="4"/>
  <c r="KZ5" i="4"/>
  <c r="KZ8" i="4"/>
  <c r="KZ11" i="4"/>
  <c r="KZ3" i="4"/>
  <c r="KZ2" i="4"/>
  <c r="KZ6" i="4"/>
  <c r="LA1" i="4"/>
  <c r="KQ53" i="4"/>
  <c r="KZ45" i="4" l="1"/>
  <c r="KY48" i="4" s="1"/>
  <c r="KZ44" i="4"/>
  <c r="KY47" i="4" s="1"/>
  <c r="KV50" i="4" s="1"/>
  <c r="KZ46" i="4"/>
  <c r="KY49" i="4" s="1"/>
  <c r="KV52" i="4" s="1"/>
  <c r="KS55" i="4" s="1"/>
  <c r="KP58" i="4" s="1"/>
  <c r="LA36" i="4"/>
  <c r="LA35" i="4"/>
  <c r="LA38" i="4"/>
  <c r="LA37" i="4"/>
  <c r="LA39" i="4"/>
  <c r="LA40" i="4"/>
  <c r="KN57" i="4"/>
  <c r="KM57" i="4"/>
  <c r="KU51" i="4"/>
  <c r="KR54" i="4" s="1"/>
  <c r="KO57" i="4" s="1"/>
  <c r="KO58" i="4"/>
  <c r="KN58" i="4"/>
  <c r="KN56" i="4"/>
  <c r="KO56" i="4"/>
  <c r="LA33" i="4"/>
  <c r="LA32" i="4"/>
  <c r="LA31" i="4"/>
  <c r="LA30" i="4"/>
  <c r="LA29" i="4"/>
  <c r="LA28" i="4"/>
  <c r="LA27" i="4"/>
  <c r="LA26" i="4"/>
  <c r="LA25" i="4"/>
  <c r="LA24" i="4"/>
  <c r="LA34" i="4"/>
  <c r="LA23" i="4"/>
  <c r="LA22" i="4"/>
  <c r="LA21" i="4"/>
  <c r="LA20" i="4"/>
  <c r="LA19" i="4"/>
  <c r="LA18" i="4"/>
  <c r="LA17" i="4"/>
  <c r="LA16" i="4"/>
  <c r="LA15" i="4"/>
  <c r="LA14" i="4"/>
  <c r="LA13" i="4"/>
  <c r="LA12" i="4"/>
  <c r="LA11" i="4"/>
  <c r="LA4" i="4"/>
  <c r="LA7" i="4"/>
  <c r="LA10" i="4"/>
  <c r="LA5" i="4"/>
  <c r="LA8" i="4"/>
  <c r="LA2" i="4"/>
  <c r="LA9" i="4"/>
  <c r="LA6" i="4"/>
  <c r="LB1" i="4"/>
  <c r="LA3" i="4"/>
  <c r="LA44" i="4" l="1"/>
  <c r="KZ47" i="4" s="1"/>
  <c r="KW50" i="4" s="1"/>
  <c r="KT53" i="4" s="1"/>
  <c r="LA46" i="4"/>
  <c r="KZ49" i="4" s="1"/>
  <c r="KW52" i="4" s="1"/>
  <c r="KT55" i="4" s="1"/>
  <c r="LA45" i="4"/>
  <c r="KZ48" i="4" s="1"/>
  <c r="LB36" i="4"/>
  <c r="LB35" i="4"/>
  <c r="LB38" i="4"/>
  <c r="LB37" i="4"/>
  <c r="LB40" i="4"/>
  <c r="LB39" i="4"/>
  <c r="KV51" i="4"/>
  <c r="KS54" i="4" s="1"/>
  <c r="LB34" i="4"/>
  <c r="LB33" i="4"/>
  <c r="LB32" i="4"/>
  <c r="LB31" i="4"/>
  <c r="LB30" i="4"/>
  <c r="LB29" i="4"/>
  <c r="LB28" i="4"/>
  <c r="LB26" i="4"/>
  <c r="LB25" i="4"/>
  <c r="LB24" i="4"/>
  <c r="LB27" i="4"/>
  <c r="LB23" i="4"/>
  <c r="LB22" i="4"/>
  <c r="LB21" i="4"/>
  <c r="LB20" i="4"/>
  <c r="LB19" i="4"/>
  <c r="LB18" i="4"/>
  <c r="LB17" i="4"/>
  <c r="LB16" i="4"/>
  <c r="LB14" i="4"/>
  <c r="LB7" i="4"/>
  <c r="LB13" i="4"/>
  <c r="LB10" i="4"/>
  <c r="LB12" i="4"/>
  <c r="LB5" i="4"/>
  <c r="LB8" i="4"/>
  <c r="LB11" i="4"/>
  <c r="LB6" i="4"/>
  <c r="LB3" i="4"/>
  <c r="LB9" i="4"/>
  <c r="LB15" i="4"/>
  <c r="LB4" i="4"/>
  <c r="LB2" i="4"/>
  <c r="LC1" i="4"/>
  <c r="KS53" i="4"/>
  <c r="LB46" i="4" l="1"/>
  <c r="LA49" i="4" s="1"/>
  <c r="KX52" i="4" s="1"/>
  <c r="LB44" i="4"/>
  <c r="LA47" i="4" s="1"/>
  <c r="KX50" i="4" s="1"/>
  <c r="LB45" i="4"/>
  <c r="LA48" i="4" s="1"/>
  <c r="KX51" i="4" s="1"/>
  <c r="LC36" i="4"/>
  <c r="LC38" i="4"/>
  <c r="LC39" i="4"/>
  <c r="LC37" i="4"/>
  <c r="LC40" i="4"/>
  <c r="LC35" i="4"/>
  <c r="KP57" i="4"/>
  <c r="KW51" i="4"/>
  <c r="KQ56" i="4"/>
  <c r="KP56" i="4"/>
  <c r="LC34" i="4"/>
  <c r="LC33" i="4"/>
  <c r="LC32" i="4"/>
  <c r="LC31" i="4"/>
  <c r="LC30" i="4"/>
  <c r="LC29" i="4"/>
  <c r="LC28" i="4"/>
  <c r="LC26" i="4"/>
  <c r="LC25" i="4"/>
  <c r="LC24" i="4"/>
  <c r="LC27" i="4"/>
  <c r="LC23" i="4"/>
  <c r="LC22" i="4"/>
  <c r="LC19" i="4"/>
  <c r="LC18" i="4"/>
  <c r="LC17" i="4"/>
  <c r="LC16" i="4"/>
  <c r="LC20" i="4"/>
  <c r="LC21" i="4"/>
  <c r="LC11" i="4"/>
  <c r="LC15" i="4"/>
  <c r="LC14" i="4"/>
  <c r="LC13" i="4"/>
  <c r="LC12" i="4"/>
  <c r="LC10" i="4"/>
  <c r="LC5" i="4"/>
  <c r="LC8" i="4"/>
  <c r="LC6" i="4"/>
  <c r="LC3" i="4"/>
  <c r="LC9" i="4"/>
  <c r="LC4" i="4"/>
  <c r="LD1" i="4"/>
  <c r="LC7" i="4"/>
  <c r="LC2" i="4"/>
  <c r="KQ58" i="4"/>
  <c r="LC45" i="4" l="1"/>
  <c r="LB48" i="4" s="1"/>
  <c r="LC46" i="4"/>
  <c r="LB49" i="4" s="1"/>
  <c r="KY52" i="4" s="1"/>
  <c r="KV55" i="4" s="1"/>
  <c r="LC44" i="4"/>
  <c r="LB47" i="4" s="1"/>
  <c r="KY50" i="4" s="1"/>
  <c r="LD36" i="4"/>
  <c r="LD38" i="4"/>
  <c r="LD35" i="4"/>
  <c r="LD39" i="4"/>
  <c r="LD37" i="4"/>
  <c r="LD40" i="4"/>
  <c r="KU54" i="4"/>
  <c r="KT54" i="4"/>
  <c r="KU53" i="4"/>
  <c r="LD34" i="4"/>
  <c r="LD33" i="4"/>
  <c r="LD32" i="4"/>
  <c r="LD31" i="4"/>
  <c r="LD30" i="4"/>
  <c r="LD29" i="4"/>
  <c r="LD28" i="4"/>
  <c r="LD27" i="4"/>
  <c r="LD23" i="4"/>
  <c r="LD22" i="4"/>
  <c r="LD21" i="4"/>
  <c r="LD20" i="4"/>
  <c r="LD26" i="4"/>
  <c r="LD25" i="4"/>
  <c r="LD24" i="4"/>
  <c r="LD19" i="4"/>
  <c r="LD18" i="4"/>
  <c r="LD17" i="4"/>
  <c r="LD16" i="4"/>
  <c r="LD11" i="4"/>
  <c r="LD15" i="4"/>
  <c r="LD14" i="4"/>
  <c r="LD13" i="4"/>
  <c r="LD12" i="4"/>
  <c r="LD5" i="4"/>
  <c r="LD8" i="4"/>
  <c r="LD6" i="4"/>
  <c r="LD3" i="4"/>
  <c r="LD9" i="4"/>
  <c r="LD4" i="4"/>
  <c r="LD7" i="4"/>
  <c r="LD10" i="4"/>
  <c r="LE1" i="4"/>
  <c r="LD2" i="4"/>
  <c r="KU55" i="4"/>
  <c r="LD44" i="4" l="1"/>
  <c r="LC47" i="4" s="1"/>
  <c r="KZ50" i="4" s="1"/>
  <c r="LD45" i="4"/>
  <c r="LC48" i="4" s="1"/>
  <c r="KZ51" i="4" s="1"/>
  <c r="LD46" i="4"/>
  <c r="LC49" i="4" s="1"/>
  <c r="KZ52" i="4" s="1"/>
  <c r="LE35" i="4"/>
  <c r="LE36" i="4"/>
  <c r="LE37" i="4"/>
  <c r="LE39" i="4"/>
  <c r="LE40" i="4"/>
  <c r="LE38" i="4"/>
  <c r="KQ57" i="4"/>
  <c r="KR57" i="4"/>
  <c r="KY51" i="4"/>
  <c r="KR56" i="4"/>
  <c r="KV53" i="4"/>
  <c r="KS56" i="4" s="1"/>
  <c r="KR58" i="4"/>
  <c r="KS58" i="4"/>
  <c r="LE34" i="4"/>
  <c r="LE33" i="4"/>
  <c r="LE32" i="4"/>
  <c r="LE31" i="4"/>
  <c r="LE27" i="4"/>
  <c r="LE30" i="4"/>
  <c r="LE29" i="4"/>
  <c r="LE28" i="4"/>
  <c r="LE26" i="4"/>
  <c r="LE25" i="4"/>
  <c r="LE24" i="4"/>
  <c r="LE23" i="4"/>
  <c r="LE22" i="4"/>
  <c r="LE21" i="4"/>
  <c r="LE20" i="4"/>
  <c r="LE11" i="4"/>
  <c r="LE19" i="4"/>
  <c r="LE18" i="4"/>
  <c r="LE17" i="4"/>
  <c r="LE16" i="4"/>
  <c r="LE15" i="4"/>
  <c r="LE14" i="4"/>
  <c r="LE13" i="4"/>
  <c r="LE12" i="4"/>
  <c r="LE8" i="4"/>
  <c r="LE6" i="4"/>
  <c r="LE3" i="4"/>
  <c r="LE9" i="4"/>
  <c r="LE4" i="4"/>
  <c r="LE7" i="4"/>
  <c r="LE44" i="4" s="1"/>
  <c r="LE10" i="4"/>
  <c r="LF1" i="4"/>
  <c r="LE2" i="4"/>
  <c r="LE5" i="4"/>
  <c r="LE46" i="4" l="1"/>
  <c r="LD49" i="4" s="1"/>
  <c r="LA52" i="4" s="1"/>
  <c r="KX55" i="4" s="1"/>
  <c r="LE45" i="4"/>
  <c r="LD48" i="4" s="1"/>
  <c r="LF35" i="4"/>
  <c r="LF37" i="4"/>
  <c r="LF36" i="4"/>
  <c r="LF38" i="4"/>
  <c r="LF39" i="4"/>
  <c r="LF40" i="4"/>
  <c r="LD47" i="4"/>
  <c r="LA50" i="4" s="1"/>
  <c r="KX53" i="4" s="1"/>
  <c r="KW54" i="4"/>
  <c r="KV54" i="4"/>
  <c r="KW55" i="4"/>
  <c r="LF34" i="4"/>
  <c r="LF33" i="4"/>
  <c r="LF32" i="4"/>
  <c r="LF31" i="4"/>
  <c r="LF30" i="4"/>
  <c r="LF29" i="4"/>
  <c r="LF28" i="4"/>
  <c r="LF27" i="4"/>
  <c r="LF26" i="4"/>
  <c r="LF25" i="4"/>
  <c r="LF24" i="4"/>
  <c r="LF23" i="4"/>
  <c r="LF20" i="4"/>
  <c r="LF21" i="4"/>
  <c r="LF19" i="4"/>
  <c r="LF18" i="4"/>
  <c r="LF17" i="4"/>
  <c r="LF16" i="4"/>
  <c r="LF11" i="4"/>
  <c r="LF22" i="4"/>
  <c r="LF15" i="4"/>
  <c r="LF14" i="4"/>
  <c r="LF13" i="4"/>
  <c r="LF12" i="4"/>
  <c r="LF6" i="4"/>
  <c r="LF3" i="4"/>
  <c r="LF9" i="4"/>
  <c r="LF4" i="4"/>
  <c r="LF7" i="4"/>
  <c r="LF10" i="4"/>
  <c r="LG1" i="4"/>
  <c r="LF2" i="4"/>
  <c r="LF8" i="4"/>
  <c r="LF5" i="4"/>
  <c r="KW53" i="4"/>
  <c r="LF46" i="4" l="1"/>
  <c r="LE49" i="4" s="1"/>
  <c r="LB52" i="4" s="1"/>
  <c r="KY55" i="4" s="1"/>
  <c r="KV58" i="4" s="1"/>
  <c r="LF44" i="4"/>
  <c r="LE47" i="4" s="1"/>
  <c r="LB50" i="4" s="1"/>
  <c r="KY53" i="4" s="1"/>
  <c r="KV56" i="4" s="1"/>
  <c r="LF45" i="4"/>
  <c r="LE48" i="4" s="1"/>
  <c r="LB51" i="4" s="1"/>
  <c r="LG35" i="4"/>
  <c r="LG37" i="4"/>
  <c r="LG36" i="4"/>
  <c r="LG38" i="4"/>
  <c r="LG40" i="4"/>
  <c r="LG39" i="4"/>
  <c r="KT57" i="4"/>
  <c r="KS57" i="4"/>
  <c r="LA51" i="4"/>
  <c r="KT58" i="4"/>
  <c r="KU58" i="4"/>
  <c r="KT56" i="4"/>
  <c r="LG34" i="4"/>
  <c r="LG33" i="4"/>
  <c r="LG32" i="4"/>
  <c r="LG31" i="4"/>
  <c r="LG30" i="4"/>
  <c r="LG29" i="4"/>
  <c r="LG28" i="4"/>
  <c r="LG27" i="4"/>
  <c r="LG26" i="4"/>
  <c r="LG25" i="4"/>
  <c r="LG24" i="4"/>
  <c r="LG23" i="4"/>
  <c r="LG22" i="4"/>
  <c r="LG21" i="4"/>
  <c r="LG20" i="4"/>
  <c r="LG19" i="4"/>
  <c r="LG18" i="4"/>
  <c r="LG17" i="4"/>
  <c r="LG16" i="4"/>
  <c r="LG15" i="4"/>
  <c r="LG14" i="4"/>
  <c r="LG13" i="4"/>
  <c r="LG12" i="4"/>
  <c r="LG6" i="4"/>
  <c r="LG3" i="4"/>
  <c r="LG9" i="4"/>
  <c r="LG4" i="4"/>
  <c r="LG7" i="4"/>
  <c r="LG11" i="4"/>
  <c r="LG10" i="4"/>
  <c r="LG5" i="4"/>
  <c r="LG8" i="4"/>
  <c r="LG2" i="4"/>
  <c r="LH1" i="4"/>
  <c r="KU56" i="4"/>
  <c r="LG44" i="4" l="1"/>
  <c r="LF47" i="4" s="1"/>
  <c r="LC50" i="4" s="1"/>
  <c r="LG45" i="4"/>
  <c r="LF48" i="4" s="1"/>
  <c r="LG46" i="4"/>
  <c r="LF49" i="4" s="1"/>
  <c r="LC52" i="4" s="1"/>
  <c r="LH36" i="4"/>
  <c r="LH35" i="4"/>
  <c r="LH38" i="4"/>
  <c r="LH37" i="4"/>
  <c r="LH39" i="4"/>
  <c r="LH40" i="4"/>
  <c r="KY54" i="4"/>
  <c r="KX54" i="4"/>
  <c r="KU57" i="4" s="1"/>
  <c r="LH34" i="4"/>
  <c r="LH33" i="4"/>
  <c r="LH32" i="4"/>
  <c r="LH31" i="4"/>
  <c r="LH30" i="4"/>
  <c r="LH29" i="4"/>
  <c r="LH28" i="4"/>
  <c r="LH27" i="4"/>
  <c r="LH26" i="4"/>
  <c r="LH25" i="4"/>
  <c r="LH24" i="4"/>
  <c r="LH23" i="4"/>
  <c r="LH22" i="4"/>
  <c r="LH21" i="4"/>
  <c r="LH20" i="4"/>
  <c r="LH19" i="4"/>
  <c r="LH18" i="4"/>
  <c r="LH17" i="4"/>
  <c r="LH16" i="4"/>
  <c r="LH15" i="4"/>
  <c r="LH14" i="4"/>
  <c r="LH13" i="4"/>
  <c r="LH12" i="4"/>
  <c r="LH9" i="4"/>
  <c r="LH4" i="4"/>
  <c r="LH7" i="4"/>
  <c r="LH11" i="4"/>
  <c r="LH10" i="4"/>
  <c r="LH5" i="4"/>
  <c r="LH8" i="4"/>
  <c r="LH6" i="4"/>
  <c r="LH2" i="4"/>
  <c r="LH3" i="4"/>
  <c r="LI1" i="4"/>
  <c r="LH44" i="4" l="1"/>
  <c r="LG47" i="4" s="1"/>
  <c r="LD50" i="4" s="1"/>
  <c r="LA53" i="4" s="1"/>
  <c r="LH46" i="4"/>
  <c r="LG49" i="4" s="1"/>
  <c r="LD52" i="4" s="1"/>
  <c r="LA55" i="4" s="1"/>
  <c r="LH45" i="4"/>
  <c r="LG48" i="4" s="1"/>
  <c r="LD51" i="4" s="1"/>
  <c r="LI36" i="4"/>
  <c r="LI35" i="4"/>
  <c r="LI38" i="4"/>
  <c r="LI37" i="4"/>
  <c r="LI39" i="4"/>
  <c r="LI40" i="4"/>
  <c r="KV57" i="4"/>
  <c r="LC51" i="4"/>
  <c r="LI32" i="4"/>
  <c r="LI31" i="4"/>
  <c r="LI30" i="4"/>
  <c r="LI29" i="4"/>
  <c r="LI28" i="4"/>
  <c r="LI27" i="4"/>
  <c r="LI34" i="4"/>
  <c r="LI26" i="4"/>
  <c r="LI25" i="4"/>
  <c r="LI24" i="4"/>
  <c r="LI23" i="4"/>
  <c r="LI22" i="4"/>
  <c r="LI21" i="4"/>
  <c r="LI20" i="4"/>
  <c r="LI19" i="4"/>
  <c r="LI18" i="4"/>
  <c r="LI17" i="4"/>
  <c r="LI16" i="4"/>
  <c r="LI33" i="4"/>
  <c r="LI15" i="4"/>
  <c r="LI14" i="4"/>
  <c r="LI13" i="4"/>
  <c r="LI12" i="4"/>
  <c r="LI11" i="4"/>
  <c r="LI4" i="4"/>
  <c r="LI7" i="4"/>
  <c r="LI10" i="4"/>
  <c r="LI5" i="4"/>
  <c r="LI8" i="4"/>
  <c r="LI6" i="4"/>
  <c r="LI2" i="4"/>
  <c r="LI3" i="4"/>
  <c r="LJ1" i="4"/>
  <c r="LI9" i="4"/>
  <c r="KZ53" i="4"/>
  <c r="KZ55" i="4"/>
  <c r="LI44" i="4" l="1"/>
  <c r="LH47" i="4" s="1"/>
  <c r="LE50" i="4" s="1"/>
  <c r="LI46" i="4"/>
  <c r="LH49" i="4" s="1"/>
  <c r="LE52" i="4" s="1"/>
  <c r="LI45" i="4"/>
  <c r="LH48" i="4" s="1"/>
  <c r="LE51" i="4" s="1"/>
  <c r="LB54" i="4" s="1"/>
  <c r="LJ36" i="4"/>
  <c r="LJ35" i="4"/>
  <c r="LJ38" i="4"/>
  <c r="LJ37" i="4"/>
  <c r="LJ39" i="4"/>
  <c r="LJ40" i="4"/>
  <c r="KZ54" i="4"/>
  <c r="LA54" i="4"/>
  <c r="LJ34" i="4"/>
  <c r="LJ33" i="4"/>
  <c r="LJ32" i="4"/>
  <c r="LJ31" i="4"/>
  <c r="LJ30" i="4"/>
  <c r="LJ29" i="4"/>
  <c r="LJ28" i="4"/>
  <c r="LJ27" i="4"/>
  <c r="LJ26" i="4"/>
  <c r="LJ25" i="4"/>
  <c r="LJ24" i="4"/>
  <c r="LJ23" i="4"/>
  <c r="LJ22" i="4"/>
  <c r="LJ21" i="4"/>
  <c r="LJ20" i="4"/>
  <c r="LJ18" i="4"/>
  <c r="LJ17" i="4"/>
  <c r="LJ16" i="4"/>
  <c r="LJ19" i="4"/>
  <c r="LJ13" i="4"/>
  <c r="LJ7" i="4"/>
  <c r="LJ12" i="4"/>
  <c r="LJ10" i="4"/>
  <c r="LJ11" i="4"/>
  <c r="LJ5" i="4"/>
  <c r="LJ8" i="4"/>
  <c r="LJ6" i="4"/>
  <c r="LJ3" i="4"/>
  <c r="LJ15" i="4"/>
  <c r="LJ9" i="4"/>
  <c r="LJ14" i="4"/>
  <c r="LJ2" i="4"/>
  <c r="LK1" i="4"/>
  <c r="LJ4" i="4"/>
  <c r="KX58" i="4"/>
  <c r="KW58" i="4"/>
  <c r="KW56" i="4"/>
  <c r="KX56" i="4"/>
  <c r="LJ46" i="4" l="1"/>
  <c r="LI49" i="4" s="1"/>
  <c r="LF52" i="4" s="1"/>
  <c r="LJ45" i="4"/>
  <c r="LI48" i="4" s="1"/>
  <c r="LJ44" i="4"/>
  <c r="LI47" i="4" s="1"/>
  <c r="LF50" i="4" s="1"/>
  <c r="LC53" i="4" s="1"/>
  <c r="LK36" i="4"/>
  <c r="LK35" i="4"/>
  <c r="LK38" i="4"/>
  <c r="LK39" i="4"/>
  <c r="LK37" i="4"/>
  <c r="LK40" i="4"/>
  <c r="KY57" i="4"/>
  <c r="KW57" i="4"/>
  <c r="KX57" i="4"/>
  <c r="LB55" i="4"/>
  <c r="LB53" i="4"/>
  <c r="LK34" i="4"/>
  <c r="LK33" i="4"/>
  <c r="LK32" i="4"/>
  <c r="LK31" i="4"/>
  <c r="LK30" i="4"/>
  <c r="LK29" i="4"/>
  <c r="LK28" i="4"/>
  <c r="LK26" i="4"/>
  <c r="LK25" i="4"/>
  <c r="LK24" i="4"/>
  <c r="LK27" i="4"/>
  <c r="LK23" i="4"/>
  <c r="LK18" i="4"/>
  <c r="LK17" i="4"/>
  <c r="LK16" i="4"/>
  <c r="LK20" i="4"/>
  <c r="LK19" i="4"/>
  <c r="LK21" i="4"/>
  <c r="LK22" i="4"/>
  <c r="LK11" i="4"/>
  <c r="LK15" i="4"/>
  <c r="LK14" i="4"/>
  <c r="LK13" i="4"/>
  <c r="LK12" i="4"/>
  <c r="LK10" i="4"/>
  <c r="LK5" i="4"/>
  <c r="LK8" i="4"/>
  <c r="LK6" i="4"/>
  <c r="LK3" i="4"/>
  <c r="LK9" i="4"/>
  <c r="LK7" i="4"/>
  <c r="LL1" i="4"/>
  <c r="LK2" i="4"/>
  <c r="LK4" i="4"/>
  <c r="LK45" i="4" l="1"/>
  <c r="LJ48" i="4" s="1"/>
  <c r="LK46" i="4"/>
  <c r="LJ49" i="4" s="1"/>
  <c r="LG52" i="4" s="1"/>
  <c r="LK44" i="4"/>
  <c r="LJ47" i="4" s="1"/>
  <c r="LG50" i="4" s="1"/>
  <c r="LL36" i="4"/>
  <c r="LL35" i="4"/>
  <c r="LL38" i="4"/>
  <c r="LL39" i="4"/>
  <c r="LL37" i="4"/>
  <c r="LL40" i="4"/>
  <c r="LF51" i="4"/>
  <c r="KY56" i="4"/>
  <c r="KZ56" i="4"/>
  <c r="KY58" i="4"/>
  <c r="LL34" i="4"/>
  <c r="LL33" i="4"/>
  <c r="LL32" i="4"/>
  <c r="LL31" i="4"/>
  <c r="LL30" i="4"/>
  <c r="LL29" i="4"/>
  <c r="LL28" i="4"/>
  <c r="LL27" i="4"/>
  <c r="LL23" i="4"/>
  <c r="LL22" i="4"/>
  <c r="LL21" i="4"/>
  <c r="LL20" i="4"/>
  <c r="LL26" i="4"/>
  <c r="LL25" i="4"/>
  <c r="LL24" i="4"/>
  <c r="LL18" i="4"/>
  <c r="LL17" i="4"/>
  <c r="LL16" i="4"/>
  <c r="LL19" i="4"/>
  <c r="LL11" i="4"/>
  <c r="LL15" i="4"/>
  <c r="LL14" i="4"/>
  <c r="LL13" i="4"/>
  <c r="LL12" i="4"/>
  <c r="LL5" i="4"/>
  <c r="LL8" i="4"/>
  <c r="LL6" i="4"/>
  <c r="LL3" i="4"/>
  <c r="LL9" i="4"/>
  <c r="LL4" i="4"/>
  <c r="LL7" i="4"/>
  <c r="LL10" i="4"/>
  <c r="LM1" i="4"/>
  <c r="LL2" i="4"/>
  <c r="LC55" i="4"/>
  <c r="LL45" i="4" l="1"/>
  <c r="LK48" i="4" s="1"/>
  <c r="LH51" i="4" s="1"/>
  <c r="LL46" i="4"/>
  <c r="LK49" i="4" s="1"/>
  <c r="LH52" i="4" s="1"/>
  <c r="LE55" i="4" s="1"/>
  <c r="LL44" i="4"/>
  <c r="LK47" i="4" s="1"/>
  <c r="LH50" i="4" s="1"/>
  <c r="LE53" i="4" s="1"/>
  <c r="LM35" i="4"/>
  <c r="LM36" i="4"/>
  <c r="LM37" i="4"/>
  <c r="LM38" i="4"/>
  <c r="LM39" i="4"/>
  <c r="LM40" i="4"/>
  <c r="LC54" i="4"/>
  <c r="LG51" i="4"/>
  <c r="LD54" i="4" s="1"/>
  <c r="LD53" i="4"/>
  <c r="LM34" i="4"/>
  <c r="LM33" i="4"/>
  <c r="LM32" i="4"/>
  <c r="LM31" i="4"/>
  <c r="LM30" i="4"/>
  <c r="LM29" i="4"/>
  <c r="LM28" i="4"/>
  <c r="LM27" i="4"/>
  <c r="LM26" i="4"/>
  <c r="LM25" i="4"/>
  <c r="LM24" i="4"/>
  <c r="LM23" i="4"/>
  <c r="LM22" i="4"/>
  <c r="LM21" i="4"/>
  <c r="LM20" i="4"/>
  <c r="LM19" i="4"/>
  <c r="LM18" i="4"/>
  <c r="LM17" i="4"/>
  <c r="LM16" i="4"/>
  <c r="LM11" i="4"/>
  <c r="LM15" i="4"/>
  <c r="LM14" i="4"/>
  <c r="LM13" i="4"/>
  <c r="LM12" i="4"/>
  <c r="LM8" i="4"/>
  <c r="LM6" i="4"/>
  <c r="LM3" i="4"/>
  <c r="LM9" i="4"/>
  <c r="LM4" i="4"/>
  <c r="LM7" i="4"/>
  <c r="LM10" i="4"/>
  <c r="LN1" i="4"/>
  <c r="LM5" i="4"/>
  <c r="LM2" i="4"/>
  <c r="KZ58" i="4"/>
  <c r="LD55" i="4"/>
  <c r="LM46" i="4" l="1"/>
  <c r="LL49" i="4" s="1"/>
  <c r="LI52" i="4" s="1"/>
  <c r="LM45" i="4"/>
  <c r="LL48" i="4" s="1"/>
  <c r="LM44" i="4"/>
  <c r="LL47" i="4" s="1"/>
  <c r="LI50" i="4" s="1"/>
  <c r="LN35" i="4"/>
  <c r="LN37" i="4"/>
  <c r="LN36" i="4"/>
  <c r="LN38" i="4"/>
  <c r="LN39" i="4"/>
  <c r="LN40" i="4"/>
  <c r="LE54" i="4"/>
  <c r="LB57" i="4" s="1"/>
  <c r="LA57" i="4"/>
  <c r="KZ57" i="4"/>
  <c r="LN34" i="4"/>
  <c r="LN33" i="4"/>
  <c r="LN32" i="4"/>
  <c r="LN31" i="4"/>
  <c r="LN30" i="4"/>
  <c r="LN29" i="4"/>
  <c r="LN28" i="4"/>
  <c r="LN27" i="4"/>
  <c r="LN26" i="4"/>
  <c r="LN25" i="4"/>
  <c r="LN24" i="4"/>
  <c r="LN20" i="4"/>
  <c r="LN21" i="4"/>
  <c r="LN22" i="4"/>
  <c r="LN18" i="4"/>
  <c r="LN17" i="4"/>
  <c r="LN16" i="4"/>
  <c r="LN11" i="4"/>
  <c r="LN23" i="4"/>
  <c r="LN19" i="4"/>
  <c r="LN15" i="4"/>
  <c r="LN14" i="4"/>
  <c r="LN13" i="4"/>
  <c r="LN12" i="4"/>
  <c r="LN6" i="4"/>
  <c r="LN3" i="4"/>
  <c r="LN9" i="4"/>
  <c r="LN4" i="4"/>
  <c r="LN7" i="4"/>
  <c r="LN10" i="4"/>
  <c r="LN5" i="4"/>
  <c r="LN8" i="4"/>
  <c r="LN2" i="4"/>
  <c r="LO1" i="4"/>
  <c r="LB58" i="4"/>
  <c r="LA58" i="4"/>
  <c r="LB56" i="4"/>
  <c r="LA56" i="4"/>
  <c r="LN46" i="4" l="1"/>
  <c r="LM49" i="4" s="1"/>
  <c r="LJ52" i="4" s="1"/>
  <c r="LN44" i="4"/>
  <c r="LM47" i="4" s="1"/>
  <c r="LJ50" i="4" s="1"/>
  <c r="LG53" i="4" s="1"/>
  <c r="LN45" i="4"/>
  <c r="LM48" i="4" s="1"/>
  <c r="LJ51" i="4" s="1"/>
  <c r="LO35" i="4"/>
  <c r="LO37" i="4"/>
  <c r="LO39" i="4"/>
  <c r="LO40" i="4"/>
  <c r="LO36" i="4"/>
  <c r="LO38" i="4"/>
  <c r="LI51" i="4"/>
  <c r="LF55" i="4"/>
  <c r="LO34" i="4"/>
  <c r="LO33" i="4"/>
  <c r="LO46" i="4" s="1"/>
  <c r="LO32" i="4"/>
  <c r="LO31" i="4"/>
  <c r="LO30" i="4"/>
  <c r="LO29" i="4"/>
  <c r="LO28" i="4"/>
  <c r="LO27" i="4"/>
  <c r="LO26" i="4"/>
  <c r="LO25" i="4"/>
  <c r="LO24" i="4"/>
  <c r="LO23" i="4"/>
  <c r="LO22" i="4"/>
  <c r="LO21" i="4"/>
  <c r="LO20" i="4"/>
  <c r="LO18" i="4"/>
  <c r="LO17" i="4"/>
  <c r="LO16" i="4"/>
  <c r="LO19" i="4"/>
  <c r="LO15" i="4"/>
  <c r="LO14" i="4"/>
  <c r="LO13" i="4"/>
  <c r="LO12" i="4"/>
  <c r="LO6" i="4"/>
  <c r="LO3" i="4"/>
  <c r="LO11" i="4"/>
  <c r="LO9" i="4"/>
  <c r="LO4" i="4"/>
  <c r="LO7" i="4"/>
  <c r="LO10" i="4"/>
  <c r="LO5" i="4"/>
  <c r="LO8" i="4"/>
  <c r="LO2" i="4"/>
  <c r="LP1" i="4"/>
  <c r="LF53" i="4"/>
  <c r="LO44" i="4" l="1"/>
  <c r="LN47" i="4" s="1"/>
  <c r="LK50" i="4" s="1"/>
  <c r="LO45" i="4"/>
  <c r="LN48" i="4" s="1"/>
  <c r="LK51" i="4" s="1"/>
  <c r="LH54" i="4" s="1"/>
  <c r="LP36" i="4"/>
  <c r="LP35" i="4"/>
  <c r="LP38" i="4"/>
  <c r="LP37" i="4"/>
  <c r="LP39" i="4"/>
  <c r="LP40" i="4"/>
  <c r="LG54" i="4"/>
  <c r="LF54" i="4"/>
  <c r="LN49" i="4"/>
  <c r="LK52" i="4" s="1"/>
  <c r="LH55" i="4" s="1"/>
  <c r="LC56" i="4"/>
  <c r="LD56" i="4"/>
  <c r="LC58" i="4"/>
  <c r="LP34" i="4"/>
  <c r="LP33" i="4"/>
  <c r="LP46" i="4" s="1"/>
  <c r="LP32" i="4"/>
  <c r="LP31" i="4"/>
  <c r="LP30" i="4"/>
  <c r="LP29" i="4"/>
  <c r="LP28" i="4"/>
  <c r="LP27" i="4"/>
  <c r="LP26" i="4"/>
  <c r="LP25" i="4"/>
  <c r="LP24" i="4"/>
  <c r="LP23" i="4"/>
  <c r="LP22" i="4"/>
  <c r="LP21" i="4"/>
  <c r="LP20" i="4"/>
  <c r="LP18" i="4"/>
  <c r="LP17" i="4"/>
  <c r="LP16" i="4"/>
  <c r="LP19" i="4"/>
  <c r="LP15" i="4"/>
  <c r="LP14" i="4"/>
  <c r="LP13" i="4"/>
  <c r="LP12" i="4"/>
  <c r="LP11" i="4"/>
  <c r="LP9" i="4"/>
  <c r="LP4" i="4"/>
  <c r="LP7" i="4"/>
  <c r="LP10" i="4"/>
  <c r="LP5" i="4"/>
  <c r="LP8" i="4"/>
  <c r="LP2" i="4"/>
  <c r="LP3" i="4"/>
  <c r="LQ1" i="4"/>
  <c r="LP6" i="4"/>
  <c r="LG55" i="4"/>
  <c r="LP45" i="4" l="1"/>
  <c r="LO48" i="4" s="1"/>
  <c r="LL51" i="4" s="1"/>
  <c r="LI54" i="4" s="1"/>
  <c r="LF57" i="4" s="1"/>
  <c r="LP44" i="4"/>
  <c r="LO47" i="4" s="1"/>
  <c r="LL50" i="4" s="1"/>
  <c r="LQ36" i="4"/>
  <c r="LQ35" i="4"/>
  <c r="LQ38" i="4"/>
  <c r="LQ37" i="4"/>
  <c r="LQ39" i="4"/>
  <c r="LQ40" i="4"/>
  <c r="LO49" i="4"/>
  <c r="LL52" i="4" s="1"/>
  <c r="LI55" i="4" s="1"/>
  <c r="LD57" i="4"/>
  <c r="LE57" i="4"/>
  <c r="LC57" i="4"/>
  <c r="LQ31" i="4"/>
  <c r="LQ30" i="4"/>
  <c r="LQ29" i="4"/>
  <c r="LQ28" i="4"/>
  <c r="LQ27" i="4"/>
  <c r="LQ34" i="4"/>
  <c r="LQ33" i="4"/>
  <c r="LQ26" i="4"/>
  <c r="LQ25" i="4"/>
  <c r="LQ24" i="4"/>
  <c r="LQ32" i="4"/>
  <c r="LQ23" i="4"/>
  <c r="LQ22" i="4"/>
  <c r="LQ21" i="4"/>
  <c r="LQ20" i="4"/>
  <c r="LQ19" i="4"/>
  <c r="LQ18" i="4"/>
  <c r="LQ17" i="4"/>
  <c r="LQ16" i="4"/>
  <c r="LQ15" i="4"/>
  <c r="LQ14" i="4"/>
  <c r="LQ13" i="4"/>
  <c r="LQ12" i="4"/>
  <c r="LQ11" i="4"/>
  <c r="LQ4" i="4"/>
  <c r="LQ7" i="4"/>
  <c r="LQ10" i="4"/>
  <c r="LQ5" i="4"/>
  <c r="LQ8" i="4"/>
  <c r="LQ2" i="4"/>
  <c r="LQ3" i="4"/>
  <c r="LR1" i="4"/>
  <c r="LQ9" i="4"/>
  <c r="LQ6" i="4"/>
  <c r="LD58" i="4"/>
  <c r="LH53" i="4"/>
  <c r="LE58" i="4"/>
  <c r="LQ44" i="4" l="1"/>
  <c r="LP47" i="4" s="1"/>
  <c r="LM50" i="4" s="1"/>
  <c r="LQ46" i="4"/>
  <c r="LP49" i="4" s="1"/>
  <c r="LM52" i="4" s="1"/>
  <c r="LQ45" i="4"/>
  <c r="LP48" i="4" s="1"/>
  <c r="LM51" i="4" s="1"/>
  <c r="LR36" i="4"/>
  <c r="LR35" i="4"/>
  <c r="LR38" i="4"/>
  <c r="LR37" i="4"/>
  <c r="LR39" i="4"/>
  <c r="LR40" i="4"/>
  <c r="LF58" i="4"/>
  <c r="LI53" i="4"/>
  <c r="LF56" i="4" s="1"/>
  <c r="LR34" i="4"/>
  <c r="LR33" i="4"/>
  <c r="LR32" i="4"/>
  <c r="LR31" i="4"/>
  <c r="LR30" i="4"/>
  <c r="LR29" i="4"/>
  <c r="LR28" i="4"/>
  <c r="LR26" i="4"/>
  <c r="LR25" i="4"/>
  <c r="LR24" i="4"/>
  <c r="LR27" i="4"/>
  <c r="LR23" i="4"/>
  <c r="LR22" i="4"/>
  <c r="LR21" i="4"/>
  <c r="LR20" i="4"/>
  <c r="LR18" i="4"/>
  <c r="LR17" i="4"/>
  <c r="LR16" i="4"/>
  <c r="LR19" i="4"/>
  <c r="LR12" i="4"/>
  <c r="LR7" i="4"/>
  <c r="LR10" i="4"/>
  <c r="LR5" i="4"/>
  <c r="LR8" i="4"/>
  <c r="LR15" i="4"/>
  <c r="LR6" i="4"/>
  <c r="LR3" i="4"/>
  <c r="LR14" i="4"/>
  <c r="LR9" i="4"/>
  <c r="LR13" i="4"/>
  <c r="LR11" i="4"/>
  <c r="LS1" i="4"/>
  <c r="LR4" i="4"/>
  <c r="LR2" i="4"/>
  <c r="LE56" i="4"/>
  <c r="LR46" i="4" l="1"/>
  <c r="LQ49" i="4" s="1"/>
  <c r="LN52" i="4" s="1"/>
  <c r="LR45" i="4"/>
  <c r="LQ48" i="4" s="1"/>
  <c r="LN51" i="4" s="1"/>
  <c r="LK54" i="4" s="1"/>
  <c r="LR44" i="4"/>
  <c r="LQ47" i="4" s="1"/>
  <c r="LN50" i="4" s="1"/>
  <c r="LS36" i="4"/>
  <c r="LS35" i="4"/>
  <c r="LS38" i="4"/>
  <c r="LS39" i="4"/>
  <c r="LS37" i="4"/>
  <c r="LS40" i="4"/>
  <c r="LJ54" i="4"/>
  <c r="LS34" i="4"/>
  <c r="LS33" i="4"/>
  <c r="LS32" i="4"/>
  <c r="LS31" i="4"/>
  <c r="LS30" i="4"/>
  <c r="LS29" i="4"/>
  <c r="LS28" i="4"/>
  <c r="LS26" i="4"/>
  <c r="LS25" i="4"/>
  <c r="LS24" i="4"/>
  <c r="LS27" i="4"/>
  <c r="LS23" i="4"/>
  <c r="LS20" i="4"/>
  <c r="LS18" i="4"/>
  <c r="LS17" i="4"/>
  <c r="LS16" i="4"/>
  <c r="LS21" i="4"/>
  <c r="LS19" i="4"/>
  <c r="LS22" i="4"/>
  <c r="LS11" i="4"/>
  <c r="LS15" i="4"/>
  <c r="LS14" i="4"/>
  <c r="LS13" i="4"/>
  <c r="LS12" i="4"/>
  <c r="LS10" i="4"/>
  <c r="LS5" i="4"/>
  <c r="LS8" i="4"/>
  <c r="LS6" i="4"/>
  <c r="LS3" i="4"/>
  <c r="LS9" i="4"/>
  <c r="LS7" i="4"/>
  <c r="LT1" i="4"/>
  <c r="LS4" i="4"/>
  <c r="LS2" i="4"/>
  <c r="LJ53" i="4"/>
  <c r="LJ55" i="4"/>
  <c r="LS46" i="4" l="1"/>
  <c r="LR49" i="4" s="1"/>
  <c r="LO52" i="4" s="1"/>
  <c r="LL55" i="4" s="1"/>
  <c r="LS45" i="4"/>
  <c r="LR48" i="4" s="1"/>
  <c r="LO51" i="4" s="1"/>
  <c r="LS44" i="4"/>
  <c r="LR47" i="4" s="1"/>
  <c r="LO50" i="4" s="1"/>
  <c r="LT36" i="4"/>
  <c r="LT35" i="4"/>
  <c r="LT38" i="4"/>
  <c r="LT39" i="4"/>
  <c r="LT37" i="4"/>
  <c r="LT40" i="4"/>
  <c r="LH57" i="4"/>
  <c r="LG57" i="4"/>
  <c r="LK55" i="4"/>
  <c r="LK53" i="4"/>
  <c r="LH56" i="4" s="1"/>
  <c r="LG58" i="4"/>
  <c r="LG56" i="4"/>
  <c r="LT34" i="4"/>
  <c r="LT33" i="4"/>
  <c r="LT32" i="4"/>
  <c r="LT31" i="4"/>
  <c r="LT30" i="4"/>
  <c r="LT29" i="4"/>
  <c r="LT28" i="4"/>
  <c r="LT27" i="4"/>
  <c r="LT23" i="4"/>
  <c r="LT22" i="4"/>
  <c r="LT21" i="4"/>
  <c r="LT20" i="4"/>
  <c r="LT26" i="4"/>
  <c r="LT25" i="4"/>
  <c r="LT24" i="4"/>
  <c r="LT18" i="4"/>
  <c r="LT17" i="4"/>
  <c r="LT16" i="4"/>
  <c r="LT19" i="4"/>
  <c r="LT11" i="4"/>
  <c r="LT15" i="4"/>
  <c r="LT14" i="4"/>
  <c r="LT13" i="4"/>
  <c r="LT12" i="4"/>
  <c r="LT5" i="4"/>
  <c r="LT8" i="4"/>
  <c r="LT6" i="4"/>
  <c r="LT3" i="4"/>
  <c r="LT9" i="4"/>
  <c r="LT4" i="4"/>
  <c r="LT7" i="4"/>
  <c r="LT44" i="4" s="1"/>
  <c r="LU1" i="4"/>
  <c r="LT10" i="4"/>
  <c r="LT2" i="4"/>
  <c r="LT45" i="4" l="1"/>
  <c r="LS48" i="4" s="1"/>
  <c r="LP51" i="4" s="1"/>
  <c r="LT46" i="4"/>
  <c r="LS49" i="4" s="1"/>
  <c r="LP52" i="4" s="1"/>
  <c r="LU35" i="4"/>
  <c r="LU36" i="4"/>
  <c r="LU37" i="4"/>
  <c r="LU39" i="4"/>
  <c r="LU40" i="4"/>
  <c r="LU38" i="4"/>
  <c r="LS47" i="4"/>
  <c r="LP50" i="4" s="1"/>
  <c r="LL54" i="4"/>
  <c r="LI58" i="4"/>
  <c r="LU34" i="4"/>
  <c r="LU33" i="4"/>
  <c r="LU32" i="4"/>
  <c r="LU31" i="4"/>
  <c r="LU30" i="4"/>
  <c r="LU29" i="4"/>
  <c r="LU28" i="4"/>
  <c r="LU27" i="4"/>
  <c r="LU26" i="4"/>
  <c r="LU25" i="4"/>
  <c r="LU24" i="4"/>
  <c r="LU23" i="4"/>
  <c r="LU22" i="4"/>
  <c r="LU21" i="4"/>
  <c r="LU20" i="4"/>
  <c r="LU19" i="4"/>
  <c r="LU18" i="4"/>
  <c r="LU17" i="4"/>
  <c r="LU16" i="4"/>
  <c r="LU11" i="4"/>
  <c r="LU15" i="4"/>
  <c r="LU14" i="4"/>
  <c r="LU13" i="4"/>
  <c r="LU12" i="4"/>
  <c r="LU8" i="4"/>
  <c r="LU6" i="4"/>
  <c r="LU3" i="4"/>
  <c r="LU9" i="4"/>
  <c r="LU4" i="4"/>
  <c r="LU7" i="4"/>
  <c r="LU10" i="4"/>
  <c r="LV1" i="4"/>
  <c r="LU5" i="4"/>
  <c r="LU2" i="4"/>
  <c r="LL53" i="4"/>
  <c r="LI56" i="4" s="1"/>
  <c r="LH58" i="4"/>
  <c r="LU46" i="4" l="1"/>
  <c r="LT49" i="4" s="1"/>
  <c r="LQ52" i="4" s="1"/>
  <c r="LU45" i="4"/>
  <c r="LT48" i="4" s="1"/>
  <c r="LQ51" i="4" s="1"/>
  <c r="LU44" i="4"/>
  <c r="LT47" i="4" s="1"/>
  <c r="LQ50" i="4" s="1"/>
  <c r="LV35" i="4"/>
  <c r="LV37" i="4"/>
  <c r="LV39" i="4"/>
  <c r="LV38" i="4"/>
  <c r="LV40" i="4"/>
  <c r="LV36" i="4"/>
  <c r="LI57" i="4"/>
  <c r="LM54" i="4"/>
  <c r="LJ57" i="4" s="1"/>
  <c r="LM53" i="4"/>
  <c r="LM55" i="4"/>
  <c r="LV34" i="4"/>
  <c r="LV33" i="4"/>
  <c r="LV32" i="4"/>
  <c r="LV31" i="4"/>
  <c r="LV30" i="4"/>
  <c r="LV29" i="4"/>
  <c r="LV28" i="4"/>
  <c r="LV27" i="4"/>
  <c r="LV26" i="4"/>
  <c r="LV25" i="4"/>
  <c r="LV24" i="4"/>
  <c r="LV19" i="4"/>
  <c r="LV21" i="4"/>
  <c r="LV22" i="4"/>
  <c r="LV23" i="4"/>
  <c r="LV18" i="4"/>
  <c r="LV17" i="4"/>
  <c r="LV16" i="4"/>
  <c r="LV11" i="4"/>
  <c r="LV20" i="4"/>
  <c r="LV15" i="4"/>
  <c r="LV14" i="4"/>
  <c r="LV13" i="4"/>
  <c r="LV12" i="4"/>
  <c r="LV6" i="4"/>
  <c r="LV3" i="4"/>
  <c r="LV9" i="4"/>
  <c r="LV4" i="4"/>
  <c r="LV7" i="4"/>
  <c r="LV10" i="4"/>
  <c r="LV5" i="4"/>
  <c r="LW1" i="4"/>
  <c r="LV8" i="4"/>
  <c r="LV2" i="4"/>
  <c r="LV45" i="4" l="1"/>
  <c r="LU48" i="4" s="1"/>
  <c r="LR51" i="4" s="1"/>
  <c r="LO54" i="4" s="1"/>
  <c r="LV44" i="4"/>
  <c r="LU47" i="4" s="1"/>
  <c r="LR50" i="4" s="1"/>
  <c r="LV46" i="4"/>
  <c r="LU49" i="4" s="1"/>
  <c r="LR52" i="4" s="1"/>
  <c r="LO55" i="4" s="1"/>
  <c r="LW35" i="4"/>
  <c r="LW37" i="4"/>
  <c r="LW36" i="4"/>
  <c r="LW38" i="4"/>
  <c r="LW40" i="4"/>
  <c r="LW39" i="4"/>
  <c r="LN54" i="4"/>
  <c r="LK57" i="4" s="1"/>
  <c r="LN55" i="4"/>
  <c r="LK58" i="4" s="1"/>
  <c r="LJ56" i="4"/>
  <c r="LN53" i="4"/>
  <c r="LK56" i="4" s="1"/>
  <c r="LJ58" i="4"/>
  <c r="LW34" i="4"/>
  <c r="LW33" i="4"/>
  <c r="LW32" i="4"/>
  <c r="LW31" i="4"/>
  <c r="LW30" i="4"/>
  <c r="LW29" i="4"/>
  <c r="LW28" i="4"/>
  <c r="LW27" i="4"/>
  <c r="LW26" i="4"/>
  <c r="LW25" i="4"/>
  <c r="LW24" i="4"/>
  <c r="LW23" i="4"/>
  <c r="LW22" i="4"/>
  <c r="LW21" i="4"/>
  <c r="LW20" i="4"/>
  <c r="LW18" i="4"/>
  <c r="LW17" i="4"/>
  <c r="LW16" i="4"/>
  <c r="LW19" i="4"/>
  <c r="LW15" i="4"/>
  <c r="LW14" i="4"/>
  <c r="LW13" i="4"/>
  <c r="LW12" i="4"/>
  <c r="LW6" i="4"/>
  <c r="LW3" i="4"/>
  <c r="LW9" i="4"/>
  <c r="LW4" i="4"/>
  <c r="LW7" i="4"/>
  <c r="LW10" i="4"/>
  <c r="LW5" i="4"/>
  <c r="LW11" i="4"/>
  <c r="LW8" i="4"/>
  <c r="LX1" i="4"/>
  <c r="LW2" i="4"/>
  <c r="LW45" i="4" l="1"/>
  <c r="LV48" i="4" s="1"/>
  <c r="LS51" i="4" s="1"/>
  <c r="LP54" i="4" s="1"/>
  <c r="LW44" i="4"/>
  <c r="LW46" i="4"/>
  <c r="LV49" i="4" s="1"/>
  <c r="LS52" i="4" s="1"/>
  <c r="LP55" i="4" s="1"/>
  <c r="LX36" i="4"/>
  <c r="LX35" i="4"/>
  <c r="LX38" i="4"/>
  <c r="LX37" i="4"/>
  <c r="LX39" i="4"/>
  <c r="LX40" i="4"/>
  <c r="LV47" i="4"/>
  <c r="LS50" i="4" s="1"/>
  <c r="LP53" i="4" s="1"/>
  <c r="LL57" i="4"/>
  <c r="LL58" i="4"/>
  <c r="LX34" i="4"/>
  <c r="LX33" i="4"/>
  <c r="LX32" i="4"/>
  <c r="LX31" i="4"/>
  <c r="LX30" i="4"/>
  <c r="LX29" i="4"/>
  <c r="LX28" i="4"/>
  <c r="LX27" i="4"/>
  <c r="LX26" i="4"/>
  <c r="LX25" i="4"/>
  <c r="LX24" i="4"/>
  <c r="LX23" i="4"/>
  <c r="LX22" i="4"/>
  <c r="LX21" i="4"/>
  <c r="LX20" i="4"/>
  <c r="LX18" i="4"/>
  <c r="LX17" i="4"/>
  <c r="LX16" i="4"/>
  <c r="LX19" i="4"/>
  <c r="LX15" i="4"/>
  <c r="LX14" i="4"/>
  <c r="LX13" i="4"/>
  <c r="LX12" i="4"/>
  <c r="LX9" i="4"/>
  <c r="LX4" i="4"/>
  <c r="LX7" i="4"/>
  <c r="LX10" i="4"/>
  <c r="LX5" i="4"/>
  <c r="LX11" i="4"/>
  <c r="LX8" i="4"/>
  <c r="LX3" i="4"/>
  <c r="LX2" i="4"/>
  <c r="LX6" i="4"/>
  <c r="LY1" i="4"/>
  <c r="LO53" i="4"/>
  <c r="LX46" i="4" l="1"/>
  <c r="LW49" i="4" s="1"/>
  <c r="LT52" i="4" s="1"/>
  <c r="LQ55" i="4" s="1"/>
  <c r="LN58" i="4" s="1"/>
  <c r="LX44" i="4"/>
  <c r="LW47" i="4" s="1"/>
  <c r="LT50" i="4" s="1"/>
  <c r="LX45" i="4"/>
  <c r="LW48" i="4" s="1"/>
  <c r="LT51" i="4" s="1"/>
  <c r="LY36" i="4"/>
  <c r="LY35" i="4"/>
  <c r="LY38" i="4"/>
  <c r="LY37" i="4"/>
  <c r="LY39" i="4"/>
  <c r="LY40" i="4"/>
  <c r="LM57" i="4"/>
  <c r="LY30" i="4"/>
  <c r="LY29" i="4"/>
  <c r="LY28" i="4"/>
  <c r="LY27" i="4"/>
  <c r="LY34" i="4"/>
  <c r="LY33" i="4"/>
  <c r="LY46" i="4" s="1"/>
  <c r="LY32" i="4"/>
  <c r="LY26" i="4"/>
  <c r="LY25" i="4"/>
  <c r="LY24" i="4"/>
  <c r="LY31" i="4"/>
  <c r="LY23" i="4"/>
  <c r="LY22" i="4"/>
  <c r="LY21" i="4"/>
  <c r="LY20" i="4"/>
  <c r="LY19" i="4"/>
  <c r="LY18" i="4"/>
  <c r="LY17" i="4"/>
  <c r="LY16" i="4"/>
  <c r="LY15" i="4"/>
  <c r="LY14" i="4"/>
  <c r="LY13" i="4"/>
  <c r="LY12" i="4"/>
  <c r="LY11" i="4"/>
  <c r="LY4" i="4"/>
  <c r="LY7" i="4"/>
  <c r="LY10" i="4"/>
  <c r="LY5" i="4"/>
  <c r="LY8" i="4"/>
  <c r="LY2" i="4"/>
  <c r="LZ1" i="4"/>
  <c r="LY9" i="4"/>
  <c r="LY6" i="4"/>
  <c r="LY3" i="4"/>
  <c r="LL56" i="4"/>
  <c r="LM56" i="4"/>
  <c r="LM58" i="4"/>
  <c r="LY44" i="4" l="1"/>
  <c r="LX47" i="4" s="1"/>
  <c r="LU50" i="4" s="1"/>
  <c r="LR53" i="4" s="1"/>
  <c r="LY45" i="4"/>
  <c r="LX48" i="4" s="1"/>
  <c r="LU51" i="4" s="1"/>
  <c r="LZ36" i="4"/>
  <c r="LZ35" i="4"/>
  <c r="LZ38" i="4"/>
  <c r="LZ37" i="4"/>
  <c r="LZ40" i="4"/>
  <c r="LZ39" i="4"/>
  <c r="LX49" i="4"/>
  <c r="LU52" i="4" s="1"/>
  <c r="LQ53" i="4"/>
  <c r="LQ54" i="4"/>
  <c r="LZ34" i="4"/>
  <c r="LZ33" i="4"/>
  <c r="LZ32" i="4"/>
  <c r="LZ31" i="4"/>
  <c r="LZ30" i="4"/>
  <c r="LZ29" i="4"/>
  <c r="LZ28" i="4"/>
  <c r="LZ27" i="4"/>
  <c r="LZ26" i="4"/>
  <c r="LZ25" i="4"/>
  <c r="LZ24" i="4"/>
  <c r="LZ23" i="4"/>
  <c r="LZ22" i="4"/>
  <c r="LZ21" i="4"/>
  <c r="LZ20" i="4"/>
  <c r="LZ19" i="4"/>
  <c r="LZ18" i="4"/>
  <c r="LZ17" i="4"/>
  <c r="LZ16" i="4"/>
  <c r="LZ7" i="4"/>
  <c r="LZ10" i="4"/>
  <c r="LZ5" i="4"/>
  <c r="LZ8" i="4"/>
  <c r="LZ15" i="4"/>
  <c r="LZ11" i="4"/>
  <c r="LZ14" i="4"/>
  <c r="LZ6" i="4"/>
  <c r="LZ3" i="4"/>
  <c r="LZ13" i="4"/>
  <c r="LZ9" i="4"/>
  <c r="LZ12" i="4"/>
  <c r="LZ4" i="4"/>
  <c r="MA1" i="4"/>
  <c r="LZ2" i="4"/>
  <c r="LZ46" i="4" l="1"/>
  <c r="LZ44" i="4"/>
  <c r="LY47" i="4" s="1"/>
  <c r="LV50" i="4" s="1"/>
  <c r="LZ45" i="4"/>
  <c r="LY48" i="4" s="1"/>
  <c r="LV51" i="4" s="1"/>
  <c r="LS54" i="4" s="1"/>
  <c r="MA36" i="4"/>
  <c r="MA38" i="4"/>
  <c r="MA35" i="4"/>
  <c r="MA39" i="4"/>
  <c r="MA40" i="4"/>
  <c r="MA37" i="4"/>
  <c r="LN57" i="4"/>
  <c r="LY49" i="4"/>
  <c r="LV52" i="4" s="1"/>
  <c r="LS55" i="4" s="1"/>
  <c r="LR55" i="4"/>
  <c r="LR54" i="4"/>
  <c r="LO56" i="4"/>
  <c r="LN56" i="4"/>
  <c r="MA34" i="4"/>
  <c r="MA33" i="4"/>
  <c r="MA32" i="4"/>
  <c r="MA31" i="4"/>
  <c r="MA30" i="4"/>
  <c r="MA29" i="4"/>
  <c r="MA28" i="4"/>
  <c r="MA26" i="4"/>
  <c r="MA25" i="4"/>
  <c r="MA24" i="4"/>
  <c r="MA27" i="4"/>
  <c r="MA23" i="4"/>
  <c r="MA21" i="4"/>
  <c r="MA18" i="4"/>
  <c r="MA17" i="4"/>
  <c r="MA16" i="4"/>
  <c r="MA22" i="4"/>
  <c r="MA19" i="4"/>
  <c r="MA20" i="4"/>
  <c r="MA11" i="4"/>
  <c r="MA15" i="4"/>
  <c r="MA14" i="4"/>
  <c r="MA13" i="4"/>
  <c r="MA12" i="4"/>
  <c r="MA10" i="4"/>
  <c r="MA5" i="4"/>
  <c r="MA8" i="4"/>
  <c r="MA6" i="4"/>
  <c r="MA3" i="4"/>
  <c r="MA9" i="4"/>
  <c r="MA2" i="4"/>
  <c r="MA7" i="4"/>
  <c r="MA4" i="4"/>
  <c r="MB1" i="4"/>
  <c r="MA45" i="4" l="1"/>
  <c r="LZ48" i="4" s="1"/>
  <c r="LW51" i="4" s="1"/>
  <c r="MA46" i="4"/>
  <c r="LZ49" i="4" s="1"/>
  <c r="LW52" i="4" s="1"/>
  <c r="LT55" i="4" s="1"/>
  <c r="LQ58" i="4" s="1"/>
  <c r="MA44" i="4"/>
  <c r="LZ47" i="4" s="1"/>
  <c r="LW50" i="4" s="1"/>
  <c r="MB36" i="4"/>
  <c r="MB38" i="4"/>
  <c r="MB37" i="4"/>
  <c r="MB35" i="4"/>
  <c r="MB39" i="4"/>
  <c r="MB40" i="4"/>
  <c r="LP57" i="4"/>
  <c r="LO57" i="4"/>
  <c r="LS53" i="4"/>
  <c r="MB34" i="4"/>
  <c r="MB33" i="4"/>
  <c r="MB32" i="4"/>
  <c r="MB31" i="4"/>
  <c r="MB30" i="4"/>
  <c r="MB29" i="4"/>
  <c r="MB28" i="4"/>
  <c r="MB27" i="4"/>
  <c r="MB23" i="4"/>
  <c r="MB22" i="4"/>
  <c r="MB21" i="4"/>
  <c r="MB20" i="4"/>
  <c r="MB26" i="4"/>
  <c r="MB25" i="4"/>
  <c r="MB24" i="4"/>
  <c r="MB18" i="4"/>
  <c r="MB17" i="4"/>
  <c r="MB16" i="4"/>
  <c r="MB19" i="4"/>
  <c r="MB11" i="4"/>
  <c r="MB15" i="4"/>
  <c r="MB14" i="4"/>
  <c r="MB13" i="4"/>
  <c r="MB12" i="4"/>
  <c r="MB5" i="4"/>
  <c r="MB8" i="4"/>
  <c r="MB6" i="4"/>
  <c r="MB3" i="4"/>
  <c r="MB9" i="4"/>
  <c r="MB4" i="4"/>
  <c r="MB7" i="4"/>
  <c r="MC1" i="4"/>
  <c r="MB2" i="4"/>
  <c r="MB10" i="4"/>
  <c r="LP58" i="4"/>
  <c r="LO58" i="4"/>
  <c r="MB46" i="4" l="1"/>
  <c r="MA49" i="4" s="1"/>
  <c r="LX52" i="4" s="1"/>
  <c r="MB44" i="4"/>
  <c r="MA47" i="4" s="1"/>
  <c r="LX50" i="4" s="1"/>
  <c r="LU53" i="4" s="1"/>
  <c r="MB45" i="4"/>
  <c r="MA48" i="4" s="1"/>
  <c r="LX51" i="4" s="1"/>
  <c r="MC35" i="4"/>
  <c r="MC36" i="4"/>
  <c r="MC37" i="4"/>
  <c r="MC38" i="4"/>
  <c r="MC39" i="4"/>
  <c r="MC40" i="4"/>
  <c r="MC34" i="4"/>
  <c r="MC33" i="4"/>
  <c r="MC32" i="4"/>
  <c r="MC31" i="4"/>
  <c r="MC30" i="4"/>
  <c r="MC29" i="4"/>
  <c r="MC28" i="4"/>
  <c r="MC27" i="4"/>
  <c r="MC26" i="4"/>
  <c r="MC25" i="4"/>
  <c r="MC24" i="4"/>
  <c r="MC23" i="4"/>
  <c r="MC22" i="4"/>
  <c r="MC21" i="4"/>
  <c r="MC20" i="4"/>
  <c r="MC19" i="4"/>
  <c r="MC11" i="4"/>
  <c r="MC15" i="4"/>
  <c r="MC14" i="4"/>
  <c r="MC13" i="4"/>
  <c r="MC12" i="4"/>
  <c r="MC8" i="4"/>
  <c r="MC6" i="4"/>
  <c r="MC3" i="4"/>
  <c r="MC16" i="4"/>
  <c r="MC9" i="4"/>
  <c r="MC17" i="4"/>
  <c r="MC4" i="4"/>
  <c r="MC18" i="4"/>
  <c r="MC7" i="4"/>
  <c r="MC10" i="4"/>
  <c r="MD1" i="4"/>
  <c r="MC5" i="4"/>
  <c r="MC2" i="4"/>
  <c r="LT53" i="4"/>
  <c r="LQ56" i="4" s="1"/>
  <c r="LT54" i="4"/>
  <c r="LP56" i="4"/>
  <c r="MC46" i="4" l="1"/>
  <c r="MB49" i="4" s="1"/>
  <c r="LY52" i="4" s="1"/>
  <c r="LV55" i="4" s="1"/>
  <c r="MC45" i="4"/>
  <c r="MB48" i="4" s="1"/>
  <c r="LY51" i="4" s="1"/>
  <c r="MC44" i="4"/>
  <c r="MB47" i="4" s="1"/>
  <c r="LY50" i="4" s="1"/>
  <c r="LV53" i="4" s="1"/>
  <c r="LS56" i="4" s="1"/>
  <c r="MD35" i="4"/>
  <c r="MD36" i="4"/>
  <c r="MD37" i="4"/>
  <c r="MD38" i="4"/>
  <c r="MD39" i="4"/>
  <c r="MD40" i="4"/>
  <c r="LQ57" i="4"/>
  <c r="MD34" i="4"/>
  <c r="MD33" i="4"/>
  <c r="MD32" i="4"/>
  <c r="MD31" i="4"/>
  <c r="MD30" i="4"/>
  <c r="MD29" i="4"/>
  <c r="MD28" i="4"/>
  <c r="MD27" i="4"/>
  <c r="MD26" i="4"/>
  <c r="MD25" i="4"/>
  <c r="MD24" i="4"/>
  <c r="MD22" i="4"/>
  <c r="MD19" i="4"/>
  <c r="MD23" i="4"/>
  <c r="MD20" i="4"/>
  <c r="MD18" i="4"/>
  <c r="MD17" i="4"/>
  <c r="MD16" i="4"/>
  <c r="MD11" i="4"/>
  <c r="MD15" i="4"/>
  <c r="MD14" i="4"/>
  <c r="MD13" i="4"/>
  <c r="MD12" i="4"/>
  <c r="MD21" i="4"/>
  <c r="MD6" i="4"/>
  <c r="MD3" i="4"/>
  <c r="MD9" i="4"/>
  <c r="MD4" i="4"/>
  <c r="MD7" i="4"/>
  <c r="MD10" i="4"/>
  <c r="MD8" i="4"/>
  <c r="MD2" i="4"/>
  <c r="ME1" i="4"/>
  <c r="MD5" i="4"/>
  <c r="LR56" i="4"/>
  <c r="LU55" i="4"/>
  <c r="LU54" i="4"/>
  <c r="LR57" i="4" s="1"/>
  <c r="MD46" i="4" l="1"/>
  <c r="MC49" i="4" s="1"/>
  <c r="LZ52" i="4" s="1"/>
  <c r="MD45" i="4"/>
  <c r="MC48" i="4" s="1"/>
  <c r="LZ51" i="4" s="1"/>
  <c r="LW54" i="4" s="1"/>
  <c r="MD44" i="4"/>
  <c r="MC47" i="4" s="1"/>
  <c r="LZ50" i="4" s="1"/>
  <c r="ME35" i="4"/>
  <c r="ME36" i="4"/>
  <c r="ME37" i="4"/>
  <c r="ME38" i="4"/>
  <c r="ME39" i="4"/>
  <c r="ME40" i="4"/>
  <c r="LR58" i="4"/>
  <c r="LS58" i="4"/>
  <c r="ME34" i="4"/>
  <c r="ME33" i="4"/>
  <c r="ME32" i="4"/>
  <c r="ME31" i="4"/>
  <c r="ME30" i="4"/>
  <c r="ME29" i="4"/>
  <c r="ME28" i="4"/>
  <c r="ME27" i="4"/>
  <c r="ME26" i="4"/>
  <c r="ME25" i="4"/>
  <c r="ME24" i="4"/>
  <c r="ME23" i="4"/>
  <c r="ME22" i="4"/>
  <c r="ME21" i="4"/>
  <c r="ME20" i="4"/>
  <c r="ME19" i="4"/>
  <c r="ME18" i="4"/>
  <c r="ME17" i="4"/>
  <c r="ME16" i="4"/>
  <c r="ME15" i="4"/>
  <c r="ME14" i="4"/>
  <c r="ME13" i="4"/>
  <c r="ME12" i="4"/>
  <c r="ME6" i="4"/>
  <c r="ME3" i="4"/>
  <c r="ME9" i="4"/>
  <c r="ME4" i="4"/>
  <c r="ME11" i="4"/>
  <c r="ME7" i="4"/>
  <c r="ME10" i="4"/>
  <c r="ME5" i="4"/>
  <c r="ME8" i="4"/>
  <c r="ME2" i="4"/>
  <c r="MF1" i="4"/>
  <c r="LV54" i="4"/>
  <c r="ME44" i="4" l="1"/>
  <c r="MD47" i="4" s="1"/>
  <c r="MA50" i="4" s="1"/>
  <c r="LX53" i="4" s="1"/>
  <c r="ME46" i="4"/>
  <c r="MD49" i="4" s="1"/>
  <c r="MA52" i="4" s="1"/>
  <c r="LX55" i="4" s="1"/>
  <c r="ME45" i="4"/>
  <c r="MD48" i="4" s="1"/>
  <c r="MA51" i="4" s="1"/>
  <c r="MF36" i="4"/>
  <c r="MF35" i="4"/>
  <c r="MF38" i="4"/>
  <c r="MF37" i="4"/>
  <c r="MF39" i="4"/>
  <c r="MF40" i="4"/>
  <c r="LS57" i="4"/>
  <c r="MF34" i="4"/>
  <c r="MF33" i="4"/>
  <c r="MF32" i="4"/>
  <c r="MF31" i="4"/>
  <c r="MF30" i="4"/>
  <c r="MF29" i="4"/>
  <c r="MF28" i="4"/>
  <c r="MF27" i="4"/>
  <c r="MF26" i="4"/>
  <c r="MF25" i="4"/>
  <c r="MF24" i="4"/>
  <c r="MF23" i="4"/>
  <c r="MF22" i="4"/>
  <c r="MF21" i="4"/>
  <c r="MF20" i="4"/>
  <c r="MF19" i="4"/>
  <c r="MF18" i="4"/>
  <c r="MF17" i="4"/>
  <c r="MF16" i="4"/>
  <c r="MF15" i="4"/>
  <c r="MF14" i="4"/>
  <c r="MF13" i="4"/>
  <c r="MF12" i="4"/>
  <c r="MF9" i="4"/>
  <c r="MF4" i="4"/>
  <c r="MF11" i="4"/>
  <c r="MF7" i="4"/>
  <c r="MF10" i="4"/>
  <c r="MF5" i="4"/>
  <c r="MF8" i="4"/>
  <c r="MF2" i="4"/>
  <c r="MF6" i="4"/>
  <c r="MF3" i="4"/>
  <c r="MG1" i="4"/>
  <c r="LW55" i="4"/>
  <c r="LT57" i="4"/>
  <c r="LW53" i="4"/>
  <c r="MF46" i="4" l="1"/>
  <c r="ME49" i="4" s="1"/>
  <c r="MB52" i="4" s="1"/>
  <c r="LY55" i="4" s="1"/>
  <c r="LV58" i="4" s="1"/>
  <c r="MF44" i="4"/>
  <c r="ME47" i="4" s="1"/>
  <c r="MB50" i="4" s="1"/>
  <c r="MF45" i="4"/>
  <c r="ME48" i="4" s="1"/>
  <c r="MB51" i="4" s="1"/>
  <c r="LY54" i="4" s="1"/>
  <c r="MG36" i="4"/>
  <c r="MG35" i="4"/>
  <c r="MG38" i="4"/>
  <c r="MG37" i="4"/>
  <c r="MG39" i="4"/>
  <c r="MG40" i="4"/>
  <c r="LU58" i="4"/>
  <c r="LT58" i="4"/>
  <c r="LU56" i="4"/>
  <c r="LT56" i="4"/>
  <c r="MG34" i="4"/>
  <c r="MG30" i="4"/>
  <c r="MG29" i="4"/>
  <c r="MG28" i="4"/>
  <c r="MG27" i="4"/>
  <c r="MG33" i="4"/>
  <c r="MG32" i="4"/>
  <c r="MG31" i="4"/>
  <c r="MG26" i="4"/>
  <c r="MG25" i="4"/>
  <c r="MG24" i="4"/>
  <c r="MG23" i="4"/>
  <c r="MG22" i="4"/>
  <c r="MG21" i="4"/>
  <c r="MG20" i="4"/>
  <c r="MG19" i="4"/>
  <c r="MG18" i="4"/>
  <c r="MG17" i="4"/>
  <c r="MG16" i="4"/>
  <c r="MG15" i="4"/>
  <c r="MG14" i="4"/>
  <c r="MG13" i="4"/>
  <c r="MG12" i="4"/>
  <c r="MG11" i="4"/>
  <c r="MG4" i="4"/>
  <c r="MG7" i="4"/>
  <c r="MG10" i="4"/>
  <c r="MG5" i="4"/>
  <c r="MG8" i="4"/>
  <c r="MG2" i="4"/>
  <c r="MG6" i="4"/>
  <c r="MG9" i="4"/>
  <c r="MH1" i="4"/>
  <c r="MG3" i="4"/>
  <c r="LX54" i="4"/>
  <c r="MG44" i="4" l="1"/>
  <c r="MF47" i="4" s="1"/>
  <c r="MC50" i="4" s="1"/>
  <c r="LZ53" i="4" s="1"/>
  <c r="MG46" i="4"/>
  <c r="MF49" i="4" s="1"/>
  <c r="MC52" i="4" s="1"/>
  <c r="MG45" i="4"/>
  <c r="MF48" i="4" s="1"/>
  <c r="MC51" i="4" s="1"/>
  <c r="MH36" i="4"/>
  <c r="MH35" i="4"/>
  <c r="MH38" i="4"/>
  <c r="MH37" i="4"/>
  <c r="MH39" i="4"/>
  <c r="MH40" i="4"/>
  <c r="LV57" i="4"/>
  <c r="LU57" i="4"/>
  <c r="MH34" i="4"/>
  <c r="MH33" i="4"/>
  <c r="MH32" i="4"/>
  <c r="MH31" i="4"/>
  <c r="MH30" i="4"/>
  <c r="MH29" i="4"/>
  <c r="MH28" i="4"/>
  <c r="MH26" i="4"/>
  <c r="MH25" i="4"/>
  <c r="MH24" i="4"/>
  <c r="MH27" i="4"/>
  <c r="MH23" i="4"/>
  <c r="MH22" i="4"/>
  <c r="MH21" i="4"/>
  <c r="MH20" i="4"/>
  <c r="MH19" i="4"/>
  <c r="MH18" i="4"/>
  <c r="MH17" i="4"/>
  <c r="MH16" i="4"/>
  <c r="MH7" i="4"/>
  <c r="MH11" i="4"/>
  <c r="MH10" i="4"/>
  <c r="MH5" i="4"/>
  <c r="MH15" i="4"/>
  <c r="MH8" i="4"/>
  <c r="MH14" i="4"/>
  <c r="MH13" i="4"/>
  <c r="MH6" i="4"/>
  <c r="MH3" i="4"/>
  <c r="MH12" i="4"/>
  <c r="MH9" i="4"/>
  <c r="MH4" i="4"/>
  <c r="MI1" i="4"/>
  <c r="MH2" i="4"/>
  <c r="LY53" i="4"/>
  <c r="MH44" i="4" l="1"/>
  <c r="MG47" i="4" s="1"/>
  <c r="MD50" i="4" s="1"/>
  <c r="MA53" i="4" s="1"/>
  <c r="MH45" i="4"/>
  <c r="MG48" i="4" s="1"/>
  <c r="MD51" i="4" s="1"/>
  <c r="MH46" i="4"/>
  <c r="MG49" i="4" s="1"/>
  <c r="MD52" i="4" s="1"/>
  <c r="MA55" i="4" s="1"/>
  <c r="MI36" i="4"/>
  <c r="MI38" i="4"/>
  <c r="MI39" i="4"/>
  <c r="MI35" i="4"/>
  <c r="MI37" i="4"/>
  <c r="MI40" i="4"/>
  <c r="LZ55" i="4"/>
  <c r="LZ54" i="4"/>
  <c r="LV56" i="4"/>
  <c r="LW56" i="4"/>
  <c r="MI34" i="4"/>
  <c r="MI33" i="4"/>
  <c r="MI32" i="4"/>
  <c r="MI31" i="4"/>
  <c r="MI30" i="4"/>
  <c r="MI29" i="4"/>
  <c r="MI28" i="4"/>
  <c r="MI26" i="4"/>
  <c r="MI25" i="4"/>
  <c r="MI24" i="4"/>
  <c r="MI27" i="4"/>
  <c r="MI23" i="4"/>
  <c r="MI22" i="4"/>
  <c r="MI18" i="4"/>
  <c r="MI17" i="4"/>
  <c r="MI16" i="4"/>
  <c r="MI20" i="4"/>
  <c r="MI21" i="4"/>
  <c r="MI11" i="4"/>
  <c r="MI15" i="4"/>
  <c r="MI14" i="4"/>
  <c r="MI13" i="4"/>
  <c r="MI12" i="4"/>
  <c r="MI10" i="4"/>
  <c r="MI5" i="4"/>
  <c r="MI8" i="4"/>
  <c r="MI6" i="4"/>
  <c r="MI3" i="4"/>
  <c r="MI9" i="4"/>
  <c r="MI19" i="4"/>
  <c r="MI4" i="4"/>
  <c r="MJ1" i="4"/>
  <c r="MI2" i="4"/>
  <c r="MI7" i="4"/>
  <c r="MI45" i="4" l="1"/>
  <c r="MH48" i="4" s="1"/>
  <c r="ME51" i="4" s="1"/>
  <c r="MI44" i="4"/>
  <c r="MH47" i="4" s="1"/>
  <c r="ME50" i="4" s="1"/>
  <c r="MI46" i="4"/>
  <c r="MH49" i="4" s="1"/>
  <c r="ME52" i="4" s="1"/>
  <c r="MJ36" i="4"/>
  <c r="MJ38" i="4"/>
  <c r="MJ39" i="4"/>
  <c r="MJ35" i="4"/>
  <c r="MJ37" i="4"/>
  <c r="MJ40" i="4"/>
  <c r="MJ34" i="4"/>
  <c r="MJ33" i="4"/>
  <c r="MJ32" i="4"/>
  <c r="MJ31" i="4"/>
  <c r="MJ30" i="4"/>
  <c r="MJ29" i="4"/>
  <c r="MJ28" i="4"/>
  <c r="MJ27" i="4"/>
  <c r="MJ26" i="4"/>
  <c r="MJ25" i="4"/>
  <c r="MJ24" i="4"/>
  <c r="MJ23" i="4"/>
  <c r="MJ22" i="4"/>
  <c r="MJ21" i="4"/>
  <c r="MJ20" i="4"/>
  <c r="MJ18" i="4"/>
  <c r="MJ17" i="4"/>
  <c r="MJ16" i="4"/>
  <c r="MJ19" i="4"/>
  <c r="MJ11" i="4"/>
  <c r="MJ15" i="4"/>
  <c r="MJ14" i="4"/>
  <c r="MJ13" i="4"/>
  <c r="MJ12" i="4"/>
  <c r="MJ5" i="4"/>
  <c r="MJ8" i="4"/>
  <c r="MJ6" i="4"/>
  <c r="MJ3" i="4"/>
  <c r="MJ9" i="4"/>
  <c r="MJ4" i="4"/>
  <c r="MJ7" i="4"/>
  <c r="MK1" i="4"/>
  <c r="MJ10" i="4"/>
  <c r="MJ2" i="4"/>
  <c r="LW57" i="4"/>
  <c r="LX58" i="4"/>
  <c r="LW58" i="4"/>
  <c r="LX56" i="4"/>
  <c r="MA54" i="4"/>
  <c r="LX57" i="4" s="1"/>
  <c r="MJ46" i="4" l="1"/>
  <c r="MI49" i="4" s="1"/>
  <c r="MF52" i="4" s="1"/>
  <c r="MC55" i="4" s="1"/>
  <c r="MJ44" i="4"/>
  <c r="MI47" i="4" s="1"/>
  <c r="MF50" i="4" s="1"/>
  <c r="MC53" i="4" s="1"/>
  <c r="MJ45" i="4"/>
  <c r="MI48" i="4" s="1"/>
  <c r="MF51" i="4" s="1"/>
  <c r="MC54" i="4" s="1"/>
  <c r="MK35" i="4"/>
  <c r="MK36" i="4"/>
  <c r="MK37" i="4"/>
  <c r="MK39" i="4"/>
  <c r="MK38" i="4"/>
  <c r="MK40" i="4"/>
  <c r="MB55" i="4"/>
  <c r="MK34" i="4"/>
  <c r="MK33" i="4"/>
  <c r="MK32" i="4"/>
  <c r="MK31" i="4"/>
  <c r="MK27" i="4"/>
  <c r="MK26" i="4"/>
  <c r="MK25" i="4"/>
  <c r="MK24" i="4"/>
  <c r="MK23" i="4"/>
  <c r="MK22" i="4"/>
  <c r="MK21" i="4"/>
  <c r="MK20" i="4"/>
  <c r="MK45" i="4" s="1"/>
  <c r="MK28" i="4"/>
  <c r="MK29" i="4"/>
  <c r="MK30" i="4"/>
  <c r="MK19" i="4"/>
  <c r="MK11" i="4"/>
  <c r="MK15" i="4"/>
  <c r="MK14" i="4"/>
  <c r="MK13" i="4"/>
  <c r="MK12" i="4"/>
  <c r="MK18" i="4"/>
  <c r="MK17" i="4"/>
  <c r="MK16" i="4"/>
  <c r="MK8" i="4"/>
  <c r="MK6" i="4"/>
  <c r="MK3" i="4"/>
  <c r="MK9" i="4"/>
  <c r="MK4" i="4"/>
  <c r="MK7" i="4"/>
  <c r="MK10" i="4"/>
  <c r="ML1" i="4"/>
  <c r="MK2" i="4"/>
  <c r="MK5" i="4"/>
  <c r="MB54" i="4"/>
  <c r="MB53" i="4"/>
  <c r="MK46" i="4" l="1"/>
  <c r="MJ49" i="4" s="1"/>
  <c r="MG52" i="4" s="1"/>
  <c r="MK44" i="4"/>
  <c r="MJ47" i="4" s="1"/>
  <c r="MG50" i="4" s="1"/>
  <c r="MD53" i="4" s="1"/>
  <c r="ML35" i="4"/>
  <c r="ML37" i="4"/>
  <c r="ML36" i="4"/>
  <c r="ML39" i="4"/>
  <c r="ML40" i="4"/>
  <c r="ML38" i="4"/>
  <c r="LZ57" i="4"/>
  <c r="MJ48" i="4"/>
  <c r="MG51" i="4" s="1"/>
  <c r="LZ58" i="4"/>
  <c r="LY58" i="4"/>
  <c r="LZ56" i="4"/>
  <c r="LY56" i="4"/>
  <c r="ML34" i="4"/>
  <c r="ML33" i="4"/>
  <c r="ML32" i="4"/>
  <c r="ML31" i="4"/>
  <c r="ML30" i="4"/>
  <c r="ML29" i="4"/>
  <c r="ML28" i="4"/>
  <c r="ML27" i="4"/>
  <c r="ML26" i="4"/>
  <c r="ML25" i="4"/>
  <c r="ML24" i="4"/>
  <c r="ML20" i="4"/>
  <c r="ML23" i="4"/>
  <c r="ML19" i="4"/>
  <c r="ML21" i="4"/>
  <c r="ML18" i="4"/>
  <c r="ML17" i="4"/>
  <c r="ML16" i="4"/>
  <c r="ML22" i="4"/>
  <c r="ML11" i="4"/>
  <c r="ML15" i="4"/>
  <c r="ML14" i="4"/>
  <c r="ML13" i="4"/>
  <c r="ML12" i="4"/>
  <c r="ML6" i="4"/>
  <c r="ML3" i="4"/>
  <c r="ML9" i="4"/>
  <c r="ML4" i="4"/>
  <c r="ML7" i="4"/>
  <c r="ML10" i="4"/>
  <c r="ML8" i="4"/>
  <c r="ML2" i="4"/>
  <c r="ML5" i="4"/>
  <c r="MM1" i="4"/>
  <c r="LY57" i="4"/>
  <c r="ML46" i="4" l="1"/>
  <c r="MK49" i="4" s="1"/>
  <c r="MH52" i="4" s="1"/>
  <c r="ME55" i="4" s="1"/>
  <c r="ML44" i="4"/>
  <c r="MK47" i="4" s="1"/>
  <c r="MH50" i="4" s="1"/>
  <c r="ME53" i="4" s="1"/>
  <c r="ML45" i="4"/>
  <c r="MK48" i="4" s="1"/>
  <c r="MH51" i="4" s="1"/>
  <c r="MM35" i="4"/>
  <c r="MM37" i="4"/>
  <c r="MM36" i="4"/>
  <c r="MM38" i="4"/>
  <c r="MM40" i="4"/>
  <c r="MM39" i="4"/>
  <c r="MM34" i="4"/>
  <c r="MM33" i="4"/>
  <c r="MM32" i="4"/>
  <c r="MM31" i="4"/>
  <c r="MM30" i="4"/>
  <c r="MM29" i="4"/>
  <c r="MM28" i="4"/>
  <c r="MM27" i="4"/>
  <c r="MM26" i="4"/>
  <c r="MM25" i="4"/>
  <c r="MM24" i="4"/>
  <c r="MM23" i="4"/>
  <c r="MM22" i="4"/>
  <c r="MM21" i="4"/>
  <c r="MM20" i="4"/>
  <c r="MM19" i="4"/>
  <c r="MM18" i="4"/>
  <c r="MM17" i="4"/>
  <c r="MM16" i="4"/>
  <c r="MM15" i="4"/>
  <c r="MM14" i="4"/>
  <c r="MM13" i="4"/>
  <c r="MM12" i="4"/>
  <c r="MM11" i="4"/>
  <c r="MM6" i="4"/>
  <c r="MM3" i="4"/>
  <c r="MM9" i="4"/>
  <c r="MM4" i="4"/>
  <c r="MM7" i="4"/>
  <c r="MM10" i="4"/>
  <c r="MM5" i="4"/>
  <c r="MM8" i="4"/>
  <c r="MM2" i="4"/>
  <c r="MN1" i="4"/>
  <c r="MA56" i="4"/>
  <c r="MD55" i="4"/>
  <c r="MD54" i="4"/>
  <c r="MM46" i="4" l="1"/>
  <c r="ML49" i="4" s="1"/>
  <c r="MI52" i="4" s="1"/>
  <c r="MM44" i="4"/>
  <c r="ML47" i="4" s="1"/>
  <c r="MI50" i="4" s="1"/>
  <c r="MM45" i="4"/>
  <c r="ML48" i="4" s="1"/>
  <c r="MI51" i="4" s="1"/>
  <c r="MF54" i="4" s="1"/>
  <c r="MN36" i="4"/>
  <c r="MN35" i="4"/>
  <c r="MN38" i="4"/>
  <c r="MN37" i="4"/>
  <c r="MN40" i="4"/>
  <c r="MN39" i="4"/>
  <c r="MA57" i="4"/>
  <c r="MB58" i="4"/>
  <c r="MA58" i="4"/>
  <c r="MN34" i="4"/>
  <c r="MN33" i="4"/>
  <c r="MN32" i="4"/>
  <c r="MN31" i="4"/>
  <c r="MN30" i="4"/>
  <c r="MN29" i="4"/>
  <c r="MN28" i="4"/>
  <c r="MN27" i="4"/>
  <c r="MN26" i="4"/>
  <c r="MN25" i="4"/>
  <c r="MN24" i="4"/>
  <c r="MN23" i="4"/>
  <c r="MN22" i="4"/>
  <c r="MN21" i="4"/>
  <c r="MN20" i="4"/>
  <c r="MN19" i="4"/>
  <c r="MN18" i="4"/>
  <c r="MN17" i="4"/>
  <c r="MN16" i="4"/>
  <c r="MN15" i="4"/>
  <c r="MN14" i="4"/>
  <c r="MN13" i="4"/>
  <c r="MN12" i="4"/>
  <c r="MN9" i="4"/>
  <c r="MN4" i="4"/>
  <c r="MN7" i="4"/>
  <c r="MN10" i="4"/>
  <c r="MN5" i="4"/>
  <c r="MN8" i="4"/>
  <c r="MN6" i="4"/>
  <c r="MN2" i="4"/>
  <c r="MN11" i="4"/>
  <c r="MN3" i="4"/>
  <c r="MO1" i="4"/>
  <c r="ME54" i="4"/>
  <c r="MB56" i="4"/>
  <c r="MN44" i="4" l="1"/>
  <c r="MM47" i="4" s="1"/>
  <c r="MJ50" i="4" s="1"/>
  <c r="MN46" i="4"/>
  <c r="MM49" i="4" s="1"/>
  <c r="MJ52" i="4" s="1"/>
  <c r="MG55" i="4" s="1"/>
  <c r="MN45" i="4"/>
  <c r="MM48" i="4" s="1"/>
  <c r="MJ51" i="4" s="1"/>
  <c r="MO36" i="4"/>
  <c r="MO35" i="4"/>
  <c r="MO38" i="4"/>
  <c r="MO37" i="4"/>
  <c r="MO39" i="4"/>
  <c r="MO40" i="4"/>
  <c r="MC57" i="4"/>
  <c r="MF53" i="4"/>
  <c r="MO34" i="4"/>
  <c r="MO33" i="4"/>
  <c r="MO30" i="4"/>
  <c r="MO29" i="4"/>
  <c r="MO28" i="4"/>
  <c r="MO27" i="4"/>
  <c r="MO32" i="4"/>
  <c r="MO31" i="4"/>
  <c r="MO26" i="4"/>
  <c r="MO25" i="4"/>
  <c r="MO24" i="4"/>
  <c r="MO23" i="4"/>
  <c r="MO22" i="4"/>
  <c r="MO21" i="4"/>
  <c r="MO20" i="4"/>
  <c r="MO19" i="4"/>
  <c r="MO18" i="4"/>
  <c r="MO17" i="4"/>
  <c r="MO16" i="4"/>
  <c r="MO15" i="4"/>
  <c r="MO14" i="4"/>
  <c r="MO13" i="4"/>
  <c r="MO12" i="4"/>
  <c r="MO11" i="4"/>
  <c r="MO4" i="4"/>
  <c r="MO7" i="4"/>
  <c r="MO44" i="4" s="1"/>
  <c r="MO10" i="4"/>
  <c r="MO5" i="4"/>
  <c r="MO8" i="4"/>
  <c r="MO6" i="4"/>
  <c r="MO2" i="4"/>
  <c r="MO9" i="4"/>
  <c r="MO3" i="4"/>
  <c r="MP1" i="4"/>
  <c r="MB57" i="4"/>
  <c r="MF55" i="4"/>
  <c r="MO46" i="4" l="1"/>
  <c r="MN49" i="4" s="1"/>
  <c r="MK52" i="4" s="1"/>
  <c r="MO45" i="4"/>
  <c r="MN48" i="4" s="1"/>
  <c r="MK51" i="4" s="1"/>
  <c r="MH54" i="4" s="1"/>
  <c r="MP36" i="4"/>
  <c r="MP35" i="4"/>
  <c r="MP38" i="4"/>
  <c r="MP37" i="4"/>
  <c r="MP39" i="4"/>
  <c r="MP40" i="4"/>
  <c r="MN47" i="4"/>
  <c r="MK50" i="4" s="1"/>
  <c r="MP34" i="4"/>
  <c r="MP33" i="4"/>
  <c r="MP32" i="4"/>
  <c r="MP31" i="4"/>
  <c r="MP30" i="4"/>
  <c r="MP29" i="4"/>
  <c r="MP28" i="4"/>
  <c r="MP27" i="4"/>
  <c r="MP26" i="4"/>
  <c r="MP25" i="4"/>
  <c r="MP24" i="4"/>
  <c r="MP23" i="4"/>
  <c r="MP22" i="4"/>
  <c r="MP21" i="4"/>
  <c r="MP20" i="4"/>
  <c r="MP19" i="4"/>
  <c r="MP18" i="4"/>
  <c r="MP17" i="4"/>
  <c r="MP16" i="4"/>
  <c r="MP7" i="4"/>
  <c r="MP10" i="4"/>
  <c r="MP15" i="4"/>
  <c r="MP5" i="4"/>
  <c r="MP14" i="4"/>
  <c r="MP8" i="4"/>
  <c r="MP13" i="4"/>
  <c r="MP12" i="4"/>
  <c r="MP6" i="4"/>
  <c r="MP3" i="4"/>
  <c r="MP11" i="4"/>
  <c r="MP9" i="4"/>
  <c r="MQ1" i="4"/>
  <c r="MP4" i="4"/>
  <c r="MP2" i="4"/>
  <c r="MC56" i="4"/>
  <c r="MG54" i="4"/>
  <c r="MC58" i="4"/>
  <c r="MD58" i="4"/>
  <c r="MG53" i="4"/>
  <c r="MP44" i="4" l="1"/>
  <c r="MO47" i="4" s="1"/>
  <c r="ML50" i="4" s="1"/>
  <c r="MI53" i="4" s="1"/>
  <c r="MP46" i="4"/>
  <c r="MP45" i="4"/>
  <c r="MO48" i="4" s="1"/>
  <c r="ML51" i="4" s="1"/>
  <c r="MQ36" i="4"/>
  <c r="MQ35" i="4"/>
  <c r="MQ38" i="4"/>
  <c r="MQ39" i="4"/>
  <c r="MQ40" i="4"/>
  <c r="MQ37" i="4"/>
  <c r="MO49" i="4"/>
  <c r="ML52" i="4" s="1"/>
  <c r="MH55" i="4"/>
  <c r="MH53" i="4"/>
  <c r="MD56" i="4"/>
  <c r="MD57" i="4"/>
  <c r="ME57" i="4"/>
  <c r="MQ34" i="4"/>
  <c r="MQ33" i="4"/>
  <c r="MQ32" i="4"/>
  <c r="MQ31" i="4"/>
  <c r="MQ30" i="4"/>
  <c r="MQ29" i="4"/>
  <c r="MQ28" i="4"/>
  <c r="MQ26" i="4"/>
  <c r="MQ25" i="4"/>
  <c r="MQ24" i="4"/>
  <c r="MQ27" i="4"/>
  <c r="MQ23" i="4"/>
  <c r="MQ19" i="4"/>
  <c r="MQ18" i="4"/>
  <c r="MQ17" i="4"/>
  <c r="MQ16" i="4"/>
  <c r="MQ20" i="4"/>
  <c r="MQ21" i="4"/>
  <c r="MQ22" i="4"/>
  <c r="MQ11" i="4"/>
  <c r="MQ15" i="4"/>
  <c r="MQ14" i="4"/>
  <c r="MQ13" i="4"/>
  <c r="MQ12" i="4"/>
  <c r="MQ10" i="4"/>
  <c r="MQ5" i="4"/>
  <c r="MQ8" i="4"/>
  <c r="MQ6" i="4"/>
  <c r="MQ3" i="4"/>
  <c r="MQ9" i="4"/>
  <c r="MR1" i="4"/>
  <c r="MQ2" i="4"/>
  <c r="MQ7" i="4"/>
  <c r="MQ4" i="4"/>
  <c r="MQ46" i="4" l="1"/>
  <c r="MP49" i="4" s="1"/>
  <c r="MM52" i="4" s="1"/>
  <c r="MQ44" i="4"/>
  <c r="MP47" i="4" s="1"/>
  <c r="MM50" i="4" s="1"/>
  <c r="MQ45" i="4"/>
  <c r="MP48" i="4" s="1"/>
  <c r="MM51" i="4" s="1"/>
  <c r="MJ54" i="4" s="1"/>
  <c r="MR36" i="4"/>
  <c r="MR35" i="4"/>
  <c r="MR38" i="4"/>
  <c r="MR39" i="4"/>
  <c r="MR37" i="4"/>
  <c r="MR40" i="4"/>
  <c r="ME58" i="4"/>
  <c r="MI55" i="4"/>
  <c r="MR34" i="4"/>
  <c r="MR33" i="4"/>
  <c r="MR32" i="4"/>
  <c r="MR31" i="4"/>
  <c r="MR30" i="4"/>
  <c r="MR29" i="4"/>
  <c r="MR28" i="4"/>
  <c r="MR27" i="4"/>
  <c r="MR26" i="4"/>
  <c r="MR25" i="4"/>
  <c r="MR24" i="4"/>
  <c r="MR23" i="4"/>
  <c r="MR22" i="4"/>
  <c r="MR21" i="4"/>
  <c r="MR20" i="4"/>
  <c r="MR19" i="4"/>
  <c r="MR18" i="4"/>
  <c r="MR17" i="4"/>
  <c r="MR16" i="4"/>
  <c r="MR11" i="4"/>
  <c r="MR15" i="4"/>
  <c r="MR14" i="4"/>
  <c r="MR13" i="4"/>
  <c r="MR12" i="4"/>
  <c r="MR5" i="4"/>
  <c r="MR8" i="4"/>
  <c r="MR6" i="4"/>
  <c r="MR3" i="4"/>
  <c r="MR9" i="4"/>
  <c r="MR4" i="4"/>
  <c r="MR7" i="4"/>
  <c r="MS1" i="4"/>
  <c r="MR10" i="4"/>
  <c r="MR2" i="4"/>
  <c r="MF56" i="4"/>
  <c r="MI54" i="4"/>
  <c r="ME56" i="4"/>
  <c r="MR46" i="4" l="1"/>
  <c r="MQ49" i="4" s="1"/>
  <c r="MN52" i="4" s="1"/>
  <c r="MR44" i="4"/>
  <c r="MQ47" i="4" s="1"/>
  <c r="MN50" i="4" s="1"/>
  <c r="MK53" i="4" s="1"/>
  <c r="MR45" i="4"/>
  <c r="MQ48" i="4" s="1"/>
  <c r="MN51" i="4" s="1"/>
  <c r="MS35" i="4"/>
  <c r="MS36" i="4"/>
  <c r="MS37" i="4"/>
  <c r="MS39" i="4"/>
  <c r="MS38" i="4"/>
  <c r="MS40" i="4"/>
  <c r="MS34" i="4"/>
  <c r="MS33" i="4"/>
  <c r="MS32" i="4"/>
  <c r="MS31" i="4"/>
  <c r="MS27" i="4"/>
  <c r="MS30" i="4"/>
  <c r="MS29" i="4"/>
  <c r="MS28" i="4"/>
  <c r="MS26" i="4"/>
  <c r="MS25" i="4"/>
  <c r="MS24" i="4"/>
  <c r="MS23" i="4"/>
  <c r="MS22" i="4"/>
  <c r="MS21" i="4"/>
  <c r="MS20" i="4"/>
  <c r="MS11" i="4"/>
  <c r="MS15" i="4"/>
  <c r="MS14" i="4"/>
  <c r="MS13" i="4"/>
  <c r="MS12" i="4"/>
  <c r="MS18" i="4"/>
  <c r="MS17" i="4"/>
  <c r="MS16" i="4"/>
  <c r="MS19" i="4"/>
  <c r="MS8" i="4"/>
  <c r="MS6" i="4"/>
  <c r="MS3" i="4"/>
  <c r="MS9" i="4"/>
  <c r="MS4" i="4"/>
  <c r="MS7" i="4"/>
  <c r="MS10" i="4"/>
  <c r="MT1" i="4"/>
  <c r="MS5" i="4"/>
  <c r="MS2" i="4"/>
  <c r="MJ53" i="4"/>
  <c r="MJ55" i="4"/>
  <c r="MF58" i="4"/>
  <c r="MF57" i="4"/>
  <c r="MG57" i="4"/>
  <c r="MS44" i="4" l="1"/>
  <c r="MR47" i="4" s="1"/>
  <c r="MO50" i="4" s="1"/>
  <c r="ML53" i="4" s="1"/>
  <c r="MI56" i="4" s="1"/>
  <c r="MS46" i="4"/>
  <c r="MR49" i="4" s="1"/>
  <c r="MO52" i="4" s="1"/>
  <c r="ML55" i="4" s="1"/>
  <c r="MS45" i="4"/>
  <c r="MR48" i="4" s="1"/>
  <c r="MO51" i="4" s="1"/>
  <c r="ML54" i="4" s="1"/>
  <c r="MT35" i="4"/>
  <c r="MT37" i="4"/>
  <c r="MT36" i="4"/>
  <c r="MT39" i="4"/>
  <c r="MT38" i="4"/>
  <c r="MT40" i="4"/>
  <c r="MK55" i="4"/>
  <c r="MT34" i="4"/>
  <c r="MT33" i="4"/>
  <c r="MT32" i="4"/>
  <c r="MT31" i="4"/>
  <c r="MT30" i="4"/>
  <c r="MT29" i="4"/>
  <c r="MT28" i="4"/>
  <c r="MT27" i="4"/>
  <c r="MT26" i="4"/>
  <c r="MT25" i="4"/>
  <c r="MT24" i="4"/>
  <c r="MT20" i="4"/>
  <c r="MT23" i="4"/>
  <c r="MT21" i="4"/>
  <c r="MT22" i="4"/>
  <c r="MT19" i="4"/>
  <c r="MT18" i="4"/>
  <c r="MT17" i="4"/>
  <c r="MT16" i="4"/>
  <c r="MT11" i="4"/>
  <c r="MT15" i="4"/>
  <c r="MT14" i="4"/>
  <c r="MT13" i="4"/>
  <c r="MT12" i="4"/>
  <c r="MT6" i="4"/>
  <c r="MT3" i="4"/>
  <c r="MT9" i="4"/>
  <c r="MT4" i="4"/>
  <c r="MT7" i="4"/>
  <c r="MT10" i="4"/>
  <c r="MU1" i="4"/>
  <c r="MT5" i="4"/>
  <c r="MT2" i="4"/>
  <c r="MT8" i="4"/>
  <c r="MG56" i="4"/>
  <c r="MH56" i="4"/>
  <c r="MK54" i="4"/>
  <c r="MG58" i="4"/>
  <c r="MT46" i="4" l="1"/>
  <c r="MS49" i="4" s="1"/>
  <c r="MP52" i="4" s="1"/>
  <c r="MT44" i="4"/>
  <c r="MS47" i="4" s="1"/>
  <c r="MP50" i="4" s="1"/>
  <c r="MT45" i="4"/>
  <c r="MS48" i="4" s="1"/>
  <c r="MP51" i="4" s="1"/>
  <c r="MU35" i="4"/>
  <c r="MU37" i="4"/>
  <c r="MU38" i="4"/>
  <c r="MU40" i="4"/>
  <c r="MU39" i="4"/>
  <c r="MU36" i="4"/>
  <c r="MI57" i="4"/>
  <c r="MH57" i="4"/>
  <c r="MU34" i="4"/>
  <c r="MU33" i="4"/>
  <c r="MU32" i="4"/>
  <c r="MU31" i="4"/>
  <c r="MU30" i="4"/>
  <c r="MU29" i="4"/>
  <c r="MU28" i="4"/>
  <c r="MU27" i="4"/>
  <c r="MU26" i="4"/>
  <c r="MU25" i="4"/>
  <c r="MU24" i="4"/>
  <c r="MU23" i="4"/>
  <c r="MU22" i="4"/>
  <c r="MU21" i="4"/>
  <c r="MU20" i="4"/>
  <c r="MU19" i="4"/>
  <c r="MU18" i="4"/>
  <c r="MU17" i="4"/>
  <c r="MU16" i="4"/>
  <c r="MU15" i="4"/>
  <c r="MU14" i="4"/>
  <c r="MU13" i="4"/>
  <c r="MU12" i="4"/>
  <c r="MU6" i="4"/>
  <c r="MU3" i="4"/>
  <c r="MU9" i="4"/>
  <c r="MU4" i="4"/>
  <c r="MU7" i="4"/>
  <c r="MU10" i="4"/>
  <c r="MU11" i="4"/>
  <c r="MU5" i="4"/>
  <c r="MU8" i="4"/>
  <c r="MU2" i="4"/>
  <c r="MV1" i="4"/>
  <c r="MI58" i="4"/>
  <c r="MH58" i="4"/>
  <c r="MU46" i="4" l="1"/>
  <c r="MT49" i="4" s="1"/>
  <c r="MQ52" i="4" s="1"/>
  <c r="MN55" i="4" s="1"/>
  <c r="MU44" i="4"/>
  <c r="MT47" i="4" s="1"/>
  <c r="MQ50" i="4" s="1"/>
  <c r="MU45" i="4"/>
  <c r="MT48" i="4" s="1"/>
  <c r="MQ51" i="4" s="1"/>
  <c r="MV36" i="4"/>
  <c r="MV35" i="4"/>
  <c r="MV38" i="4"/>
  <c r="MV37" i="4"/>
  <c r="MV40" i="4"/>
  <c r="MV39" i="4"/>
  <c r="MM53" i="4"/>
  <c r="MM55" i="4"/>
  <c r="MM54" i="4"/>
  <c r="MV34" i="4"/>
  <c r="MV33" i="4"/>
  <c r="MV32" i="4"/>
  <c r="MV31" i="4"/>
  <c r="MV30" i="4"/>
  <c r="MV29" i="4"/>
  <c r="MV28" i="4"/>
  <c r="MV27" i="4"/>
  <c r="MV26" i="4"/>
  <c r="MV25" i="4"/>
  <c r="MV24" i="4"/>
  <c r="MV23" i="4"/>
  <c r="MV22" i="4"/>
  <c r="MV21" i="4"/>
  <c r="MV20" i="4"/>
  <c r="MV19" i="4"/>
  <c r="MV18" i="4"/>
  <c r="MV17" i="4"/>
  <c r="MV16" i="4"/>
  <c r="MV15" i="4"/>
  <c r="MV14" i="4"/>
  <c r="MV13" i="4"/>
  <c r="MV12" i="4"/>
  <c r="MV9" i="4"/>
  <c r="MV4" i="4"/>
  <c r="MV7" i="4"/>
  <c r="MV10" i="4"/>
  <c r="MV11" i="4"/>
  <c r="MV5" i="4"/>
  <c r="MV8" i="4"/>
  <c r="MV2" i="4"/>
  <c r="MV3" i="4"/>
  <c r="MW1" i="4"/>
  <c r="MV6" i="4"/>
  <c r="MV45" i="4" l="1"/>
  <c r="MU48" i="4" s="1"/>
  <c r="MR51" i="4" s="1"/>
  <c r="MO54" i="4" s="1"/>
  <c r="MV44" i="4"/>
  <c r="MV46" i="4"/>
  <c r="MW36" i="4"/>
  <c r="MW35" i="4"/>
  <c r="MW37" i="4"/>
  <c r="MW38" i="4"/>
  <c r="MW39" i="4"/>
  <c r="MW40" i="4"/>
  <c r="MU47" i="4"/>
  <c r="MR50" i="4" s="1"/>
  <c r="MU49" i="4"/>
  <c r="MR52" i="4" s="1"/>
  <c r="MO55" i="4" s="1"/>
  <c r="MW34" i="4"/>
  <c r="MW33" i="4"/>
  <c r="MW32" i="4"/>
  <c r="MW30" i="4"/>
  <c r="MW29" i="4"/>
  <c r="MW28" i="4"/>
  <c r="MW27" i="4"/>
  <c r="MW31" i="4"/>
  <c r="MW26" i="4"/>
  <c r="MW25" i="4"/>
  <c r="MW24" i="4"/>
  <c r="MW23" i="4"/>
  <c r="MW22" i="4"/>
  <c r="MW21" i="4"/>
  <c r="MW20" i="4"/>
  <c r="MW19" i="4"/>
  <c r="MW18" i="4"/>
  <c r="MW17" i="4"/>
  <c r="MW16" i="4"/>
  <c r="MW15" i="4"/>
  <c r="MW14" i="4"/>
  <c r="MW13" i="4"/>
  <c r="MW12" i="4"/>
  <c r="MW11" i="4"/>
  <c r="MW4" i="4"/>
  <c r="MW7" i="4"/>
  <c r="MW10" i="4"/>
  <c r="MW5" i="4"/>
  <c r="MW8" i="4"/>
  <c r="MW2" i="4"/>
  <c r="MW9" i="4"/>
  <c r="MW3" i="4"/>
  <c r="MX1" i="4"/>
  <c r="MW6" i="4"/>
  <c r="MJ57" i="4"/>
  <c r="MJ56" i="4"/>
  <c r="MN53" i="4"/>
  <c r="MN54" i="4"/>
  <c r="MJ58" i="4"/>
  <c r="MK58" i="4"/>
  <c r="MW45" i="4" l="1"/>
  <c r="MV48" i="4" s="1"/>
  <c r="MS51" i="4" s="1"/>
  <c r="MP54" i="4" s="1"/>
  <c r="MW46" i="4"/>
  <c r="MV49" i="4" s="1"/>
  <c r="MS52" i="4" s="1"/>
  <c r="MP55" i="4" s="1"/>
  <c r="MW44" i="4"/>
  <c r="MV47" i="4" s="1"/>
  <c r="MS50" i="4" s="1"/>
  <c r="MP53" i="4" s="1"/>
  <c r="MX36" i="4"/>
  <c r="MX35" i="4"/>
  <c r="MX38" i="4"/>
  <c r="MX39" i="4"/>
  <c r="MX40" i="4"/>
  <c r="MX37" i="4"/>
  <c r="MX34" i="4"/>
  <c r="MX33" i="4"/>
  <c r="MX32" i="4"/>
  <c r="MX31" i="4"/>
  <c r="MX30" i="4"/>
  <c r="MX29" i="4"/>
  <c r="MX28" i="4"/>
  <c r="MX26" i="4"/>
  <c r="MX25" i="4"/>
  <c r="MX24" i="4"/>
  <c r="MX27" i="4"/>
  <c r="MX23" i="4"/>
  <c r="MX22" i="4"/>
  <c r="MX21" i="4"/>
  <c r="MX20" i="4"/>
  <c r="MX19" i="4"/>
  <c r="MX18" i="4"/>
  <c r="MX17" i="4"/>
  <c r="MX16" i="4"/>
  <c r="MX7" i="4"/>
  <c r="MX15" i="4"/>
  <c r="MX10" i="4"/>
  <c r="MX14" i="4"/>
  <c r="MX5" i="4"/>
  <c r="MX13" i="4"/>
  <c r="MX11" i="4"/>
  <c r="MX8" i="4"/>
  <c r="MX12" i="4"/>
  <c r="MX6" i="4"/>
  <c r="MX3" i="4"/>
  <c r="MX9" i="4"/>
  <c r="MX2" i="4"/>
  <c r="MY1" i="4"/>
  <c r="MX4" i="4"/>
  <c r="ML57" i="4"/>
  <c r="ML58" i="4"/>
  <c r="MO53" i="4"/>
  <c r="MK56" i="4"/>
  <c r="MK57" i="4"/>
  <c r="MX46" i="4" l="1"/>
  <c r="MW49" i="4" s="1"/>
  <c r="MT52" i="4" s="1"/>
  <c r="MX45" i="4"/>
  <c r="MW48" i="4" s="1"/>
  <c r="MT51" i="4" s="1"/>
  <c r="MX44" i="4"/>
  <c r="MW47" i="4" s="1"/>
  <c r="MT50" i="4" s="1"/>
  <c r="MY36" i="4"/>
  <c r="MY35" i="4"/>
  <c r="MY38" i="4"/>
  <c r="MY37" i="4"/>
  <c r="MY39" i="4"/>
  <c r="MY40" i="4"/>
  <c r="MM57" i="4"/>
  <c r="MM58" i="4"/>
  <c r="MM56" i="4"/>
  <c r="MY34" i="4"/>
  <c r="MY33" i="4"/>
  <c r="MY32" i="4"/>
  <c r="MY31" i="4"/>
  <c r="MY30" i="4"/>
  <c r="MY29" i="4"/>
  <c r="MY28" i="4"/>
  <c r="MY26" i="4"/>
  <c r="MY25" i="4"/>
  <c r="MY24" i="4"/>
  <c r="MY27" i="4"/>
  <c r="MY23" i="4"/>
  <c r="MY20" i="4"/>
  <c r="MY18" i="4"/>
  <c r="MY17" i="4"/>
  <c r="MY16" i="4"/>
  <c r="MY21" i="4"/>
  <c r="MY19" i="4"/>
  <c r="MY22" i="4"/>
  <c r="MY11" i="4"/>
  <c r="MY15" i="4"/>
  <c r="MY14" i="4"/>
  <c r="MY13" i="4"/>
  <c r="MY12" i="4"/>
  <c r="MY10" i="4"/>
  <c r="MY5" i="4"/>
  <c r="MY8" i="4"/>
  <c r="MY6" i="4"/>
  <c r="MY3" i="4"/>
  <c r="MY9" i="4"/>
  <c r="MZ1" i="4"/>
  <c r="MY2" i="4"/>
  <c r="MY7" i="4"/>
  <c r="MY4" i="4"/>
  <c r="ML56" i="4"/>
  <c r="MY44" i="4" l="1"/>
  <c r="MX47" i="4" s="1"/>
  <c r="MU50" i="4" s="1"/>
  <c r="MY46" i="4"/>
  <c r="MX49" i="4" s="1"/>
  <c r="MU52" i="4" s="1"/>
  <c r="MY45" i="4"/>
  <c r="MX48" i="4" s="1"/>
  <c r="MU51" i="4" s="1"/>
  <c r="MZ36" i="4"/>
  <c r="MZ35" i="4"/>
  <c r="MZ38" i="4"/>
  <c r="MZ37" i="4"/>
  <c r="MZ39" i="4"/>
  <c r="MZ40" i="4"/>
  <c r="MQ54" i="4"/>
  <c r="MQ55" i="4"/>
  <c r="MZ34" i="4"/>
  <c r="MZ33" i="4"/>
  <c r="MZ32" i="4"/>
  <c r="MZ31" i="4"/>
  <c r="MZ30" i="4"/>
  <c r="MZ29" i="4"/>
  <c r="MZ28" i="4"/>
  <c r="MZ27" i="4"/>
  <c r="MZ23" i="4"/>
  <c r="MZ22" i="4"/>
  <c r="MZ21" i="4"/>
  <c r="MZ20" i="4"/>
  <c r="MZ18" i="4"/>
  <c r="MZ17" i="4"/>
  <c r="MZ16" i="4"/>
  <c r="MZ26" i="4"/>
  <c r="MZ25" i="4"/>
  <c r="MZ24" i="4"/>
  <c r="MZ19" i="4"/>
  <c r="MZ11" i="4"/>
  <c r="MZ15" i="4"/>
  <c r="MZ14" i="4"/>
  <c r="MZ13" i="4"/>
  <c r="MZ12" i="4"/>
  <c r="MZ5" i="4"/>
  <c r="MZ8" i="4"/>
  <c r="MZ6" i="4"/>
  <c r="MZ3" i="4"/>
  <c r="MZ9" i="4"/>
  <c r="MZ4" i="4"/>
  <c r="MZ7" i="4"/>
  <c r="NA1" i="4"/>
  <c r="MZ10" i="4"/>
  <c r="MZ2" i="4"/>
  <c r="MQ53" i="4"/>
  <c r="MZ46" i="4" l="1"/>
  <c r="MY49" i="4" s="1"/>
  <c r="MV52" i="4" s="1"/>
  <c r="MS55" i="4" s="1"/>
  <c r="MZ44" i="4"/>
  <c r="MY47" i="4" s="1"/>
  <c r="MV50" i="4" s="1"/>
  <c r="MZ45" i="4"/>
  <c r="MY48" i="4" s="1"/>
  <c r="MV51" i="4" s="1"/>
  <c r="MS54" i="4" s="1"/>
  <c r="NA35" i="4"/>
  <c r="NA36" i="4"/>
  <c r="NA37" i="4"/>
  <c r="NA38" i="4"/>
  <c r="NA39" i="4"/>
  <c r="NA40" i="4"/>
  <c r="MR53" i="4"/>
  <c r="MN57" i="4"/>
  <c r="NA34" i="4"/>
  <c r="NA33" i="4"/>
  <c r="NA32" i="4"/>
  <c r="NA31" i="4"/>
  <c r="NA27" i="4"/>
  <c r="NA30" i="4"/>
  <c r="NA29" i="4"/>
  <c r="NA28" i="4"/>
  <c r="NA26" i="4"/>
  <c r="NA25" i="4"/>
  <c r="NA24" i="4"/>
  <c r="NA23" i="4"/>
  <c r="NA22" i="4"/>
  <c r="NA21" i="4"/>
  <c r="NA20" i="4"/>
  <c r="NA19" i="4"/>
  <c r="NA11" i="4"/>
  <c r="NA18" i="4"/>
  <c r="NA17" i="4"/>
  <c r="NA16" i="4"/>
  <c r="NA15" i="4"/>
  <c r="NA14" i="4"/>
  <c r="NA13" i="4"/>
  <c r="NA12" i="4"/>
  <c r="NA8" i="4"/>
  <c r="NA6" i="4"/>
  <c r="NA3" i="4"/>
  <c r="NA9" i="4"/>
  <c r="NA4" i="4"/>
  <c r="NA7" i="4"/>
  <c r="NA10" i="4"/>
  <c r="NB1" i="4"/>
  <c r="NA5" i="4"/>
  <c r="NA2" i="4"/>
  <c r="MN56" i="4"/>
  <c r="MN58" i="4"/>
  <c r="MR54" i="4"/>
  <c r="MR55" i="4"/>
  <c r="NA46" i="4" l="1"/>
  <c r="MZ49" i="4" s="1"/>
  <c r="MW52" i="4" s="1"/>
  <c r="NA44" i="4"/>
  <c r="MZ47" i="4" s="1"/>
  <c r="MW50" i="4" s="1"/>
  <c r="MT53" i="4" s="1"/>
  <c r="NA45" i="4"/>
  <c r="MZ48" i="4" s="1"/>
  <c r="MW51" i="4" s="1"/>
  <c r="NB35" i="4"/>
  <c r="NB37" i="4"/>
  <c r="NB36" i="4"/>
  <c r="NB38" i="4"/>
  <c r="NB39" i="4"/>
  <c r="NB40" i="4"/>
  <c r="MS53" i="4"/>
  <c r="MO56" i="4"/>
  <c r="MP58" i="4"/>
  <c r="NB34" i="4"/>
  <c r="NB33" i="4"/>
  <c r="NB32" i="4"/>
  <c r="NB31" i="4"/>
  <c r="NB30" i="4"/>
  <c r="NB29" i="4"/>
  <c r="NB28" i="4"/>
  <c r="NB27" i="4"/>
  <c r="NB26" i="4"/>
  <c r="NB25" i="4"/>
  <c r="NB24" i="4"/>
  <c r="NB19" i="4"/>
  <c r="NB21" i="4"/>
  <c r="NB23" i="4"/>
  <c r="NB22" i="4"/>
  <c r="NB18" i="4"/>
  <c r="NB17" i="4"/>
  <c r="NB16" i="4"/>
  <c r="NB20" i="4"/>
  <c r="NB11" i="4"/>
  <c r="NB15" i="4"/>
  <c r="NB14" i="4"/>
  <c r="NB13" i="4"/>
  <c r="NB12" i="4"/>
  <c r="NB6" i="4"/>
  <c r="NB3" i="4"/>
  <c r="NB9" i="4"/>
  <c r="NB4" i="4"/>
  <c r="NB7" i="4"/>
  <c r="NB10" i="4"/>
  <c r="NB5" i="4"/>
  <c r="NB2" i="4"/>
  <c r="NB8" i="4"/>
  <c r="NC1" i="4"/>
  <c r="MO57" i="4"/>
  <c r="MP57" i="4"/>
  <c r="MO58" i="4"/>
  <c r="NB46" i="4" l="1"/>
  <c r="NA49" i="4" s="1"/>
  <c r="MX52" i="4" s="1"/>
  <c r="MU55" i="4" s="1"/>
  <c r="NB44" i="4"/>
  <c r="NA47" i="4" s="1"/>
  <c r="MX50" i="4" s="1"/>
  <c r="NB45" i="4"/>
  <c r="NA48" i="4" s="1"/>
  <c r="MX51" i="4" s="1"/>
  <c r="MU54" i="4" s="1"/>
  <c r="NC35" i="4"/>
  <c r="NC37" i="4"/>
  <c r="NC36" i="4"/>
  <c r="NC39" i="4"/>
  <c r="NC38" i="4"/>
  <c r="NC40" i="4"/>
  <c r="NC34" i="4"/>
  <c r="NC33" i="4"/>
  <c r="NC32" i="4"/>
  <c r="NC31" i="4"/>
  <c r="NC30" i="4"/>
  <c r="NC29" i="4"/>
  <c r="NC28" i="4"/>
  <c r="NC27" i="4"/>
  <c r="NC26" i="4"/>
  <c r="NC25" i="4"/>
  <c r="NC24" i="4"/>
  <c r="NC23" i="4"/>
  <c r="NC22" i="4"/>
  <c r="NC21" i="4"/>
  <c r="NC20" i="4"/>
  <c r="NC18" i="4"/>
  <c r="NC17" i="4"/>
  <c r="NC16" i="4"/>
  <c r="NC15" i="4"/>
  <c r="NC14" i="4"/>
  <c r="NC13" i="4"/>
  <c r="NC12" i="4"/>
  <c r="NC19" i="4"/>
  <c r="NC6" i="4"/>
  <c r="NC3" i="4"/>
  <c r="NC9" i="4"/>
  <c r="NC11" i="4"/>
  <c r="NC4" i="4"/>
  <c r="NC7" i="4"/>
  <c r="NC44" i="4" s="1"/>
  <c r="NC10" i="4"/>
  <c r="NC5" i="4"/>
  <c r="NC8" i="4"/>
  <c r="ND1" i="4"/>
  <c r="NC2" i="4"/>
  <c r="MT54" i="4"/>
  <c r="MT55" i="4"/>
  <c r="MQ56" i="4"/>
  <c r="MP56" i="4"/>
  <c r="NC46" i="4" l="1"/>
  <c r="NB49" i="4" s="1"/>
  <c r="MY52" i="4" s="1"/>
  <c r="NC45" i="4"/>
  <c r="NB48" i="4" s="1"/>
  <c r="MY51" i="4" s="1"/>
  <c r="ND36" i="4"/>
  <c r="ND35" i="4"/>
  <c r="ND38" i="4"/>
  <c r="ND37" i="4"/>
  <c r="ND39" i="4"/>
  <c r="ND40" i="4"/>
  <c r="NB47" i="4"/>
  <c r="MY50" i="4" s="1"/>
  <c r="MR58" i="4"/>
  <c r="MU53" i="4"/>
  <c r="MR57" i="4"/>
  <c r="ND34" i="4"/>
  <c r="ND33" i="4"/>
  <c r="ND32" i="4"/>
  <c r="ND31" i="4"/>
  <c r="ND30" i="4"/>
  <c r="ND29" i="4"/>
  <c r="ND28" i="4"/>
  <c r="ND27" i="4"/>
  <c r="ND26" i="4"/>
  <c r="ND25" i="4"/>
  <c r="ND24" i="4"/>
  <c r="ND22" i="4"/>
  <c r="ND21" i="4"/>
  <c r="ND20" i="4"/>
  <c r="ND23" i="4"/>
  <c r="ND18" i="4"/>
  <c r="ND17" i="4"/>
  <c r="ND16" i="4"/>
  <c r="ND19" i="4"/>
  <c r="ND15" i="4"/>
  <c r="ND14" i="4"/>
  <c r="ND13" i="4"/>
  <c r="ND12" i="4"/>
  <c r="ND9" i="4"/>
  <c r="ND11" i="4"/>
  <c r="ND4" i="4"/>
  <c r="ND7" i="4"/>
  <c r="ND10" i="4"/>
  <c r="ND5" i="4"/>
  <c r="ND8" i="4"/>
  <c r="ND3" i="4"/>
  <c r="ND2" i="4"/>
  <c r="ND6" i="4"/>
  <c r="NE1" i="4"/>
  <c r="MQ57" i="4"/>
  <c r="MQ58" i="4"/>
  <c r="ND46" i="4" l="1"/>
  <c r="NC49" i="4" s="1"/>
  <c r="MZ52" i="4" s="1"/>
  <c r="MW55" i="4" s="1"/>
  <c r="ND44" i="4"/>
  <c r="ND45" i="4"/>
  <c r="NC48" i="4" s="1"/>
  <c r="MZ51" i="4" s="1"/>
  <c r="MW54" i="4" s="1"/>
  <c r="NE36" i="4"/>
  <c r="NE35" i="4"/>
  <c r="NE37" i="4"/>
  <c r="NE39" i="4"/>
  <c r="NE38" i="4"/>
  <c r="NE40" i="4"/>
  <c r="NC47" i="4"/>
  <c r="MZ50" i="4" s="1"/>
  <c r="NE34" i="4"/>
  <c r="NE33" i="4"/>
  <c r="NE32" i="4"/>
  <c r="NE31" i="4"/>
  <c r="NE30" i="4"/>
  <c r="NE29" i="4"/>
  <c r="NE28" i="4"/>
  <c r="NE27" i="4"/>
  <c r="NE26" i="4"/>
  <c r="NE25" i="4"/>
  <c r="NE24" i="4"/>
  <c r="NE22" i="4"/>
  <c r="NE21" i="4"/>
  <c r="NE20" i="4"/>
  <c r="NE19" i="4"/>
  <c r="NE23" i="4"/>
  <c r="NE18" i="4"/>
  <c r="NE17" i="4"/>
  <c r="NE16" i="4"/>
  <c r="NE15" i="4"/>
  <c r="NE14" i="4"/>
  <c r="NE13" i="4"/>
  <c r="NE12" i="4"/>
  <c r="NE11" i="4"/>
  <c r="NE4" i="4"/>
  <c r="NE7" i="4"/>
  <c r="NE10" i="4"/>
  <c r="NE5" i="4"/>
  <c r="NE8" i="4"/>
  <c r="NE9" i="4"/>
  <c r="NE2" i="4"/>
  <c r="NF1" i="4"/>
  <c r="NE6" i="4"/>
  <c r="NE3" i="4"/>
  <c r="MV53" i="4"/>
  <c r="MV55" i="4"/>
  <c r="MV54" i="4"/>
  <c r="MR56" i="4"/>
  <c r="NE44" i="4" l="1"/>
  <c r="ND47" i="4" s="1"/>
  <c r="NA50" i="4" s="1"/>
  <c r="MX53" i="4" s="1"/>
  <c r="NE45" i="4"/>
  <c r="ND48" i="4" s="1"/>
  <c r="NA51" i="4" s="1"/>
  <c r="NE46" i="4"/>
  <c r="ND49" i="4" s="1"/>
  <c r="NA52" i="4" s="1"/>
  <c r="NF36" i="4"/>
  <c r="NF35" i="4"/>
  <c r="NF38" i="4"/>
  <c r="NF37" i="4"/>
  <c r="NF40" i="4"/>
  <c r="NF39" i="4"/>
  <c r="NF34" i="4"/>
  <c r="NF33" i="4"/>
  <c r="NF32" i="4"/>
  <c r="NF31" i="4"/>
  <c r="NF30" i="4"/>
  <c r="NF29" i="4"/>
  <c r="NF28" i="4"/>
  <c r="NF27" i="4"/>
  <c r="NF26" i="4"/>
  <c r="NF25" i="4"/>
  <c r="NF24" i="4"/>
  <c r="NF22" i="4"/>
  <c r="NF21" i="4"/>
  <c r="NF20" i="4"/>
  <c r="NF19" i="4"/>
  <c r="NF23" i="4"/>
  <c r="NF18" i="4"/>
  <c r="NF17" i="4"/>
  <c r="NF16" i="4"/>
  <c r="NF15" i="4"/>
  <c r="NF11" i="4"/>
  <c r="NF7" i="4"/>
  <c r="NF14" i="4"/>
  <c r="NF10" i="4"/>
  <c r="NF13" i="4"/>
  <c r="NF5" i="4"/>
  <c r="NF12" i="4"/>
  <c r="NF8" i="4"/>
  <c r="NF6" i="4"/>
  <c r="NF3" i="4"/>
  <c r="NF9" i="4"/>
  <c r="NF2" i="4"/>
  <c r="NF4" i="4"/>
  <c r="NG1" i="4"/>
  <c r="MT57" i="4"/>
  <c r="MS57" i="4"/>
  <c r="MS58" i="4"/>
  <c r="MT58" i="4"/>
  <c r="MS56" i="4"/>
  <c r="MW53" i="4"/>
  <c r="NF46" i="4" l="1"/>
  <c r="NE49" i="4" s="1"/>
  <c r="NB52" i="4" s="1"/>
  <c r="MY55" i="4" s="1"/>
  <c r="NF44" i="4"/>
  <c r="NE47" i="4" s="1"/>
  <c r="NB50" i="4" s="1"/>
  <c r="NF45" i="4"/>
  <c r="NE48" i="4" s="1"/>
  <c r="NB51" i="4" s="1"/>
  <c r="MY54" i="4" s="1"/>
  <c r="NG36" i="4"/>
  <c r="NG38" i="4"/>
  <c r="NG35" i="4"/>
  <c r="NG39" i="4"/>
  <c r="NG37" i="4"/>
  <c r="NG40" i="4"/>
  <c r="MX55" i="4"/>
  <c r="MX54" i="4"/>
  <c r="MU56" i="4"/>
  <c r="NG34" i="4"/>
  <c r="NG33" i="4"/>
  <c r="NG32" i="4"/>
  <c r="NG31" i="4"/>
  <c r="NG30" i="4"/>
  <c r="NG29" i="4"/>
  <c r="NG28" i="4"/>
  <c r="NG26" i="4"/>
  <c r="NG25" i="4"/>
  <c r="NG24" i="4"/>
  <c r="NG22" i="4"/>
  <c r="NG23" i="4"/>
  <c r="NG21" i="4"/>
  <c r="NG18" i="4"/>
  <c r="NG17" i="4"/>
  <c r="NG16" i="4"/>
  <c r="NG27" i="4"/>
  <c r="NG19" i="4"/>
  <c r="NG20" i="4"/>
  <c r="NG11" i="4"/>
  <c r="NG15" i="4"/>
  <c r="NG14" i="4"/>
  <c r="NG13" i="4"/>
  <c r="NG12" i="4"/>
  <c r="NG10" i="4"/>
  <c r="NG5" i="4"/>
  <c r="NG8" i="4"/>
  <c r="NG6" i="4"/>
  <c r="NG3" i="4"/>
  <c r="NG9" i="4"/>
  <c r="NH1" i="4"/>
  <c r="NG2" i="4"/>
  <c r="NG4" i="4"/>
  <c r="NG7" i="4"/>
  <c r="NG44" i="4" s="1"/>
  <c r="MT56" i="4"/>
  <c r="NG46" i="4" l="1"/>
  <c r="NF49" i="4" s="1"/>
  <c r="NC52" i="4" s="1"/>
  <c r="MZ55" i="4" s="1"/>
  <c r="NG45" i="4"/>
  <c r="NF48" i="4" s="1"/>
  <c r="NC51" i="4" s="1"/>
  <c r="NH36" i="4"/>
  <c r="NH38" i="4"/>
  <c r="NH39" i="4"/>
  <c r="NH37" i="4"/>
  <c r="NH35" i="4"/>
  <c r="NH40" i="4"/>
  <c r="NF47" i="4"/>
  <c r="NC50" i="4" s="1"/>
  <c r="MZ53" i="4" s="1"/>
  <c r="NH34" i="4"/>
  <c r="NH33" i="4"/>
  <c r="NH32" i="4"/>
  <c r="NH31" i="4"/>
  <c r="NH30" i="4"/>
  <c r="NH29" i="4"/>
  <c r="NH28" i="4"/>
  <c r="NH27" i="4"/>
  <c r="NH22" i="4"/>
  <c r="NH21" i="4"/>
  <c r="NH20" i="4"/>
  <c r="NH23" i="4"/>
  <c r="NH26" i="4"/>
  <c r="NH25" i="4"/>
  <c r="NH24" i="4"/>
  <c r="NH18" i="4"/>
  <c r="NH17" i="4"/>
  <c r="NH16" i="4"/>
  <c r="NH19" i="4"/>
  <c r="NH11" i="4"/>
  <c r="NH15" i="4"/>
  <c r="NH14" i="4"/>
  <c r="NH13" i="4"/>
  <c r="NH12" i="4"/>
  <c r="NH5" i="4"/>
  <c r="NH8" i="4"/>
  <c r="NH6" i="4"/>
  <c r="NH3" i="4"/>
  <c r="NH9" i="4"/>
  <c r="NH4" i="4"/>
  <c r="NH7" i="4"/>
  <c r="NI1" i="4"/>
  <c r="NH10" i="4"/>
  <c r="NH2" i="4"/>
  <c r="MU58" i="4"/>
  <c r="MV58" i="4"/>
  <c r="MY53" i="4"/>
  <c r="MV57" i="4"/>
  <c r="MU57" i="4"/>
  <c r="NH46" i="4" l="1"/>
  <c r="NG49" i="4" s="1"/>
  <c r="ND52" i="4" s="1"/>
  <c r="NA55" i="4" s="1"/>
  <c r="MX58" i="4" s="1"/>
  <c r="NH44" i="4"/>
  <c r="NG47" i="4" s="1"/>
  <c r="ND50" i="4" s="1"/>
  <c r="NH45" i="4"/>
  <c r="NG48" i="4" s="1"/>
  <c r="ND51" i="4" s="1"/>
  <c r="NA54" i="4" s="1"/>
  <c r="NI35" i="4"/>
  <c r="NI36" i="4"/>
  <c r="NI37" i="4"/>
  <c r="NI39" i="4"/>
  <c r="NI38" i="4"/>
  <c r="NI40" i="4"/>
  <c r="MW58" i="4"/>
  <c r="MV56" i="4"/>
  <c r="MW56" i="4"/>
  <c r="MZ54" i="4"/>
  <c r="NI34" i="4"/>
  <c r="NI33" i="4"/>
  <c r="NI32" i="4"/>
  <c r="NI31" i="4"/>
  <c r="NI30" i="4"/>
  <c r="NI29" i="4"/>
  <c r="NI28" i="4"/>
  <c r="NI27" i="4"/>
  <c r="NI26" i="4"/>
  <c r="NI25" i="4"/>
  <c r="NI24" i="4"/>
  <c r="NI22" i="4"/>
  <c r="NI21" i="4"/>
  <c r="NI20" i="4"/>
  <c r="NI23" i="4"/>
  <c r="NI19" i="4"/>
  <c r="NI11" i="4"/>
  <c r="NI18" i="4"/>
  <c r="NI17" i="4"/>
  <c r="NI16" i="4"/>
  <c r="NI15" i="4"/>
  <c r="NI14" i="4"/>
  <c r="NI13" i="4"/>
  <c r="NI12" i="4"/>
  <c r="NI8" i="4"/>
  <c r="NI6" i="4"/>
  <c r="NI3" i="4"/>
  <c r="NI9" i="4"/>
  <c r="NI4" i="4"/>
  <c r="NI7" i="4"/>
  <c r="NI10" i="4"/>
  <c r="NJ1" i="4"/>
  <c r="NI2" i="4"/>
  <c r="NI5" i="4"/>
  <c r="NI46" i="4" l="1"/>
  <c r="NH49" i="4" s="1"/>
  <c r="NE52" i="4" s="1"/>
  <c r="NI44" i="4"/>
  <c r="NH47" i="4" s="1"/>
  <c r="NE50" i="4" s="1"/>
  <c r="NI45" i="4"/>
  <c r="NH48" i="4" s="1"/>
  <c r="NE51" i="4" s="1"/>
  <c r="NJ35" i="4"/>
  <c r="NJ36" i="4"/>
  <c r="NJ37" i="4"/>
  <c r="NJ39" i="4"/>
  <c r="NJ40" i="4"/>
  <c r="NJ38" i="4"/>
  <c r="MX57" i="4"/>
  <c r="MW57" i="4"/>
  <c r="NJ34" i="4"/>
  <c r="NJ33" i="4"/>
  <c r="NJ32" i="4"/>
  <c r="NJ31" i="4"/>
  <c r="NJ30" i="4"/>
  <c r="NJ29" i="4"/>
  <c r="NJ28" i="4"/>
  <c r="NJ27" i="4"/>
  <c r="NJ26" i="4"/>
  <c r="NJ25" i="4"/>
  <c r="NJ24" i="4"/>
  <c r="NJ23" i="4"/>
  <c r="NJ22" i="4"/>
  <c r="NJ19" i="4"/>
  <c r="NJ20" i="4"/>
  <c r="NJ18" i="4"/>
  <c r="NJ17" i="4"/>
  <c r="NJ16" i="4"/>
  <c r="NJ11" i="4"/>
  <c r="NJ15" i="4"/>
  <c r="NJ14" i="4"/>
  <c r="NJ13" i="4"/>
  <c r="NJ12" i="4"/>
  <c r="NJ21" i="4"/>
  <c r="NJ6" i="4"/>
  <c r="NJ3" i="4"/>
  <c r="NJ9" i="4"/>
  <c r="NJ4" i="4"/>
  <c r="NJ7" i="4"/>
  <c r="NJ10" i="4"/>
  <c r="NK1" i="4"/>
  <c r="NJ2" i="4"/>
  <c r="NJ8" i="4"/>
  <c r="NJ5" i="4"/>
  <c r="NA53" i="4"/>
  <c r="NJ46" i="4" l="1"/>
  <c r="NI49" i="4" s="1"/>
  <c r="NF52" i="4" s="1"/>
  <c r="NJ45" i="4"/>
  <c r="NI48" i="4" s="1"/>
  <c r="NF51" i="4" s="1"/>
  <c r="NC54" i="4" s="1"/>
  <c r="NJ44" i="4"/>
  <c r="NI47" i="4" s="1"/>
  <c r="NF50" i="4" s="1"/>
  <c r="NK35" i="4"/>
  <c r="NK36" i="4"/>
  <c r="NK37" i="4"/>
  <c r="NK38" i="4"/>
  <c r="NK40" i="4"/>
  <c r="NK39" i="4"/>
  <c r="NB53" i="4"/>
  <c r="MX56" i="4"/>
  <c r="NK34" i="4"/>
  <c r="NK33" i="4"/>
  <c r="NK32" i="4"/>
  <c r="NK31" i="4"/>
  <c r="NK30" i="4"/>
  <c r="NK29" i="4"/>
  <c r="NK28" i="4"/>
  <c r="NK27" i="4"/>
  <c r="NK26" i="4"/>
  <c r="NK25" i="4"/>
  <c r="NK24" i="4"/>
  <c r="NK23" i="4"/>
  <c r="NK22" i="4"/>
  <c r="NK21" i="4"/>
  <c r="NK20" i="4"/>
  <c r="NK19" i="4"/>
  <c r="NK18" i="4"/>
  <c r="NK17" i="4"/>
  <c r="NK16" i="4"/>
  <c r="NK15" i="4"/>
  <c r="NK14" i="4"/>
  <c r="NK13" i="4"/>
  <c r="NK12" i="4"/>
  <c r="NK6" i="4"/>
  <c r="NK3" i="4"/>
  <c r="NK9" i="4"/>
  <c r="NK4" i="4"/>
  <c r="NK7" i="4"/>
  <c r="NK10" i="4"/>
  <c r="NK5" i="4"/>
  <c r="NK8" i="4"/>
  <c r="NK11" i="4"/>
  <c r="NK2" i="4"/>
  <c r="NL1" i="4"/>
  <c r="NB55" i="4"/>
  <c r="NB54" i="4"/>
  <c r="NK46" i="4" l="1"/>
  <c r="NJ49" i="4" s="1"/>
  <c r="NG52" i="4" s="1"/>
  <c r="NK44" i="4"/>
  <c r="NJ47" i="4" s="1"/>
  <c r="NG50" i="4" s="1"/>
  <c r="ND53" i="4" s="1"/>
  <c r="NK45" i="4"/>
  <c r="NJ48" i="4" s="1"/>
  <c r="NG51" i="4" s="1"/>
  <c r="NL36" i="4"/>
  <c r="NL35" i="4"/>
  <c r="NL38" i="4"/>
  <c r="NL37" i="4"/>
  <c r="NL40" i="4"/>
  <c r="NL39" i="4"/>
  <c r="NC53" i="4"/>
  <c r="MZ57" i="4"/>
  <c r="MY57" i="4"/>
  <c r="MY58" i="4"/>
  <c r="NL34" i="4"/>
  <c r="NL33" i="4"/>
  <c r="NL32" i="4"/>
  <c r="NL31" i="4"/>
  <c r="NL30" i="4"/>
  <c r="NL29" i="4"/>
  <c r="NL28" i="4"/>
  <c r="NL27" i="4"/>
  <c r="NL26" i="4"/>
  <c r="NL25" i="4"/>
  <c r="NL24" i="4"/>
  <c r="NL23" i="4"/>
  <c r="NL22" i="4"/>
  <c r="NL21" i="4"/>
  <c r="NL20" i="4"/>
  <c r="NL19" i="4"/>
  <c r="NL18" i="4"/>
  <c r="NL17" i="4"/>
  <c r="NL16" i="4"/>
  <c r="NL15" i="4"/>
  <c r="NL14" i="4"/>
  <c r="NL13" i="4"/>
  <c r="NL12" i="4"/>
  <c r="NL9" i="4"/>
  <c r="NL4" i="4"/>
  <c r="NL7" i="4"/>
  <c r="NL10" i="4"/>
  <c r="NL5" i="4"/>
  <c r="NL8" i="4"/>
  <c r="NL11" i="4"/>
  <c r="NL2" i="4"/>
  <c r="NL6" i="4"/>
  <c r="NM1" i="4"/>
  <c r="NL3" i="4"/>
  <c r="NC55" i="4"/>
  <c r="MY56" i="4"/>
  <c r="NL44" i="4" l="1"/>
  <c r="NK47" i="4" s="1"/>
  <c r="NH50" i="4" s="1"/>
  <c r="NL46" i="4"/>
  <c r="NK49" i="4" s="1"/>
  <c r="NH52" i="4" s="1"/>
  <c r="NE55" i="4" s="1"/>
  <c r="NL45" i="4"/>
  <c r="NM36" i="4"/>
  <c r="NM35" i="4"/>
  <c r="NM37" i="4"/>
  <c r="NM38" i="4"/>
  <c r="NM39" i="4"/>
  <c r="NM40" i="4"/>
  <c r="NA56" i="4"/>
  <c r="NK48" i="4"/>
  <c r="NH51" i="4" s="1"/>
  <c r="NE54" i="4" s="1"/>
  <c r="ND54" i="4"/>
  <c r="ND55" i="4"/>
  <c r="NM33" i="4"/>
  <c r="NM32" i="4"/>
  <c r="NM31" i="4"/>
  <c r="NM30" i="4"/>
  <c r="NM29" i="4"/>
  <c r="NM28" i="4"/>
  <c r="NM27" i="4"/>
  <c r="NM26" i="4"/>
  <c r="NM25" i="4"/>
  <c r="NM24" i="4"/>
  <c r="NM34" i="4"/>
  <c r="NM22" i="4"/>
  <c r="NM21" i="4"/>
  <c r="NM20" i="4"/>
  <c r="NM19" i="4"/>
  <c r="NM23" i="4"/>
  <c r="NM18" i="4"/>
  <c r="NM17" i="4"/>
  <c r="NM16" i="4"/>
  <c r="NM15" i="4"/>
  <c r="NM14" i="4"/>
  <c r="NM13" i="4"/>
  <c r="NM12" i="4"/>
  <c r="NM11" i="4"/>
  <c r="NM4" i="4"/>
  <c r="NM7" i="4"/>
  <c r="NM10" i="4"/>
  <c r="NM5" i="4"/>
  <c r="NM8" i="4"/>
  <c r="NM2" i="4"/>
  <c r="NM6" i="4"/>
  <c r="NN1" i="4"/>
  <c r="NM3" i="4"/>
  <c r="NM9" i="4"/>
  <c r="MZ58" i="4"/>
  <c r="MZ56" i="4"/>
  <c r="NM44" i="4" l="1"/>
  <c r="NL47" i="4" s="1"/>
  <c r="NI50" i="4" s="1"/>
  <c r="NF53" i="4" s="1"/>
  <c r="NM46" i="4"/>
  <c r="NL49" i="4" s="1"/>
  <c r="NI52" i="4" s="1"/>
  <c r="NM45" i="4"/>
  <c r="NL48" i="4" s="1"/>
  <c r="NI51" i="4" s="1"/>
  <c r="NN36" i="4"/>
  <c r="NN35" i="4"/>
  <c r="NN38" i="4"/>
  <c r="NN37" i="4"/>
  <c r="NN40" i="4"/>
  <c r="NN39" i="4"/>
  <c r="NA57" i="4"/>
  <c r="NB57" i="4"/>
  <c r="NN34" i="4"/>
  <c r="NN33" i="4"/>
  <c r="NN32" i="4"/>
  <c r="NN31" i="4"/>
  <c r="NN30" i="4"/>
  <c r="NN29" i="4"/>
  <c r="NN28" i="4"/>
  <c r="NN26" i="4"/>
  <c r="NN25" i="4"/>
  <c r="NN24" i="4"/>
  <c r="NN27" i="4"/>
  <c r="NN22" i="4"/>
  <c r="NN21" i="4"/>
  <c r="NN20" i="4"/>
  <c r="NN19" i="4"/>
  <c r="NN23" i="4"/>
  <c r="NN18" i="4"/>
  <c r="NN17" i="4"/>
  <c r="NN16" i="4"/>
  <c r="NN14" i="4"/>
  <c r="NN7" i="4"/>
  <c r="NN13" i="4"/>
  <c r="NN10" i="4"/>
  <c r="NN12" i="4"/>
  <c r="NN5" i="4"/>
  <c r="NN8" i="4"/>
  <c r="NN11" i="4"/>
  <c r="NN6" i="4"/>
  <c r="NN3" i="4"/>
  <c r="NN9" i="4"/>
  <c r="NN15" i="4"/>
  <c r="NN4" i="4"/>
  <c r="NO1" i="4"/>
  <c r="NN2" i="4"/>
  <c r="NB58" i="4"/>
  <c r="NE53" i="4"/>
  <c r="NA58" i="4"/>
  <c r="NN46" i="4" l="1"/>
  <c r="NM49" i="4" s="1"/>
  <c r="NJ52" i="4" s="1"/>
  <c r="NG55" i="4" s="1"/>
  <c r="NN45" i="4"/>
  <c r="NM48" i="4" s="1"/>
  <c r="NJ51" i="4" s="1"/>
  <c r="NG54" i="4" s="1"/>
  <c r="NN44" i="4"/>
  <c r="NO36" i="4"/>
  <c r="NO38" i="4"/>
  <c r="NO39" i="4"/>
  <c r="NO37" i="4"/>
  <c r="NO35" i="4"/>
  <c r="NO40" i="4"/>
  <c r="NM47" i="4"/>
  <c r="NJ50" i="4" s="1"/>
  <c r="NG53" i="4" s="1"/>
  <c r="ND56" i="4" s="1"/>
  <c r="NC56" i="4"/>
  <c r="NF54" i="4"/>
  <c r="NO34" i="4"/>
  <c r="NO33" i="4"/>
  <c r="NO32" i="4"/>
  <c r="NO31" i="4"/>
  <c r="NO30" i="4"/>
  <c r="NO29" i="4"/>
  <c r="NO28" i="4"/>
  <c r="NO26" i="4"/>
  <c r="NO25" i="4"/>
  <c r="NO24" i="4"/>
  <c r="NO27" i="4"/>
  <c r="NO22" i="4"/>
  <c r="NO23" i="4"/>
  <c r="NO18" i="4"/>
  <c r="NO17" i="4"/>
  <c r="NO16" i="4"/>
  <c r="NO20" i="4"/>
  <c r="NO21" i="4"/>
  <c r="NO11" i="4"/>
  <c r="NO19" i="4"/>
  <c r="NO15" i="4"/>
  <c r="NO14" i="4"/>
  <c r="NO13" i="4"/>
  <c r="NO12" i="4"/>
  <c r="NO10" i="4"/>
  <c r="NO5" i="4"/>
  <c r="NO8" i="4"/>
  <c r="NO6" i="4"/>
  <c r="NO3" i="4"/>
  <c r="NO9" i="4"/>
  <c r="NO4" i="4"/>
  <c r="NO7" i="4"/>
  <c r="NP1" i="4"/>
  <c r="NO2" i="4"/>
  <c r="NB56" i="4"/>
  <c r="NF55" i="4"/>
  <c r="NO45" i="4" l="1"/>
  <c r="NN48" i="4" s="1"/>
  <c r="NK51" i="4" s="1"/>
  <c r="NO44" i="4"/>
  <c r="NN47" i="4" s="1"/>
  <c r="NK50" i="4" s="1"/>
  <c r="NO46" i="4"/>
  <c r="NN49" i="4" s="1"/>
  <c r="NK52" i="4" s="1"/>
  <c r="NP36" i="4"/>
  <c r="NP38" i="4"/>
  <c r="NP39" i="4"/>
  <c r="NP35" i="4"/>
  <c r="NP37" i="4"/>
  <c r="NP40" i="4"/>
  <c r="NC58" i="4"/>
  <c r="ND58" i="4"/>
  <c r="NP34" i="4"/>
  <c r="NP33" i="4"/>
  <c r="NP32" i="4"/>
  <c r="NP31" i="4"/>
  <c r="NP30" i="4"/>
  <c r="NP29" i="4"/>
  <c r="NP28" i="4"/>
  <c r="NP27" i="4"/>
  <c r="NP22" i="4"/>
  <c r="NP21" i="4"/>
  <c r="NP20" i="4"/>
  <c r="NP23" i="4"/>
  <c r="NP26" i="4"/>
  <c r="NP25" i="4"/>
  <c r="NP24" i="4"/>
  <c r="NP18" i="4"/>
  <c r="NP17" i="4"/>
  <c r="NP16" i="4"/>
  <c r="NP19" i="4"/>
  <c r="NP11" i="4"/>
  <c r="NP15" i="4"/>
  <c r="NP14" i="4"/>
  <c r="NP13" i="4"/>
  <c r="NP12" i="4"/>
  <c r="NP5" i="4"/>
  <c r="NP8" i="4"/>
  <c r="NP6" i="4"/>
  <c r="NP3" i="4"/>
  <c r="NP9" i="4"/>
  <c r="NP4" i="4"/>
  <c r="NP7" i="4"/>
  <c r="NP10" i="4"/>
  <c r="NQ1" i="4"/>
  <c r="NP2" i="4"/>
  <c r="NC57" i="4"/>
  <c r="ND57" i="4"/>
  <c r="NP45" i="4" l="1"/>
  <c r="NO48" i="4" s="1"/>
  <c r="NL51" i="4" s="1"/>
  <c r="NI54" i="4" s="1"/>
  <c r="NP46" i="4"/>
  <c r="NO49" i="4" s="1"/>
  <c r="NL52" i="4" s="1"/>
  <c r="NI55" i="4" s="1"/>
  <c r="NP44" i="4"/>
  <c r="NO47" i="4" s="1"/>
  <c r="NL50" i="4" s="1"/>
  <c r="NQ35" i="4"/>
  <c r="NQ36" i="4"/>
  <c r="NQ37" i="4"/>
  <c r="NQ38" i="4"/>
  <c r="NQ39" i="4"/>
  <c r="NQ40" i="4"/>
  <c r="NH55" i="4"/>
  <c r="NH53" i="4"/>
  <c r="NH54" i="4"/>
  <c r="NQ34" i="4"/>
  <c r="NQ33" i="4"/>
  <c r="NQ32" i="4"/>
  <c r="NQ31" i="4"/>
  <c r="NQ27" i="4"/>
  <c r="NQ30" i="4"/>
  <c r="NQ29" i="4"/>
  <c r="NQ28" i="4"/>
  <c r="NQ26" i="4"/>
  <c r="NQ25" i="4"/>
  <c r="NQ24" i="4"/>
  <c r="NQ22" i="4"/>
  <c r="NQ21" i="4"/>
  <c r="NQ20" i="4"/>
  <c r="NQ23" i="4"/>
  <c r="NQ19" i="4"/>
  <c r="NQ11" i="4"/>
  <c r="NQ18" i="4"/>
  <c r="NQ17" i="4"/>
  <c r="NQ16" i="4"/>
  <c r="NQ15" i="4"/>
  <c r="NQ14" i="4"/>
  <c r="NQ13" i="4"/>
  <c r="NQ12" i="4"/>
  <c r="NQ8" i="4"/>
  <c r="NQ6" i="4"/>
  <c r="NQ3" i="4"/>
  <c r="NQ9" i="4"/>
  <c r="NQ4" i="4"/>
  <c r="NQ7" i="4"/>
  <c r="NQ10" i="4"/>
  <c r="NR1" i="4"/>
  <c r="NQ2" i="4"/>
  <c r="NQ5" i="4"/>
  <c r="NQ46" i="4" l="1"/>
  <c r="NP49" i="4" s="1"/>
  <c r="NM52" i="4" s="1"/>
  <c r="NQ44" i="4"/>
  <c r="NP47" i="4" s="1"/>
  <c r="NM50" i="4" s="1"/>
  <c r="NQ45" i="4"/>
  <c r="NP48" i="4" s="1"/>
  <c r="NM51" i="4" s="1"/>
  <c r="NR35" i="4"/>
  <c r="NR37" i="4"/>
  <c r="NR36" i="4"/>
  <c r="NR38" i="4"/>
  <c r="NR39" i="4"/>
  <c r="NR40" i="4"/>
  <c r="NF58" i="4"/>
  <c r="NE58" i="4"/>
  <c r="NE57" i="4"/>
  <c r="NF57" i="4"/>
  <c r="NR34" i="4"/>
  <c r="NR33" i="4"/>
  <c r="NR32" i="4"/>
  <c r="NR31" i="4"/>
  <c r="NR30" i="4"/>
  <c r="NR29" i="4"/>
  <c r="NR28" i="4"/>
  <c r="NR27" i="4"/>
  <c r="NR26" i="4"/>
  <c r="NR25" i="4"/>
  <c r="NR24" i="4"/>
  <c r="NR23" i="4"/>
  <c r="NR22" i="4"/>
  <c r="NR20" i="4"/>
  <c r="NR19" i="4"/>
  <c r="NR21" i="4"/>
  <c r="NR18" i="4"/>
  <c r="NR17" i="4"/>
  <c r="NR16" i="4"/>
  <c r="NR11" i="4"/>
  <c r="NR15" i="4"/>
  <c r="NR14" i="4"/>
  <c r="NR13" i="4"/>
  <c r="NR12" i="4"/>
  <c r="NR6" i="4"/>
  <c r="NR3" i="4"/>
  <c r="NR9" i="4"/>
  <c r="NR4" i="4"/>
  <c r="NR7" i="4"/>
  <c r="NR10" i="4"/>
  <c r="NR2" i="4"/>
  <c r="NR8" i="4"/>
  <c r="NR5" i="4"/>
  <c r="NS1" i="4"/>
  <c r="NE56" i="4"/>
  <c r="NI53" i="4"/>
  <c r="NR46" i="4" l="1"/>
  <c r="NQ49" i="4" s="1"/>
  <c r="NN52" i="4" s="1"/>
  <c r="NK55" i="4" s="1"/>
  <c r="NR45" i="4"/>
  <c r="NQ48" i="4" s="1"/>
  <c r="NN51" i="4" s="1"/>
  <c r="NK54" i="4" s="1"/>
  <c r="NR44" i="4"/>
  <c r="NQ47" i="4" s="1"/>
  <c r="NN50" i="4" s="1"/>
  <c r="NS35" i="4"/>
  <c r="NS37" i="4"/>
  <c r="NS36" i="4"/>
  <c r="NS40" i="4"/>
  <c r="NS38" i="4"/>
  <c r="NS39" i="4"/>
  <c r="NJ55" i="4"/>
  <c r="NJ53" i="4"/>
  <c r="NS34" i="4"/>
  <c r="NS33" i="4"/>
  <c r="NS32" i="4"/>
  <c r="NS31" i="4"/>
  <c r="NS30" i="4"/>
  <c r="NS29" i="4"/>
  <c r="NS28" i="4"/>
  <c r="NS27" i="4"/>
  <c r="NS26" i="4"/>
  <c r="NS25" i="4"/>
  <c r="NS24" i="4"/>
  <c r="NS23" i="4"/>
  <c r="NS22" i="4"/>
  <c r="NS21" i="4"/>
  <c r="NS20" i="4"/>
  <c r="NS19" i="4"/>
  <c r="NS18" i="4"/>
  <c r="NS17" i="4"/>
  <c r="NS16" i="4"/>
  <c r="NS15" i="4"/>
  <c r="NS14" i="4"/>
  <c r="NS13" i="4"/>
  <c r="NS12" i="4"/>
  <c r="NS6" i="4"/>
  <c r="NS3" i="4"/>
  <c r="NS9" i="4"/>
  <c r="NS4" i="4"/>
  <c r="NS7" i="4"/>
  <c r="NS11" i="4"/>
  <c r="NS10" i="4"/>
  <c r="NS5" i="4"/>
  <c r="NS8" i="4"/>
  <c r="NS2" i="4"/>
  <c r="NT1" i="4"/>
  <c r="NF56" i="4"/>
  <c r="NJ54" i="4"/>
  <c r="NS46" i="4" l="1"/>
  <c r="NR49" i="4" s="1"/>
  <c r="NO52" i="4" s="1"/>
  <c r="NS45" i="4"/>
  <c r="NR48" i="4" s="1"/>
  <c r="NO51" i="4" s="1"/>
  <c r="NS44" i="4"/>
  <c r="NR47" i="4" s="1"/>
  <c r="NO50" i="4" s="1"/>
  <c r="NT36" i="4"/>
  <c r="NT35" i="4"/>
  <c r="NT38" i="4"/>
  <c r="NT37" i="4"/>
  <c r="NT39" i="4"/>
  <c r="NT40" i="4"/>
  <c r="NK53" i="4"/>
  <c r="NT34" i="4"/>
  <c r="NT33" i="4"/>
  <c r="NT32" i="4"/>
  <c r="NT31" i="4"/>
  <c r="NT30" i="4"/>
  <c r="NT29" i="4"/>
  <c r="NT28" i="4"/>
  <c r="NT27" i="4"/>
  <c r="NT26" i="4"/>
  <c r="NT25" i="4"/>
  <c r="NT24" i="4"/>
  <c r="NT23" i="4"/>
  <c r="NT22" i="4"/>
  <c r="NT21" i="4"/>
  <c r="NT20" i="4"/>
  <c r="NT19" i="4"/>
  <c r="NT18" i="4"/>
  <c r="NT17" i="4"/>
  <c r="NT16" i="4"/>
  <c r="NT15" i="4"/>
  <c r="NT14" i="4"/>
  <c r="NT13" i="4"/>
  <c r="NT12" i="4"/>
  <c r="NT9" i="4"/>
  <c r="NT4" i="4"/>
  <c r="NT7" i="4"/>
  <c r="NT11" i="4"/>
  <c r="NT10" i="4"/>
  <c r="NT5" i="4"/>
  <c r="NT8" i="4"/>
  <c r="NT6" i="4"/>
  <c r="NT2" i="4"/>
  <c r="NT3" i="4"/>
  <c r="NU1" i="4"/>
  <c r="NG57" i="4"/>
  <c r="NH57" i="4"/>
  <c r="NH58" i="4"/>
  <c r="NG58" i="4"/>
  <c r="NG56" i="4"/>
  <c r="NT44" i="4" l="1"/>
  <c r="NS47" i="4" s="1"/>
  <c r="NP50" i="4" s="1"/>
  <c r="NT46" i="4"/>
  <c r="NS49" i="4" s="1"/>
  <c r="NP52" i="4" s="1"/>
  <c r="NM55" i="4" s="1"/>
  <c r="NT45" i="4"/>
  <c r="NS48" i="4" s="1"/>
  <c r="NP51" i="4" s="1"/>
  <c r="NU36" i="4"/>
  <c r="NU35" i="4"/>
  <c r="NU37" i="4"/>
  <c r="NU39" i="4"/>
  <c r="NU40" i="4"/>
  <c r="NU38" i="4"/>
  <c r="NH56" i="4"/>
  <c r="NU32" i="4"/>
  <c r="NU31" i="4"/>
  <c r="NU30" i="4"/>
  <c r="NU29" i="4"/>
  <c r="NU28" i="4"/>
  <c r="NU27" i="4"/>
  <c r="NU34" i="4"/>
  <c r="NU26" i="4"/>
  <c r="NU25" i="4"/>
  <c r="NU24" i="4"/>
  <c r="NU33" i="4"/>
  <c r="NU23" i="4"/>
  <c r="NU22" i="4"/>
  <c r="NU21" i="4"/>
  <c r="NU20" i="4"/>
  <c r="NU19" i="4"/>
  <c r="NU18" i="4"/>
  <c r="NU17" i="4"/>
  <c r="NU16" i="4"/>
  <c r="NU15" i="4"/>
  <c r="NU14" i="4"/>
  <c r="NU13" i="4"/>
  <c r="NU12" i="4"/>
  <c r="NU11" i="4"/>
  <c r="NU4" i="4"/>
  <c r="NU7" i="4"/>
  <c r="NU10" i="4"/>
  <c r="NU5" i="4"/>
  <c r="NU8" i="4"/>
  <c r="NU6" i="4"/>
  <c r="NU2" i="4"/>
  <c r="NU3" i="4"/>
  <c r="NV1" i="4"/>
  <c r="NU9" i="4"/>
  <c r="NL54" i="4"/>
  <c r="NL55" i="4"/>
  <c r="NL53" i="4"/>
  <c r="NU46" i="4" l="1"/>
  <c r="NT49" i="4" s="1"/>
  <c r="NQ52" i="4" s="1"/>
  <c r="NU44" i="4"/>
  <c r="NT47" i="4" s="1"/>
  <c r="NQ50" i="4" s="1"/>
  <c r="NU45" i="4"/>
  <c r="NT48" i="4" s="1"/>
  <c r="NQ51" i="4" s="1"/>
  <c r="NV36" i="4"/>
  <c r="NV35" i="4"/>
  <c r="NV38" i="4"/>
  <c r="NV37" i="4"/>
  <c r="NV39" i="4"/>
  <c r="NV40" i="4"/>
  <c r="NV34" i="4"/>
  <c r="NV33" i="4"/>
  <c r="NV32" i="4"/>
  <c r="NV31" i="4"/>
  <c r="NV30" i="4"/>
  <c r="NV29" i="4"/>
  <c r="NV28" i="4"/>
  <c r="NV27" i="4"/>
  <c r="NV26" i="4"/>
  <c r="NV25" i="4"/>
  <c r="NV24" i="4"/>
  <c r="NV23" i="4"/>
  <c r="NV22" i="4"/>
  <c r="NV21" i="4"/>
  <c r="NV20" i="4"/>
  <c r="NV19" i="4"/>
  <c r="NV18" i="4"/>
  <c r="NV17" i="4"/>
  <c r="NV16" i="4"/>
  <c r="NV13" i="4"/>
  <c r="NV7" i="4"/>
  <c r="NV12" i="4"/>
  <c r="NV10" i="4"/>
  <c r="NV11" i="4"/>
  <c r="NV5" i="4"/>
  <c r="NV8" i="4"/>
  <c r="NV6" i="4"/>
  <c r="NV3" i="4"/>
  <c r="NV15" i="4"/>
  <c r="NV9" i="4"/>
  <c r="NV14" i="4"/>
  <c r="NV4" i="4"/>
  <c r="NV2" i="4"/>
  <c r="NW1" i="4"/>
  <c r="NI58" i="4"/>
  <c r="NJ58" i="4"/>
  <c r="NI56" i="4"/>
  <c r="NI57" i="4"/>
  <c r="NM54" i="4"/>
  <c r="NM53" i="4"/>
  <c r="NV46" i="4" l="1"/>
  <c r="NU49" i="4" s="1"/>
  <c r="NR52" i="4" s="1"/>
  <c r="NV45" i="4"/>
  <c r="NU48" i="4" s="1"/>
  <c r="NR51" i="4" s="1"/>
  <c r="NV44" i="4"/>
  <c r="NU47" i="4" s="1"/>
  <c r="NR50" i="4" s="1"/>
  <c r="NW36" i="4"/>
  <c r="NW35" i="4"/>
  <c r="NW38" i="4"/>
  <c r="NW39" i="4"/>
  <c r="NW37" i="4"/>
  <c r="NW40" i="4"/>
  <c r="NN55" i="4"/>
  <c r="NW34" i="4"/>
  <c r="NW33" i="4"/>
  <c r="NW32" i="4"/>
  <c r="NW31" i="4"/>
  <c r="NW30" i="4"/>
  <c r="NW29" i="4"/>
  <c r="NW28" i="4"/>
  <c r="NW26" i="4"/>
  <c r="NW25" i="4"/>
  <c r="NW24" i="4"/>
  <c r="NW22" i="4"/>
  <c r="NW27" i="4"/>
  <c r="NW23" i="4"/>
  <c r="NW19" i="4"/>
  <c r="NW18" i="4"/>
  <c r="NW17" i="4"/>
  <c r="NW16" i="4"/>
  <c r="NW20" i="4"/>
  <c r="NW21" i="4"/>
  <c r="NW11" i="4"/>
  <c r="NW15" i="4"/>
  <c r="NW14" i="4"/>
  <c r="NW13" i="4"/>
  <c r="NW12" i="4"/>
  <c r="NW10" i="4"/>
  <c r="NW5" i="4"/>
  <c r="NW8" i="4"/>
  <c r="NW6" i="4"/>
  <c r="NW3" i="4"/>
  <c r="NW9" i="4"/>
  <c r="NW7" i="4"/>
  <c r="NX1" i="4"/>
  <c r="NW4" i="4"/>
  <c r="NW2" i="4"/>
  <c r="NJ56" i="4"/>
  <c r="NN53" i="4"/>
  <c r="NN54" i="4"/>
  <c r="NJ57" i="4"/>
  <c r="NW46" i="4" l="1"/>
  <c r="NV49" i="4" s="1"/>
  <c r="NS52" i="4" s="1"/>
  <c r="NW44" i="4"/>
  <c r="NV47" i="4" s="1"/>
  <c r="NS50" i="4" s="1"/>
  <c r="NW45" i="4"/>
  <c r="NV48" i="4" s="1"/>
  <c r="NS51" i="4" s="1"/>
  <c r="NX36" i="4"/>
  <c r="NX35" i="4"/>
  <c r="NX38" i="4"/>
  <c r="NX39" i="4"/>
  <c r="NX37" i="4"/>
  <c r="NX40" i="4"/>
  <c r="NX34" i="4"/>
  <c r="NX33" i="4"/>
  <c r="NX32" i="4"/>
  <c r="NX31" i="4"/>
  <c r="NX30" i="4"/>
  <c r="NX29" i="4"/>
  <c r="NX28" i="4"/>
  <c r="NX27" i="4"/>
  <c r="NX22" i="4"/>
  <c r="NX21" i="4"/>
  <c r="NX20" i="4"/>
  <c r="NX26" i="4"/>
  <c r="NX25" i="4"/>
  <c r="NX24" i="4"/>
  <c r="NX23" i="4"/>
  <c r="NX19" i="4"/>
  <c r="NX18" i="4"/>
  <c r="NX17" i="4"/>
  <c r="NX16" i="4"/>
  <c r="NX11" i="4"/>
  <c r="NX15" i="4"/>
  <c r="NX14" i="4"/>
  <c r="NX13" i="4"/>
  <c r="NX12" i="4"/>
  <c r="NX5" i="4"/>
  <c r="NX8" i="4"/>
  <c r="NX6" i="4"/>
  <c r="NX3" i="4"/>
  <c r="NX9" i="4"/>
  <c r="NX4" i="4"/>
  <c r="NX7" i="4"/>
  <c r="NX10" i="4"/>
  <c r="NY1" i="4"/>
  <c r="NX2" i="4"/>
  <c r="NK57" i="4"/>
  <c r="NO54" i="4"/>
  <c r="NO53" i="4"/>
  <c r="NK56" i="4"/>
  <c r="NK58" i="4"/>
  <c r="NO55" i="4"/>
  <c r="NX46" i="4" l="1"/>
  <c r="NW49" i="4" s="1"/>
  <c r="NT52" i="4" s="1"/>
  <c r="NQ55" i="4" s="1"/>
  <c r="NX44" i="4"/>
  <c r="NW47" i="4" s="1"/>
  <c r="NT50" i="4" s="1"/>
  <c r="NX45" i="4"/>
  <c r="NW48" i="4" s="1"/>
  <c r="NT51" i="4" s="1"/>
  <c r="NQ54" i="4" s="1"/>
  <c r="NY35" i="4"/>
  <c r="NY36" i="4"/>
  <c r="NY37" i="4"/>
  <c r="NY39" i="4"/>
  <c r="NY38" i="4"/>
  <c r="NY40" i="4"/>
  <c r="NL56" i="4"/>
  <c r="NP54" i="4"/>
  <c r="NM57" i="4" s="1"/>
  <c r="NL57" i="4"/>
  <c r="NP55" i="4"/>
  <c r="NY34" i="4"/>
  <c r="NY33" i="4"/>
  <c r="NY32" i="4"/>
  <c r="NY31" i="4"/>
  <c r="NY30" i="4"/>
  <c r="NY29" i="4"/>
  <c r="NY28" i="4"/>
  <c r="NY27" i="4"/>
  <c r="NY26" i="4"/>
  <c r="NY25" i="4"/>
  <c r="NY24" i="4"/>
  <c r="NY22" i="4"/>
  <c r="NY21" i="4"/>
  <c r="NY20" i="4"/>
  <c r="NY23" i="4"/>
  <c r="NY18" i="4"/>
  <c r="NY17" i="4"/>
  <c r="NY16" i="4"/>
  <c r="NY11" i="4"/>
  <c r="NY19" i="4"/>
  <c r="NY15" i="4"/>
  <c r="NY14" i="4"/>
  <c r="NY13" i="4"/>
  <c r="NY12" i="4"/>
  <c r="NY8" i="4"/>
  <c r="NY6" i="4"/>
  <c r="NY3" i="4"/>
  <c r="NY9" i="4"/>
  <c r="NY4" i="4"/>
  <c r="NY7" i="4"/>
  <c r="NY10" i="4"/>
  <c r="NZ1" i="4"/>
  <c r="NY5" i="4"/>
  <c r="NY2" i="4"/>
  <c r="NP53" i="4"/>
  <c r="NM56" i="4" s="1"/>
  <c r="NL58" i="4"/>
  <c r="NY46" i="4" l="1"/>
  <c r="NX49" i="4" s="1"/>
  <c r="NU52" i="4" s="1"/>
  <c r="NY45" i="4"/>
  <c r="NX48" i="4" s="1"/>
  <c r="NU51" i="4" s="1"/>
  <c r="NY44" i="4"/>
  <c r="NX47" i="4" s="1"/>
  <c r="NU50" i="4" s="1"/>
  <c r="NZ35" i="4"/>
  <c r="NZ37" i="4"/>
  <c r="NZ36" i="4"/>
  <c r="NZ39" i="4"/>
  <c r="NZ40" i="4"/>
  <c r="NZ38" i="4"/>
  <c r="NN58" i="4"/>
  <c r="NM58" i="4"/>
  <c r="NN57" i="4"/>
  <c r="NQ53" i="4"/>
  <c r="NN56" i="4" s="1"/>
  <c r="NZ34" i="4"/>
  <c r="NZ33" i="4"/>
  <c r="NZ32" i="4"/>
  <c r="NZ31" i="4"/>
  <c r="NZ30" i="4"/>
  <c r="NZ29" i="4"/>
  <c r="NZ28" i="4"/>
  <c r="NZ27" i="4"/>
  <c r="NZ26" i="4"/>
  <c r="NZ25" i="4"/>
  <c r="NZ24" i="4"/>
  <c r="NZ23" i="4"/>
  <c r="NZ22" i="4"/>
  <c r="NZ20" i="4"/>
  <c r="NZ21" i="4"/>
  <c r="NZ19" i="4"/>
  <c r="NZ18" i="4"/>
  <c r="NZ17" i="4"/>
  <c r="NZ16" i="4"/>
  <c r="NZ11" i="4"/>
  <c r="NZ15" i="4"/>
  <c r="NZ14" i="4"/>
  <c r="NZ13" i="4"/>
  <c r="NZ12" i="4"/>
  <c r="NZ6" i="4"/>
  <c r="NZ3" i="4"/>
  <c r="NZ9" i="4"/>
  <c r="NZ4" i="4"/>
  <c r="NZ7" i="4"/>
  <c r="NZ10" i="4"/>
  <c r="NZ5" i="4"/>
  <c r="NZ8" i="4"/>
  <c r="NZ2" i="4"/>
  <c r="OA1" i="4"/>
  <c r="NZ45" i="4" l="1"/>
  <c r="NY48" i="4" s="1"/>
  <c r="NV51" i="4" s="1"/>
  <c r="NS54" i="4" s="1"/>
  <c r="NZ44" i="4"/>
  <c r="NZ46" i="4"/>
  <c r="NY49" i="4" s="1"/>
  <c r="NV52" i="4" s="1"/>
  <c r="OA35" i="4"/>
  <c r="OA37" i="4"/>
  <c r="OA38" i="4"/>
  <c r="OA36" i="4"/>
  <c r="OA39" i="4"/>
  <c r="OA40" i="4"/>
  <c r="NY47" i="4"/>
  <c r="NV50" i="4" s="1"/>
  <c r="NR54" i="4"/>
  <c r="NR53" i="4"/>
  <c r="NR55" i="4"/>
  <c r="OA34" i="4"/>
  <c r="OA33" i="4"/>
  <c r="OA46" i="4" s="1"/>
  <c r="OA32" i="4"/>
  <c r="OA31" i="4"/>
  <c r="OA30" i="4"/>
  <c r="OA29" i="4"/>
  <c r="OA28" i="4"/>
  <c r="OA27" i="4"/>
  <c r="OA26" i="4"/>
  <c r="OA25" i="4"/>
  <c r="OA24" i="4"/>
  <c r="OA23" i="4"/>
  <c r="OA22" i="4"/>
  <c r="OA21" i="4"/>
  <c r="OA20" i="4"/>
  <c r="OA19" i="4"/>
  <c r="OA18" i="4"/>
  <c r="OA17" i="4"/>
  <c r="OA16" i="4"/>
  <c r="OA15" i="4"/>
  <c r="OA14" i="4"/>
  <c r="OA13" i="4"/>
  <c r="OA12" i="4"/>
  <c r="OA6" i="4"/>
  <c r="OA3" i="4"/>
  <c r="OA11" i="4"/>
  <c r="OA9" i="4"/>
  <c r="OA4" i="4"/>
  <c r="OA7" i="4"/>
  <c r="OA10" i="4"/>
  <c r="OA5" i="4"/>
  <c r="OA8" i="4"/>
  <c r="OB1" i="4"/>
  <c r="OA2" i="4"/>
  <c r="OA45" i="4" l="1"/>
  <c r="NZ48" i="4" s="1"/>
  <c r="NW51" i="4" s="1"/>
  <c r="OA44" i="4"/>
  <c r="NZ47" i="4" s="1"/>
  <c r="NW50" i="4" s="1"/>
  <c r="NT53" i="4" s="1"/>
  <c r="OB36" i="4"/>
  <c r="OB35" i="4"/>
  <c r="OB38" i="4"/>
  <c r="OB37" i="4"/>
  <c r="OB39" i="4"/>
  <c r="OB40" i="4"/>
  <c r="NZ49" i="4"/>
  <c r="NW52" i="4" s="1"/>
  <c r="NT55" i="4" s="1"/>
  <c r="NS55" i="4"/>
  <c r="NO58" i="4"/>
  <c r="OB34" i="4"/>
  <c r="OB33" i="4"/>
  <c r="OB32" i="4"/>
  <c r="OB31" i="4"/>
  <c r="OB30" i="4"/>
  <c r="OB29" i="4"/>
  <c r="OB28" i="4"/>
  <c r="OB27" i="4"/>
  <c r="OB26" i="4"/>
  <c r="OB25" i="4"/>
  <c r="OB24" i="4"/>
  <c r="OB23" i="4"/>
  <c r="OB22" i="4"/>
  <c r="OB21" i="4"/>
  <c r="OB20" i="4"/>
  <c r="OB19" i="4"/>
  <c r="OB18" i="4"/>
  <c r="OB17" i="4"/>
  <c r="OB16" i="4"/>
  <c r="OB15" i="4"/>
  <c r="OB14" i="4"/>
  <c r="OB13" i="4"/>
  <c r="OB12" i="4"/>
  <c r="OB11" i="4"/>
  <c r="OB9" i="4"/>
  <c r="OB4" i="4"/>
  <c r="OB7" i="4"/>
  <c r="OB44" i="4" s="1"/>
  <c r="OB10" i="4"/>
  <c r="OB5" i="4"/>
  <c r="OB8" i="4"/>
  <c r="OB2" i="4"/>
  <c r="OB3" i="4"/>
  <c r="OB6" i="4"/>
  <c r="OC1" i="4"/>
  <c r="NO56" i="4"/>
  <c r="NP57" i="4"/>
  <c r="NO57" i="4"/>
  <c r="NS53" i="4"/>
  <c r="NP56" i="4" s="1"/>
  <c r="OB46" i="4" l="1"/>
  <c r="OA49" i="4" s="1"/>
  <c r="NX52" i="4" s="1"/>
  <c r="OB45" i="4"/>
  <c r="OA48" i="4" s="1"/>
  <c r="NX51" i="4" s="1"/>
  <c r="NU54" i="4" s="1"/>
  <c r="OC36" i="4"/>
  <c r="OC35" i="4"/>
  <c r="OC37" i="4"/>
  <c r="OC38" i="4"/>
  <c r="OC39" i="4"/>
  <c r="OC40" i="4"/>
  <c r="OA47" i="4"/>
  <c r="NX50" i="4" s="1"/>
  <c r="NU53" i="4" s="1"/>
  <c r="NR56" i="4" s="1"/>
  <c r="NQ58" i="4"/>
  <c r="NT54" i="4"/>
  <c r="OC31" i="4"/>
  <c r="OC30" i="4"/>
  <c r="OC29" i="4"/>
  <c r="OC28" i="4"/>
  <c r="OC27" i="4"/>
  <c r="OC34" i="4"/>
  <c r="OC33" i="4"/>
  <c r="OC26" i="4"/>
  <c r="OC25" i="4"/>
  <c r="OC24" i="4"/>
  <c r="OC32" i="4"/>
  <c r="OC23" i="4"/>
  <c r="OC22" i="4"/>
  <c r="OC21" i="4"/>
  <c r="OC20" i="4"/>
  <c r="OC19" i="4"/>
  <c r="OC18" i="4"/>
  <c r="OC17" i="4"/>
  <c r="OC16" i="4"/>
  <c r="OC15" i="4"/>
  <c r="OC14" i="4"/>
  <c r="OC13" i="4"/>
  <c r="OC12" i="4"/>
  <c r="OC11" i="4"/>
  <c r="OC4" i="4"/>
  <c r="OC7" i="4"/>
  <c r="OC10" i="4"/>
  <c r="OC5" i="4"/>
  <c r="OC8" i="4"/>
  <c r="OC2" i="4"/>
  <c r="OC3" i="4"/>
  <c r="OD1" i="4"/>
  <c r="OC9" i="4"/>
  <c r="OC6" i="4"/>
  <c r="NP58" i="4"/>
  <c r="NQ56" i="4"/>
  <c r="OC46" i="4" l="1"/>
  <c r="OB49" i="4" s="1"/>
  <c r="NY52" i="4" s="1"/>
  <c r="NV55" i="4" s="1"/>
  <c r="OC45" i="4"/>
  <c r="OB48" i="4" s="1"/>
  <c r="NY51" i="4" s="1"/>
  <c r="OC44" i="4"/>
  <c r="OB47" i="4" s="1"/>
  <c r="NY50" i="4" s="1"/>
  <c r="NV53" i="4" s="1"/>
  <c r="OD36" i="4"/>
  <c r="OD35" i="4"/>
  <c r="OD38" i="4"/>
  <c r="OD37" i="4"/>
  <c r="OD39" i="4"/>
  <c r="OD40" i="4"/>
  <c r="NQ57" i="4"/>
  <c r="NR57" i="4"/>
  <c r="OD34" i="4"/>
  <c r="OD33" i="4"/>
  <c r="OD32" i="4"/>
  <c r="OD31" i="4"/>
  <c r="OD30" i="4"/>
  <c r="OD29" i="4"/>
  <c r="OD28" i="4"/>
  <c r="OD26" i="4"/>
  <c r="OD25" i="4"/>
  <c r="OD24" i="4"/>
  <c r="OD27" i="4"/>
  <c r="OD23" i="4"/>
  <c r="OD22" i="4"/>
  <c r="OD21" i="4"/>
  <c r="OD20" i="4"/>
  <c r="OD19" i="4"/>
  <c r="OD18" i="4"/>
  <c r="OD17" i="4"/>
  <c r="OD16" i="4"/>
  <c r="OD12" i="4"/>
  <c r="OD7" i="4"/>
  <c r="OD10" i="4"/>
  <c r="OD5" i="4"/>
  <c r="OD8" i="4"/>
  <c r="OD15" i="4"/>
  <c r="OD6" i="4"/>
  <c r="OD3" i="4"/>
  <c r="OD14" i="4"/>
  <c r="OD9" i="4"/>
  <c r="OD13" i="4"/>
  <c r="OD11" i="4"/>
  <c r="OE1" i="4"/>
  <c r="OD4" i="4"/>
  <c r="OD2" i="4"/>
  <c r="NU55" i="4"/>
  <c r="OD46" i="4" l="1"/>
  <c r="OC49" i="4" s="1"/>
  <c r="NZ52" i="4" s="1"/>
  <c r="OD45" i="4"/>
  <c r="OC48" i="4" s="1"/>
  <c r="NZ51" i="4" s="1"/>
  <c r="NW54" i="4" s="1"/>
  <c r="OD44" i="4"/>
  <c r="OC47" i="4" s="1"/>
  <c r="NZ50" i="4" s="1"/>
  <c r="OE36" i="4"/>
  <c r="OE35" i="4"/>
  <c r="OE38" i="4"/>
  <c r="OE39" i="4"/>
  <c r="OE40" i="4"/>
  <c r="OE37" i="4"/>
  <c r="OE34" i="4"/>
  <c r="OE33" i="4"/>
  <c r="OE32" i="4"/>
  <c r="OE31" i="4"/>
  <c r="OE30" i="4"/>
  <c r="OE29" i="4"/>
  <c r="OE28" i="4"/>
  <c r="OE26" i="4"/>
  <c r="OE25" i="4"/>
  <c r="OE24" i="4"/>
  <c r="OE27" i="4"/>
  <c r="OE23" i="4"/>
  <c r="OE22" i="4"/>
  <c r="OE20" i="4"/>
  <c r="OE18" i="4"/>
  <c r="OE17" i="4"/>
  <c r="OE16" i="4"/>
  <c r="OE21" i="4"/>
  <c r="OE19" i="4"/>
  <c r="OE11" i="4"/>
  <c r="OE15" i="4"/>
  <c r="OE14" i="4"/>
  <c r="OE13" i="4"/>
  <c r="OE12" i="4"/>
  <c r="OE10" i="4"/>
  <c r="OE5" i="4"/>
  <c r="OE8" i="4"/>
  <c r="OE6" i="4"/>
  <c r="OE3" i="4"/>
  <c r="OE9" i="4"/>
  <c r="OE7" i="4"/>
  <c r="OF1" i="4"/>
  <c r="OE2" i="4"/>
  <c r="OE4" i="4"/>
  <c r="NS56" i="4"/>
  <c r="NS58" i="4"/>
  <c r="NR58" i="4"/>
  <c r="NV54" i="4"/>
  <c r="OE46" i="4" l="1"/>
  <c r="OD49" i="4" s="1"/>
  <c r="OA52" i="4" s="1"/>
  <c r="NX55" i="4" s="1"/>
  <c r="OE45" i="4"/>
  <c r="OD48" i="4" s="1"/>
  <c r="OA51" i="4" s="1"/>
  <c r="OE44" i="4"/>
  <c r="OD47" i="4" s="1"/>
  <c r="OA50" i="4" s="1"/>
  <c r="NX53" i="4" s="1"/>
  <c r="OF36" i="4"/>
  <c r="OF35" i="4"/>
  <c r="OF38" i="4"/>
  <c r="OF39" i="4"/>
  <c r="OF37" i="4"/>
  <c r="OF40" i="4"/>
  <c r="OF34" i="4"/>
  <c r="OF33" i="4"/>
  <c r="OF32" i="4"/>
  <c r="OF31" i="4"/>
  <c r="OF30" i="4"/>
  <c r="OF29" i="4"/>
  <c r="OF28" i="4"/>
  <c r="OF27" i="4"/>
  <c r="OF23" i="4"/>
  <c r="OF22" i="4"/>
  <c r="OF21" i="4"/>
  <c r="OF20" i="4"/>
  <c r="OF26" i="4"/>
  <c r="OF25" i="4"/>
  <c r="OF24" i="4"/>
  <c r="OF18" i="4"/>
  <c r="OF17" i="4"/>
  <c r="OF16" i="4"/>
  <c r="OF19" i="4"/>
  <c r="OF11" i="4"/>
  <c r="OF15" i="4"/>
  <c r="OF14" i="4"/>
  <c r="OF13" i="4"/>
  <c r="OF12" i="4"/>
  <c r="OF5" i="4"/>
  <c r="OF8" i="4"/>
  <c r="OF6" i="4"/>
  <c r="OF3" i="4"/>
  <c r="OF9" i="4"/>
  <c r="OF4" i="4"/>
  <c r="OF7" i="4"/>
  <c r="OG1" i="4"/>
  <c r="OF2" i="4"/>
  <c r="OF10" i="4"/>
  <c r="NT57" i="4"/>
  <c r="NS57" i="4"/>
  <c r="NW55" i="4"/>
  <c r="NW53" i="4"/>
  <c r="OF46" i="4" l="1"/>
  <c r="OE49" i="4" s="1"/>
  <c r="OB52" i="4" s="1"/>
  <c r="OF44" i="4"/>
  <c r="OE47" i="4" s="1"/>
  <c r="OB50" i="4" s="1"/>
  <c r="OF45" i="4"/>
  <c r="OE48" i="4" s="1"/>
  <c r="OB51" i="4" s="1"/>
  <c r="OG35" i="4"/>
  <c r="OG36" i="4"/>
  <c r="OG37" i="4"/>
  <c r="OG38" i="4"/>
  <c r="OG39" i="4"/>
  <c r="OG40" i="4"/>
  <c r="NU56" i="4"/>
  <c r="NT56" i="4"/>
  <c r="NX54" i="4"/>
  <c r="NT58" i="4"/>
  <c r="NU58" i="4"/>
  <c r="OG34" i="4"/>
  <c r="OG33" i="4"/>
  <c r="OG32" i="4"/>
  <c r="OG31" i="4"/>
  <c r="OG30" i="4"/>
  <c r="OG29" i="4"/>
  <c r="OG28" i="4"/>
  <c r="OG27" i="4"/>
  <c r="OG26" i="4"/>
  <c r="OG25" i="4"/>
  <c r="OG24" i="4"/>
  <c r="OG22" i="4"/>
  <c r="OG21" i="4"/>
  <c r="OG20" i="4"/>
  <c r="OG19" i="4"/>
  <c r="OG23" i="4"/>
  <c r="OG18" i="4"/>
  <c r="OG17" i="4"/>
  <c r="OG16" i="4"/>
  <c r="OG11" i="4"/>
  <c r="OG15" i="4"/>
  <c r="OG14" i="4"/>
  <c r="OG13" i="4"/>
  <c r="OG12" i="4"/>
  <c r="OG8" i="4"/>
  <c r="OG6" i="4"/>
  <c r="OG3" i="4"/>
  <c r="OG9" i="4"/>
  <c r="OG4" i="4"/>
  <c r="OG7" i="4"/>
  <c r="OG10" i="4"/>
  <c r="OH1" i="4"/>
  <c r="OG5" i="4"/>
  <c r="OG2" i="4"/>
  <c r="OG45" i="4" l="1"/>
  <c r="OF48" i="4" s="1"/>
  <c r="OC51" i="4" s="1"/>
  <c r="NZ54" i="4" s="1"/>
  <c r="OG44" i="4"/>
  <c r="OF47" i="4" s="1"/>
  <c r="OC50" i="4" s="1"/>
  <c r="OG46" i="4"/>
  <c r="OF49" i="4" s="1"/>
  <c r="OC52" i="4" s="1"/>
  <c r="NZ55" i="4" s="1"/>
  <c r="OH35" i="4"/>
  <c r="OH37" i="4"/>
  <c r="OH36" i="4"/>
  <c r="OH38" i="4"/>
  <c r="OH39" i="4"/>
  <c r="OH40" i="4"/>
  <c r="NY53" i="4"/>
  <c r="OH34" i="4"/>
  <c r="OH33" i="4"/>
  <c r="OH32" i="4"/>
  <c r="OH31" i="4"/>
  <c r="OH30" i="4"/>
  <c r="OH29" i="4"/>
  <c r="OH28" i="4"/>
  <c r="OH27" i="4"/>
  <c r="OH26" i="4"/>
  <c r="OH25" i="4"/>
  <c r="OH24" i="4"/>
  <c r="OH23" i="4"/>
  <c r="OH19" i="4"/>
  <c r="OH21" i="4"/>
  <c r="OH18" i="4"/>
  <c r="OH17" i="4"/>
  <c r="OH16" i="4"/>
  <c r="OH11" i="4"/>
  <c r="OH15" i="4"/>
  <c r="OH14" i="4"/>
  <c r="OH13" i="4"/>
  <c r="OH12" i="4"/>
  <c r="OH22" i="4"/>
  <c r="OH20" i="4"/>
  <c r="OH6" i="4"/>
  <c r="OH3" i="4"/>
  <c r="OH9" i="4"/>
  <c r="OH4" i="4"/>
  <c r="OH7" i="4"/>
  <c r="OH10" i="4"/>
  <c r="OH5" i="4"/>
  <c r="OH8" i="4"/>
  <c r="OH2" i="4"/>
  <c r="OI1" i="4"/>
  <c r="NU57" i="4"/>
  <c r="NY54" i="4"/>
  <c r="NV57" i="4" s="1"/>
  <c r="NY55" i="4"/>
  <c r="OH46" i="4" l="1"/>
  <c r="OG49" i="4" s="1"/>
  <c r="OD52" i="4" s="1"/>
  <c r="OH45" i="4"/>
  <c r="OG48" i="4" s="1"/>
  <c r="OD51" i="4" s="1"/>
  <c r="OH44" i="4"/>
  <c r="OG47" i="4" s="1"/>
  <c r="OD50" i="4" s="1"/>
  <c r="OI35" i="4"/>
  <c r="OI37" i="4"/>
  <c r="OI38" i="4"/>
  <c r="OI36" i="4"/>
  <c r="OI40" i="4"/>
  <c r="OI39" i="4"/>
  <c r="NW57" i="4"/>
  <c r="NV56" i="4"/>
  <c r="OI34" i="4"/>
  <c r="OI33" i="4"/>
  <c r="OI32" i="4"/>
  <c r="OI31" i="4"/>
  <c r="OI30" i="4"/>
  <c r="OI29" i="4"/>
  <c r="OI28" i="4"/>
  <c r="OI27" i="4"/>
  <c r="OI26" i="4"/>
  <c r="OI25" i="4"/>
  <c r="OI24" i="4"/>
  <c r="OI23" i="4"/>
  <c r="OI22" i="4"/>
  <c r="OI21" i="4"/>
  <c r="OI20" i="4"/>
  <c r="OI18" i="4"/>
  <c r="OI17" i="4"/>
  <c r="OI16" i="4"/>
  <c r="OI19" i="4"/>
  <c r="OI15" i="4"/>
  <c r="OI14" i="4"/>
  <c r="OI13" i="4"/>
  <c r="OI12" i="4"/>
  <c r="OI6" i="4"/>
  <c r="OI3" i="4"/>
  <c r="OI9" i="4"/>
  <c r="OI4" i="4"/>
  <c r="OI7" i="4"/>
  <c r="OI10" i="4"/>
  <c r="OI5" i="4"/>
  <c r="OI11" i="4"/>
  <c r="OI8" i="4"/>
  <c r="OI2" i="4"/>
  <c r="OJ1" i="4"/>
  <c r="NZ53" i="4"/>
  <c r="NW56" i="4" s="1"/>
  <c r="NV58" i="4"/>
  <c r="NW58" i="4"/>
  <c r="OI46" i="4" l="1"/>
  <c r="OH49" i="4" s="1"/>
  <c r="OE52" i="4" s="1"/>
  <c r="OB55" i="4" s="1"/>
  <c r="OI45" i="4"/>
  <c r="OH48" i="4" s="1"/>
  <c r="OE51" i="4" s="1"/>
  <c r="OI44" i="4"/>
  <c r="OH47" i="4" s="1"/>
  <c r="OE50" i="4" s="1"/>
  <c r="OJ36" i="4"/>
  <c r="OJ35" i="4"/>
  <c r="OJ38" i="4"/>
  <c r="OJ37" i="4"/>
  <c r="OJ39" i="4"/>
  <c r="OJ40" i="4"/>
  <c r="OA54" i="4"/>
  <c r="OA55" i="4"/>
  <c r="OJ34" i="4"/>
  <c r="OJ33" i="4"/>
  <c r="OJ32" i="4"/>
  <c r="OJ31" i="4"/>
  <c r="OJ30" i="4"/>
  <c r="OJ29" i="4"/>
  <c r="OJ28" i="4"/>
  <c r="OJ27" i="4"/>
  <c r="OJ26" i="4"/>
  <c r="OJ25" i="4"/>
  <c r="OJ24" i="4"/>
  <c r="OJ23" i="4"/>
  <c r="OJ22" i="4"/>
  <c r="OJ21" i="4"/>
  <c r="OJ20" i="4"/>
  <c r="OJ18" i="4"/>
  <c r="OJ17" i="4"/>
  <c r="OJ16" i="4"/>
  <c r="OJ19" i="4"/>
  <c r="OJ15" i="4"/>
  <c r="OJ14" i="4"/>
  <c r="OJ13" i="4"/>
  <c r="OJ12" i="4"/>
  <c r="OJ9" i="4"/>
  <c r="OJ4" i="4"/>
  <c r="OJ7" i="4"/>
  <c r="OJ10" i="4"/>
  <c r="OJ5" i="4"/>
  <c r="OJ11" i="4"/>
  <c r="OJ8" i="4"/>
  <c r="OJ3" i="4"/>
  <c r="OJ2" i="4"/>
  <c r="OJ6" i="4"/>
  <c r="OK1" i="4"/>
  <c r="OA53" i="4"/>
  <c r="OJ44" i="4" l="1"/>
  <c r="OI47" i="4" s="1"/>
  <c r="OF50" i="4" s="1"/>
  <c r="OJ46" i="4"/>
  <c r="OJ45" i="4"/>
  <c r="OI48" i="4" s="1"/>
  <c r="OF51" i="4" s="1"/>
  <c r="OK36" i="4"/>
  <c r="OK35" i="4"/>
  <c r="OK37" i="4"/>
  <c r="OK39" i="4"/>
  <c r="OK38" i="4"/>
  <c r="OK40" i="4"/>
  <c r="OI49" i="4"/>
  <c r="OF52" i="4" s="1"/>
  <c r="OB54" i="4"/>
  <c r="NX57" i="4"/>
  <c r="NY58" i="4"/>
  <c r="NX58" i="4"/>
  <c r="OB53" i="4"/>
  <c r="NY56" i="4" s="1"/>
  <c r="OK30" i="4"/>
  <c r="OK29" i="4"/>
  <c r="OK28" i="4"/>
  <c r="OK27" i="4"/>
  <c r="OK34" i="4"/>
  <c r="OK33" i="4"/>
  <c r="OK32" i="4"/>
  <c r="OK26" i="4"/>
  <c r="OK25" i="4"/>
  <c r="OK24" i="4"/>
  <c r="OK31" i="4"/>
  <c r="OK22" i="4"/>
  <c r="OK21" i="4"/>
  <c r="OK20" i="4"/>
  <c r="OK19" i="4"/>
  <c r="OK23" i="4"/>
  <c r="OK18" i="4"/>
  <c r="OK17" i="4"/>
  <c r="OK16" i="4"/>
  <c r="OK15" i="4"/>
  <c r="OK14" i="4"/>
  <c r="OK13" i="4"/>
  <c r="OK12" i="4"/>
  <c r="OK11" i="4"/>
  <c r="OK4" i="4"/>
  <c r="OK7" i="4"/>
  <c r="OK10" i="4"/>
  <c r="OK5" i="4"/>
  <c r="OK8" i="4"/>
  <c r="OK2" i="4"/>
  <c r="OK3" i="4"/>
  <c r="OK9" i="4"/>
  <c r="OK6" i="4"/>
  <c r="OL1" i="4"/>
  <c r="NX56" i="4"/>
  <c r="OK45" i="4" l="1"/>
  <c r="OJ48" i="4" s="1"/>
  <c r="OG51" i="4" s="1"/>
  <c r="OK46" i="4"/>
  <c r="OJ49" i="4" s="1"/>
  <c r="OG52" i="4" s="1"/>
  <c r="OD55" i="4" s="1"/>
  <c r="OK44" i="4"/>
  <c r="OJ47" i="4" s="1"/>
  <c r="OG50" i="4" s="1"/>
  <c r="OL36" i="4"/>
  <c r="OL35" i="4"/>
  <c r="OL38" i="4"/>
  <c r="OL37" i="4"/>
  <c r="OL40" i="4"/>
  <c r="OL39" i="4"/>
  <c r="OL34" i="4"/>
  <c r="OL33" i="4"/>
  <c r="OL32" i="4"/>
  <c r="OL31" i="4"/>
  <c r="OL30" i="4"/>
  <c r="OL29" i="4"/>
  <c r="OL28" i="4"/>
  <c r="OL27" i="4"/>
  <c r="OL26" i="4"/>
  <c r="OL25" i="4"/>
  <c r="OL24" i="4"/>
  <c r="OL22" i="4"/>
  <c r="OL21" i="4"/>
  <c r="OL20" i="4"/>
  <c r="OL19" i="4"/>
  <c r="OL23" i="4"/>
  <c r="OL18" i="4"/>
  <c r="OL17" i="4"/>
  <c r="OL16" i="4"/>
  <c r="OL7" i="4"/>
  <c r="OL10" i="4"/>
  <c r="OL5" i="4"/>
  <c r="OL8" i="4"/>
  <c r="OL15" i="4"/>
  <c r="OL11" i="4"/>
  <c r="OL14" i="4"/>
  <c r="OL6" i="4"/>
  <c r="OL3" i="4"/>
  <c r="OL13" i="4"/>
  <c r="OL9" i="4"/>
  <c r="OL2" i="4"/>
  <c r="OL12" i="4"/>
  <c r="OL4" i="4"/>
  <c r="OM1" i="4"/>
  <c r="OC54" i="4"/>
  <c r="OC53" i="4"/>
  <c r="NY57" i="4"/>
  <c r="OC55" i="4"/>
  <c r="OL46" i="4" l="1"/>
  <c r="OK49" i="4" s="1"/>
  <c r="OH52" i="4" s="1"/>
  <c r="OL44" i="4"/>
  <c r="OK47" i="4" s="1"/>
  <c r="OH50" i="4" s="1"/>
  <c r="OE53" i="4" s="1"/>
  <c r="OL45" i="4"/>
  <c r="OK48" i="4" s="1"/>
  <c r="OH51" i="4" s="1"/>
  <c r="OM36" i="4"/>
  <c r="OM38" i="4"/>
  <c r="OM35" i="4"/>
  <c r="OM39" i="4"/>
  <c r="OM40" i="4"/>
  <c r="OM37" i="4"/>
  <c r="OA58" i="4"/>
  <c r="NZ58" i="4"/>
  <c r="NZ57" i="4"/>
  <c r="OD53" i="4"/>
  <c r="OM34" i="4"/>
  <c r="OM33" i="4"/>
  <c r="OM32" i="4"/>
  <c r="OM31" i="4"/>
  <c r="OM30" i="4"/>
  <c r="OM29" i="4"/>
  <c r="OM28" i="4"/>
  <c r="OM26" i="4"/>
  <c r="OM25" i="4"/>
  <c r="OM24" i="4"/>
  <c r="OM22" i="4"/>
  <c r="OM23" i="4"/>
  <c r="OM27" i="4"/>
  <c r="OM21" i="4"/>
  <c r="OM18" i="4"/>
  <c r="OM17" i="4"/>
  <c r="OM16" i="4"/>
  <c r="OM19" i="4"/>
  <c r="OM20" i="4"/>
  <c r="OM11" i="4"/>
  <c r="OM15" i="4"/>
  <c r="OM14" i="4"/>
  <c r="OM13" i="4"/>
  <c r="OM12" i="4"/>
  <c r="OM10" i="4"/>
  <c r="OM5" i="4"/>
  <c r="OM8" i="4"/>
  <c r="OM6" i="4"/>
  <c r="OM3" i="4"/>
  <c r="OM9" i="4"/>
  <c r="ON1" i="4"/>
  <c r="OM4" i="4"/>
  <c r="OM2" i="4"/>
  <c r="OM7" i="4"/>
  <c r="NZ56" i="4"/>
  <c r="OD54" i="4"/>
  <c r="OM46" i="4" l="1"/>
  <c r="OL49" i="4" s="1"/>
  <c r="OI52" i="4" s="1"/>
  <c r="OF55" i="4" s="1"/>
  <c r="OM45" i="4"/>
  <c r="OM44" i="4"/>
  <c r="OL47" i="4" s="1"/>
  <c r="OI50" i="4" s="1"/>
  <c r="ON36" i="4"/>
  <c r="ON38" i="4"/>
  <c r="ON37" i="4"/>
  <c r="ON39" i="4"/>
  <c r="ON35" i="4"/>
  <c r="ON40" i="4"/>
  <c r="OL48" i="4"/>
  <c r="OI51" i="4" s="1"/>
  <c r="OF54" i="4" s="1"/>
  <c r="OB56" i="4"/>
  <c r="OE55" i="4"/>
  <c r="OA57" i="4"/>
  <c r="OE54" i="4"/>
  <c r="OB57" i="4" s="1"/>
  <c r="OA56" i="4"/>
  <c r="ON34" i="4"/>
  <c r="ON33" i="4"/>
  <c r="ON32" i="4"/>
  <c r="ON31" i="4"/>
  <c r="ON30" i="4"/>
  <c r="ON29" i="4"/>
  <c r="ON28" i="4"/>
  <c r="ON27" i="4"/>
  <c r="ON22" i="4"/>
  <c r="ON21" i="4"/>
  <c r="ON20" i="4"/>
  <c r="ON26" i="4"/>
  <c r="ON25" i="4"/>
  <c r="ON24" i="4"/>
  <c r="ON23" i="4"/>
  <c r="ON18" i="4"/>
  <c r="ON17" i="4"/>
  <c r="ON16" i="4"/>
  <c r="ON19" i="4"/>
  <c r="ON11" i="4"/>
  <c r="ON15" i="4"/>
  <c r="ON14" i="4"/>
  <c r="ON13" i="4"/>
  <c r="ON12" i="4"/>
  <c r="ON5" i="4"/>
  <c r="ON8" i="4"/>
  <c r="ON6" i="4"/>
  <c r="ON3" i="4"/>
  <c r="ON9" i="4"/>
  <c r="ON4" i="4"/>
  <c r="ON7" i="4"/>
  <c r="ON44" i="4" s="1"/>
  <c r="OO1" i="4"/>
  <c r="ON2" i="4"/>
  <c r="ON10" i="4"/>
  <c r="ON46" i="4" l="1"/>
  <c r="OM49" i="4" s="1"/>
  <c r="OJ52" i="4" s="1"/>
  <c r="ON45" i="4"/>
  <c r="OM48" i="4" s="1"/>
  <c r="OJ51" i="4" s="1"/>
  <c r="OO35" i="4"/>
  <c r="OO36" i="4"/>
  <c r="OO37" i="4"/>
  <c r="OO39" i="4"/>
  <c r="OO38" i="4"/>
  <c r="OO40" i="4"/>
  <c r="OM47" i="4"/>
  <c r="OJ50" i="4" s="1"/>
  <c r="OG53" i="4" s="1"/>
  <c r="OC58" i="4"/>
  <c r="OB58" i="4"/>
  <c r="OO34" i="4"/>
  <c r="OO33" i="4"/>
  <c r="OO32" i="4"/>
  <c r="OO31" i="4"/>
  <c r="OO30" i="4"/>
  <c r="OO29" i="4"/>
  <c r="OO28" i="4"/>
  <c r="OO27" i="4"/>
  <c r="OO26" i="4"/>
  <c r="OO25" i="4"/>
  <c r="OO24" i="4"/>
  <c r="OO22" i="4"/>
  <c r="OO21" i="4"/>
  <c r="OO20" i="4"/>
  <c r="OO23" i="4"/>
  <c r="OO19" i="4"/>
  <c r="OO11" i="4"/>
  <c r="OO15" i="4"/>
  <c r="OO14" i="4"/>
  <c r="OO13" i="4"/>
  <c r="OO12" i="4"/>
  <c r="OO8" i="4"/>
  <c r="OO16" i="4"/>
  <c r="OO6" i="4"/>
  <c r="OO3" i="4"/>
  <c r="OO17" i="4"/>
  <c r="OO9" i="4"/>
  <c r="OO18" i="4"/>
  <c r="OO4" i="4"/>
  <c r="OO7" i="4"/>
  <c r="OO10" i="4"/>
  <c r="OP1" i="4"/>
  <c r="OO2" i="4"/>
  <c r="OO5" i="4"/>
  <c r="OF53" i="4"/>
  <c r="OC57" i="4"/>
  <c r="OO46" i="4" l="1"/>
  <c r="ON49" i="4" s="1"/>
  <c r="OK52" i="4" s="1"/>
  <c r="OH55" i="4" s="1"/>
  <c r="OO44" i="4"/>
  <c r="ON47" i="4" s="1"/>
  <c r="OK50" i="4" s="1"/>
  <c r="OO45" i="4"/>
  <c r="ON48" i="4" s="1"/>
  <c r="OK51" i="4" s="1"/>
  <c r="OP35" i="4"/>
  <c r="OP36" i="4"/>
  <c r="OP37" i="4"/>
  <c r="OP39" i="4"/>
  <c r="OP40" i="4"/>
  <c r="OP38" i="4"/>
  <c r="OG54" i="4"/>
  <c r="OP34" i="4"/>
  <c r="OP33" i="4"/>
  <c r="OP32" i="4"/>
  <c r="OP31" i="4"/>
  <c r="OP30" i="4"/>
  <c r="OP29" i="4"/>
  <c r="OP28" i="4"/>
  <c r="OP27" i="4"/>
  <c r="OP26" i="4"/>
  <c r="OP25" i="4"/>
  <c r="OP24" i="4"/>
  <c r="OP23" i="4"/>
  <c r="OP19" i="4"/>
  <c r="OP20" i="4"/>
  <c r="OP22" i="4"/>
  <c r="OP18" i="4"/>
  <c r="OP17" i="4"/>
  <c r="OP16" i="4"/>
  <c r="OP11" i="4"/>
  <c r="OP21" i="4"/>
  <c r="OP15" i="4"/>
  <c r="OP14" i="4"/>
  <c r="OP13" i="4"/>
  <c r="OP12" i="4"/>
  <c r="OP6" i="4"/>
  <c r="OP3" i="4"/>
  <c r="OP9" i="4"/>
  <c r="OP4" i="4"/>
  <c r="OP7" i="4"/>
  <c r="OP10" i="4"/>
  <c r="OQ1" i="4"/>
  <c r="OP8" i="4"/>
  <c r="OP2" i="4"/>
  <c r="OP5" i="4"/>
  <c r="OG55" i="4"/>
  <c r="OC56" i="4"/>
  <c r="OD56" i="4"/>
  <c r="OP46" i="4" l="1"/>
  <c r="OO49" i="4" s="1"/>
  <c r="OL52" i="4" s="1"/>
  <c r="OP45" i="4"/>
  <c r="OO48" i="4" s="1"/>
  <c r="OL51" i="4" s="1"/>
  <c r="OI54" i="4" s="1"/>
  <c r="OP44" i="4"/>
  <c r="OO47" i="4" s="1"/>
  <c r="OL50" i="4" s="1"/>
  <c r="OI53" i="4" s="1"/>
  <c r="OQ35" i="4"/>
  <c r="OQ36" i="4"/>
  <c r="OQ37" i="4"/>
  <c r="OQ38" i="4"/>
  <c r="OQ39" i="4"/>
  <c r="OQ40" i="4"/>
  <c r="OH54" i="4"/>
  <c r="OE57" i="4" s="1"/>
  <c r="OD57" i="4"/>
  <c r="OH53" i="4"/>
  <c r="OQ34" i="4"/>
  <c r="OQ33" i="4"/>
  <c r="OQ46" i="4" s="1"/>
  <c r="OQ32" i="4"/>
  <c r="OQ31" i="4"/>
  <c r="OQ30" i="4"/>
  <c r="OQ29" i="4"/>
  <c r="OQ28" i="4"/>
  <c r="OQ27" i="4"/>
  <c r="OQ26" i="4"/>
  <c r="OQ25" i="4"/>
  <c r="OQ24" i="4"/>
  <c r="OQ23" i="4"/>
  <c r="OQ22" i="4"/>
  <c r="OQ21" i="4"/>
  <c r="OQ20" i="4"/>
  <c r="OQ19" i="4"/>
  <c r="OQ18" i="4"/>
  <c r="OQ17" i="4"/>
  <c r="OQ16" i="4"/>
  <c r="OQ15" i="4"/>
  <c r="OQ14" i="4"/>
  <c r="OQ13" i="4"/>
  <c r="OQ12" i="4"/>
  <c r="OQ6" i="4"/>
  <c r="OQ3" i="4"/>
  <c r="OQ9" i="4"/>
  <c r="OQ4" i="4"/>
  <c r="OQ11" i="4"/>
  <c r="OQ7" i="4"/>
  <c r="OQ10" i="4"/>
  <c r="OQ5" i="4"/>
  <c r="OQ8" i="4"/>
  <c r="OR1" i="4"/>
  <c r="OQ2" i="4"/>
  <c r="OE58" i="4"/>
  <c r="OD58" i="4"/>
  <c r="OQ45" i="4" l="1"/>
  <c r="OP48" i="4" s="1"/>
  <c r="OM51" i="4" s="1"/>
  <c r="OQ44" i="4"/>
  <c r="OP47" i="4" s="1"/>
  <c r="OM50" i="4" s="1"/>
  <c r="OR36" i="4"/>
  <c r="OR35" i="4"/>
  <c r="OR38" i="4"/>
  <c r="OR37" i="4"/>
  <c r="OR39" i="4"/>
  <c r="OR40" i="4"/>
  <c r="OP49" i="4"/>
  <c r="OM52" i="4" s="1"/>
  <c r="OI55" i="4"/>
  <c r="OF57" i="4"/>
  <c r="OF56" i="4"/>
  <c r="OE56" i="4"/>
  <c r="OR34" i="4"/>
  <c r="OR33" i="4"/>
  <c r="OR32" i="4"/>
  <c r="OR31" i="4"/>
  <c r="OR30" i="4"/>
  <c r="OR29" i="4"/>
  <c r="OR28" i="4"/>
  <c r="OR27" i="4"/>
  <c r="OR26" i="4"/>
  <c r="OR25" i="4"/>
  <c r="OR24" i="4"/>
  <c r="OR23" i="4"/>
  <c r="OR22" i="4"/>
  <c r="OR21" i="4"/>
  <c r="OR20" i="4"/>
  <c r="OR19" i="4"/>
  <c r="OR18" i="4"/>
  <c r="OR17" i="4"/>
  <c r="OR16" i="4"/>
  <c r="OR15" i="4"/>
  <c r="OR14" i="4"/>
  <c r="OR13" i="4"/>
  <c r="OR12" i="4"/>
  <c r="OR9" i="4"/>
  <c r="OR4" i="4"/>
  <c r="OR11" i="4"/>
  <c r="OR7" i="4"/>
  <c r="OR10" i="4"/>
  <c r="OR5" i="4"/>
  <c r="OR8" i="4"/>
  <c r="OR2" i="4"/>
  <c r="OR6" i="4"/>
  <c r="OS1" i="4"/>
  <c r="OR3" i="4"/>
  <c r="OR45" i="4" l="1"/>
  <c r="OQ48" i="4" s="1"/>
  <c r="ON51" i="4" s="1"/>
  <c r="OK54" i="4" s="1"/>
  <c r="OR44" i="4"/>
  <c r="OQ47" i="4" s="1"/>
  <c r="ON50" i="4" s="1"/>
  <c r="OR46" i="4"/>
  <c r="OQ49" i="4" s="1"/>
  <c r="ON52" i="4" s="1"/>
  <c r="OS36" i="4"/>
  <c r="OS35" i="4"/>
  <c r="OS37" i="4"/>
  <c r="OS38" i="4"/>
  <c r="OS39" i="4"/>
  <c r="OS40" i="4"/>
  <c r="OJ55" i="4"/>
  <c r="OG58" i="4" s="1"/>
  <c r="OJ53" i="4"/>
  <c r="OJ54" i="4"/>
  <c r="OS34" i="4"/>
  <c r="OS30" i="4"/>
  <c r="OS29" i="4"/>
  <c r="OS28" i="4"/>
  <c r="OS27" i="4"/>
  <c r="OS33" i="4"/>
  <c r="OS32" i="4"/>
  <c r="OS31" i="4"/>
  <c r="OS26" i="4"/>
  <c r="OS25" i="4"/>
  <c r="OS24" i="4"/>
  <c r="OS22" i="4"/>
  <c r="OS21" i="4"/>
  <c r="OS20" i="4"/>
  <c r="OS19" i="4"/>
  <c r="OS18" i="4"/>
  <c r="OS17" i="4"/>
  <c r="OS16" i="4"/>
  <c r="OS23" i="4"/>
  <c r="OS15" i="4"/>
  <c r="OS14" i="4"/>
  <c r="OS13" i="4"/>
  <c r="OS12" i="4"/>
  <c r="OS11" i="4"/>
  <c r="OS4" i="4"/>
  <c r="OS7" i="4"/>
  <c r="OS44" i="4" s="1"/>
  <c r="OS10" i="4"/>
  <c r="OS5" i="4"/>
  <c r="OS8" i="4"/>
  <c r="OS2" i="4"/>
  <c r="OS6" i="4"/>
  <c r="OS9" i="4"/>
  <c r="OT1" i="4"/>
  <c r="OS3" i="4"/>
  <c r="OF58" i="4"/>
  <c r="OS45" i="4" l="1"/>
  <c r="OR48" i="4" s="1"/>
  <c r="OO51" i="4" s="1"/>
  <c r="OL54" i="4" s="1"/>
  <c r="OS46" i="4"/>
  <c r="OR49" i="4" s="1"/>
  <c r="OO52" i="4" s="1"/>
  <c r="OT36" i="4"/>
  <c r="OT35" i="4"/>
  <c r="OT38" i="4"/>
  <c r="OT37" i="4"/>
  <c r="OT39" i="4"/>
  <c r="OT40" i="4"/>
  <c r="OR47" i="4"/>
  <c r="OO50" i="4" s="1"/>
  <c r="OK55" i="4"/>
  <c r="OG56" i="4"/>
  <c r="OG57" i="4"/>
  <c r="OH57" i="4"/>
  <c r="OT34" i="4"/>
  <c r="OT33" i="4"/>
  <c r="OT32" i="4"/>
  <c r="OT31" i="4"/>
  <c r="OT30" i="4"/>
  <c r="OT29" i="4"/>
  <c r="OT28" i="4"/>
  <c r="OT26" i="4"/>
  <c r="OT25" i="4"/>
  <c r="OT24" i="4"/>
  <c r="OT27" i="4"/>
  <c r="OT22" i="4"/>
  <c r="OT21" i="4"/>
  <c r="OT20" i="4"/>
  <c r="OT19" i="4"/>
  <c r="OT23" i="4"/>
  <c r="OT18" i="4"/>
  <c r="OT17" i="4"/>
  <c r="OT16" i="4"/>
  <c r="OT7" i="4"/>
  <c r="OT11" i="4"/>
  <c r="OT10" i="4"/>
  <c r="OT5" i="4"/>
  <c r="OT15" i="4"/>
  <c r="OT8" i="4"/>
  <c r="OT14" i="4"/>
  <c r="OT13" i="4"/>
  <c r="OT6" i="4"/>
  <c r="OT3" i="4"/>
  <c r="OT12" i="4"/>
  <c r="OT9" i="4"/>
  <c r="OT4" i="4"/>
  <c r="OU1" i="4"/>
  <c r="OT2" i="4"/>
  <c r="OK53" i="4"/>
  <c r="OT45" i="4" l="1"/>
  <c r="OS48" i="4" s="1"/>
  <c r="OP51" i="4" s="1"/>
  <c r="OT46" i="4"/>
  <c r="OS49" i="4" s="1"/>
  <c r="OP52" i="4" s="1"/>
  <c r="OT44" i="4"/>
  <c r="OS47" i="4" s="1"/>
  <c r="OP50" i="4" s="1"/>
  <c r="OU36" i="4"/>
  <c r="OU38" i="4"/>
  <c r="OU35" i="4"/>
  <c r="OU39" i="4"/>
  <c r="OU37" i="4"/>
  <c r="OU40" i="4"/>
  <c r="OI57" i="4"/>
  <c r="OL55" i="4"/>
  <c r="OI58" i="4" s="1"/>
  <c r="OL53" i="4"/>
  <c r="OU34" i="4"/>
  <c r="OU33" i="4"/>
  <c r="OU32" i="4"/>
  <c r="OU31" i="4"/>
  <c r="OU30" i="4"/>
  <c r="OU29" i="4"/>
  <c r="OU28" i="4"/>
  <c r="OU27" i="4"/>
  <c r="OU26" i="4"/>
  <c r="OU25" i="4"/>
  <c r="OU24" i="4"/>
  <c r="OU22" i="4"/>
  <c r="OU23" i="4"/>
  <c r="OU18" i="4"/>
  <c r="OU17" i="4"/>
  <c r="OU16" i="4"/>
  <c r="OU20" i="4"/>
  <c r="OU21" i="4"/>
  <c r="OU19" i="4"/>
  <c r="OU11" i="4"/>
  <c r="OU15" i="4"/>
  <c r="OU14" i="4"/>
  <c r="OU13" i="4"/>
  <c r="OU12" i="4"/>
  <c r="OU10" i="4"/>
  <c r="OU5" i="4"/>
  <c r="OU8" i="4"/>
  <c r="OU6" i="4"/>
  <c r="OU3" i="4"/>
  <c r="OU9" i="4"/>
  <c r="OU4" i="4"/>
  <c r="OV1" i="4"/>
  <c r="OU2" i="4"/>
  <c r="OU7" i="4"/>
  <c r="OH58" i="4"/>
  <c r="OH56" i="4"/>
  <c r="OU44" i="4" l="1"/>
  <c r="OT47" i="4" s="1"/>
  <c r="OQ50" i="4" s="1"/>
  <c r="ON53" i="4" s="1"/>
  <c r="OU46" i="4"/>
  <c r="OU45" i="4"/>
  <c r="OT48" i="4" s="1"/>
  <c r="OQ51" i="4" s="1"/>
  <c r="OV36" i="4"/>
  <c r="OV38" i="4"/>
  <c r="OV35" i="4"/>
  <c r="OV39" i="4"/>
  <c r="OV37" i="4"/>
  <c r="OV40" i="4"/>
  <c r="OT49" i="4"/>
  <c r="OQ52" i="4" s="1"/>
  <c r="OM53" i="4"/>
  <c r="OI56" i="4"/>
  <c r="OV34" i="4"/>
  <c r="OV33" i="4"/>
  <c r="OV32" i="4"/>
  <c r="OV31" i="4"/>
  <c r="OV30" i="4"/>
  <c r="OV29" i="4"/>
  <c r="OV28" i="4"/>
  <c r="OV27" i="4"/>
  <c r="OV26" i="4"/>
  <c r="OV25" i="4"/>
  <c r="OV24" i="4"/>
  <c r="OV22" i="4"/>
  <c r="OV21" i="4"/>
  <c r="OV20" i="4"/>
  <c r="OV23" i="4"/>
  <c r="OV18" i="4"/>
  <c r="OV17" i="4"/>
  <c r="OV16" i="4"/>
  <c r="OV19" i="4"/>
  <c r="OV11" i="4"/>
  <c r="OV15" i="4"/>
  <c r="OV14" i="4"/>
  <c r="OV13" i="4"/>
  <c r="OV12" i="4"/>
  <c r="OV5" i="4"/>
  <c r="OV8" i="4"/>
  <c r="OV6" i="4"/>
  <c r="OV3" i="4"/>
  <c r="OV9" i="4"/>
  <c r="OV4" i="4"/>
  <c r="OV7" i="4"/>
  <c r="OW1" i="4"/>
  <c r="OV10" i="4"/>
  <c r="OV2" i="4"/>
  <c r="OM55" i="4"/>
  <c r="OM54" i="4"/>
  <c r="OV46" i="4" l="1"/>
  <c r="OU49" i="4" s="1"/>
  <c r="OR52" i="4" s="1"/>
  <c r="OV44" i="4"/>
  <c r="OU47" i="4" s="1"/>
  <c r="OR50" i="4" s="1"/>
  <c r="OV45" i="4"/>
  <c r="OU48" i="4" s="1"/>
  <c r="OR51" i="4" s="1"/>
  <c r="OO54" i="4" s="1"/>
  <c r="OW35" i="4"/>
  <c r="OW36" i="4"/>
  <c r="OW37" i="4"/>
  <c r="OW38" i="4"/>
  <c r="OW39" i="4"/>
  <c r="OW40" i="4"/>
  <c r="OK56" i="4"/>
  <c r="OJ58" i="4"/>
  <c r="OW34" i="4"/>
  <c r="OW33" i="4"/>
  <c r="OW32" i="4"/>
  <c r="OW31" i="4"/>
  <c r="OW27" i="4"/>
  <c r="OW26" i="4"/>
  <c r="OW25" i="4"/>
  <c r="OW24" i="4"/>
  <c r="OW22" i="4"/>
  <c r="OW21" i="4"/>
  <c r="OW20" i="4"/>
  <c r="OW45" i="4" s="1"/>
  <c r="OW28" i="4"/>
  <c r="OW29" i="4"/>
  <c r="OW23" i="4"/>
  <c r="OW30" i="4"/>
  <c r="OW19" i="4"/>
  <c r="OW11" i="4"/>
  <c r="OW15" i="4"/>
  <c r="OW14" i="4"/>
  <c r="OW13" i="4"/>
  <c r="OW12" i="4"/>
  <c r="OW18" i="4"/>
  <c r="OW17" i="4"/>
  <c r="OW16" i="4"/>
  <c r="OW8" i="4"/>
  <c r="OW6" i="4"/>
  <c r="OW3" i="4"/>
  <c r="OW9" i="4"/>
  <c r="OW4" i="4"/>
  <c r="OW7" i="4"/>
  <c r="OW10" i="4"/>
  <c r="OX1" i="4"/>
  <c r="OW2" i="4"/>
  <c r="OW5" i="4"/>
  <c r="OJ56" i="4"/>
  <c r="OJ57" i="4"/>
  <c r="ON54" i="4"/>
  <c r="ON55" i="4"/>
  <c r="OW46" i="4" l="1"/>
  <c r="OV49" i="4" s="1"/>
  <c r="OS52" i="4" s="1"/>
  <c r="OP55" i="4" s="1"/>
  <c r="OW44" i="4"/>
  <c r="OV47" i="4" s="1"/>
  <c r="OS50" i="4" s="1"/>
  <c r="OX35" i="4"/>
  <c r="OX37" i="4"/>
  <c r="OX36" i="4"/>
  <c r="OX38" i="4"/>
  <c r="OX39" i="4"/>
  <c r="OX40" i="4"/>
  <c r="OV48" i="4"/>
  <c r="OS51" i="4" s="1"/>
  <c r="OX34" i="4"/>
  <c r="OX33" i="4"/>
  <c r="OX32" i="4"/>
  <c r="OX31" i="4"/>
  <c r="OX30" i="4"/>
  <c r="OX29" i="4"/>
  <c r="OX28" i="4"/>
  <c r="OX27" i="4"/>
  <c r="OX26" i="4"/>
  <c r="OX25" i="4"/>
  <c r="OX24" i="4"/>
  <c r="OX23" i="4"/>
  <c r="OX20" i="4"/>
  <c r="OX19" i="4"/>
  <c r="OX22" i="4"/>
  <c r="OX21" i="4"/>
  <c r="OX18" i="4"/>
  <c r="OX17" i="4"/>
  <c r="OX16" i="4"/>
  <c r="OX11" i="4"/>
  <c r="OX15" i="4"/>
  <c r="OX14" i="4"/>
  <c r="OX13" i="4"/>
  <c r="OX12" i="4"/>
  <c r="OX6" i="4"/>
  <c r="OX3" i="4"/>
  <c r="OX9" i="4"/>
  <c r="OX4" i="4"/>
  <c r="OX7" i="4"/>
  <c r="OX10" i="4"/>
  <c r="OX8" i="4"/>
  <c r="OX2" i="4"/>
  <c r="OX5" i="4"/>
  <c r="OY1" i="4"/>
  <c r="OK58" i="4"/>
  <c r="OK57" i="4"/>
  <c r="OO53" i="4"/>
  <c r="OL57" i="4"/>
  <c r="OO55" i="4"/>
  <c r="OX44" i="4" l="1"/>
  <c r="OW47" i="4" s="1"/>
  <c r="OT50" i="4" s="1"/>
  <c r="OQ53" i="4" s="1"/>
  <c r="OX45" i="4"/>
  <c r="OW48" i="4" s="1"/>
  <c r="OT51" i="4" s="1"/>
  <c r="OQ54" i="4" s="1"/>
  <c r="OX46" i="4"/>
  <c r="OW49" i="4" s="1"/>
  <c r="OT52" i="4" s="1"/>
  <c r="OY35" i="4"/>
  <c r="OY37" i="4"/>
  <c r="OY36" i="4"/>
  <c r="OY40" i="4"/>
  <c r="OY38" i="4"/>
  <c r="OY39" i="4"/>
  <c r="OM58" i="4"/>
  <c r="OY34" i="4"/>
  <c r="OY33" i="4"/>
  <c r="OY32" i="4"/>
  <c r="OY31" i="4"/>
  <c r="OY30" i="4"/>
  <c r="OY29" i="4"/>
  <c r="OY28" i="4"/>
  <c r="OY27" i="4"/>
  <c r="OY26" i="4"/>
  <c r="OY25" i="4"/>
  <c r="OY24" i="4"/>
  <c r="OY23" i="4"/>
  <c r="OY22" i="4"/>
  <c r="OY21" i="4"/>
  <c r="OY20" i="4"/>
  <c r="OY19" i="4"/>
  <c r="OY18" i="4"/>
  <c r="OY17" i="4"/>
  <c r="OY16" i="4"/>
  <c r="OY15" i="4"/>
  <c r="OY14" i="4"/>
  <c r="OY13" i="4"/>
  <c r="OY12" i="4"/>
  <c r="OY11" i="4"/>
  <c r="OY6" i="4"/>
  <c r="OY3" i="4"/>
  <c r="OY9" i="4"/>
  <c r="OY4" i="4"/>
  <c r="OY7" i="4"/>
  <c r="OY10" i="4"/>
  <c r="OY5" i="4"/>
  <c r="OY8" i="4"/>
  <c r="OY2" i="4"/>
  <c r="OZ1" i="4"/>
  <c r="OP53" i="4"/>
  <c r="OP54" i="4"/>
  <c r="OL56" i="4"/>
  <c r="OL58" i="4"/>
  <c r="OY46" i="4" l="1"/>
  <c r="OX49" i="4" s="1"/>
  <c r="OU52" i="4" s="1"/>
  <c r="OY44" i="4"/>
  <c r="OX47" i="4" s="1"/>
  <c r="OU50" i="4" s="1"/>
  <c r="OY45" i="4"/>
  <c r="OX48" i="4" s="1"/>
  <c r="OU51" i="4" s="1"/>
  <c r="OZ36" i="4"/>
  <c r="OZ35" i="4"/>
  <c r="OZ38" i="4"/>
  <c r="OZ37" i="4"/>
  <c r="OZ40" i="4"/>
  <c r="OZ39" i="4"/>
  <c r="OZ34" i="4"/>
  <c r="OZ33" i="4"/>
  <c r="OZ32" i="4"/>
  <c r="OZ31" i="4"/>
  <c r="OZ30" i="4"/>
  <c r="OZ29" i="4"/>
  <c r="OZ28" i="4"/>
  <c r="OZ27" i="4"/>
  <c r="OZ26" i="4"/>
  <c r="OZ25" i="4"/>
  <c r="OZ24" i="4"/>
  <c r="OZ23" i="4"/>
  <c r="OZ22" i="4"/>
  <c r="OZ21" i="4"/>
  <c r="OZ20" i="4"/>
  <c r="OZ19" i="4"/>
  <c r="OZ18" i="4"/>
  <c r="OZ17" i="4"/>
  <c r="OZ16" i="4"/>
  <c r="OZ15" i="4"/>
  <c r="OZ14" i="4"/>
  <c r="OZ13" i="4"/>
  <c r="OZ12" i="4"/>
  <c r="OZ9" i="4"/>
  <c r="OZ4" i="4"/>
  <c r="OZ7" i="4"/>
  <c r="OZ10" i="4"/>
  <c r="OZ5" i="4"/>
  <c r="OZ8" i="4"/>
  <c r="OZ6" i="4"/>
  <c r="OZ2" i="4"/>
  <c r="OZ11" i="4"/>
  <c r="OZ3" i="4"/>
  <c r="PA1" i="4"/>
  <c r="ON56" i="4"/>
  <c r="OM57" i="4"/>
  <c r="ON57" i="4"/>
  <c r="OM56" i="4"/>
  <c r="OQ55" i="4"/>
  <c r="OZ44" i="4" l="1"/>
  <c r="OY47" i="4" s="1"/>
  <c r="OV50" i="4" s="1"/>
  <c r="OS53" i="4" s="1"/>
  <c r="OZ46" i="4"/>
  <c r="OY49" i="4" s="1"/>
  <c r="OV52" i="4" s="1"/>
  <c r="OS55" i="4" s="1"/>
  <c r="OZ45" i="4"/>
  <c r="OY48" i="4" s="1"/>
  <c r="OV51" i="4" s="1"/>
  <c r="PA36" i="4"/>
  <c r="PA35" i="4"/>
  <c r="PA37" i="4"/>
  <c r="PA39" i="4"/>
  <c r="PA38" i="4"/>
  <c r="PA40" i="4"/>
  <c r="PA34" i="4"/>
  <c r="PA33" i="4"/>
  <c r="PA30" i="4"/>
  <c r="PA29" i="4"/>
  <c r="PA28" i="4"/>
  <c r="PA27" i="4"/>
  <c r="PA32" i="4"/>
  <c r="PA31" i="4"/>
  <c r="PA26" i="4"/>
  <c r="PA25" i="4"/>
  <c r="PA24" i="4"/>
  <c r="PA23" i="4"/>
  <c r="PA22" i="4"/>
  <c r="PA21" i="4"/>
  <c r="PA20" i="4"/>
  <c r="PA19" i="4"/>
  <c r="PA18" i="4"/>
  <c r="PA17" i="4"/>
  <c r="PA16" i="4"/>
  <c r="PA15" i="4"/>
  <c r="PA14" i="4"/>
  <c r="PA13" i="4"/>
  <c r="PA12" i="4"/>
  <c r="PA11" i="4"/>
  <c r="PA4" i="4"/>
  <c r="PA7" i="4"/>
  <c r="PA10" i="4"/>
  <c r="PA5" i="4"/>
  <c r="PA8" i="4"/>
  <c r="PA6" i="4"/>
  <c r="PA2" i="4"/>
  <c r="PA9" i="4"/>
  <c r="PA3" i="4"/>
  <c r="PB1" i="4"/>
  <c r="OR53" i="4"/>
  <c r="OR54" i="4"/>
  <c r="OR55" i="4"/>
  <c r="ON58" i="4"/>
  <c r="PA44" i="4" l="1"/>
  <c r="OZ47" i="4" s="1"/>
  <c r="OW50" i="4" s="1"/>
  <c r="PA46" i="4"/>
  <c r="PA45" i="4"/>
  <c r="OZ48" i="4" s="1"/>
  <c r="OW51" i="4" s="1"/>
  <c r="OT54" i="4" s="1"/>
  <c r="PB36" i="4"/>
  <c r="PB35" i="4"/>
  <c r="PB38" i="4"/>
  <c r="PB37" i="4"/>
  <c r="PB39" i="4"/>
  <c r="PB40" i="4"/>
  <c r="OZ49" i="4"/>
  <c r="OW52" i="4" s="1"/>
  <c r="OO58" i="4"/>
  <c r="OO56" i="4"/>
  <c r="OP56" i="4"/>
  <c r="OP58" i="4"/>
  <c r="OS54" i="4"/>
  <c r="OP57" i="4" s="1"/>
  <c r="OO57" i="4"/>
  <c r="PB34" i="4"/>
  <c r="PB33" i="4"/>
  <c r="PB32" i="4"/>
  <c r="PB31" i="4"/>
  <c r="PB30" i="4"/>
  <c r="PB29" i="4"/>
  <c r="PB28" i="4"/>
  <c r="PB27" i="4"/>
  <c r="PB26" i="4"/>
  <c r="PB25" i="4"/>
  <c r="PB24" i="4"/>
  <c r="PB23" i="4"/>
  <c r="PB22" i="4"/>
  <c r="PB21" i="4"/>
  <c r="PB20" i="4"/>
  <c r="PB19" i="4"/>
  <c r="PB18" i="4"/>
  <c r="PB17" i="4"/>
  <c r="PB16" i="4"/>
  <c r="PB7" i="4"/>
  <c r="PB10" i="4"/>
  <c r="PB15" i="4"/>
  <c r="PB5" i="4"/>
  <c r="PB14" i="4"/>
  <c r="PB8" i="4"/>
  <c r="PB13" i="4"/>
  <c r="PB12" i="4"/>
  <c r="PB6" i="4"/>
  <c r="PB3" i="4"/>
  <c r="PB11" i="4"/>
  <c r="PB9" i="4"/>
  <c r="PB4" i="4"/>
  <c r="PC1" i="4"/>
  <c r="PB2" i="4"/>
  <c r="PB45" i="4" l="1"/>
  <c r="PA48" i="4" s="1"/>
  <c r="OX51" i="4" s="1"/>
  <c r="PB44" i="4"/>
  <c r="PA47" i="4" s="1"/>
  <c r="OX50" i="4" s="1"/>
  <c r="OU53" i="4" s="1"/>
  <c r="PB46" i="4"/>
  <c r="PA49" i="4" s="1"/>
  <c r="OX52" i="4" s="1"/>
  <c r="OU55" i="4" s="1"/>
  <c r="PC36" i="4"/>
  <c r="PC35" i="4"/>
  <c r="PC38" i="4"/>
  <c r="PC39" i="4"/>
  <c r="PC40" i="4"/>
  <c r="PC37" i="4"/>
  <c r="OQ57" i="4"/>
  <c r="OT55" i="4"/>
  <c r="PC34" i="4"/>
  <c r="PC33" i="4"/>
  <c r="PC32" i="4"/>
  <c r="PC31" i="4"/>
  <c r="PC30" i="4"/>
  <c r="PC29" i="4"/>
  <c r="PC28" i="4"/>
  <c r="PC27" i="4"/>
  <c r="PC26" i="4"/>
  <c r="PC25" i="4"/>
  <c r="PC24" i="4"/>
  <c r="PC23" i="4"/>
  <c r="PC22" i="4"/>
  <c r="PC19" i="4"/>
  <c r="PC18" i="4"/>
  <c r="PC17" i="4"/>
  <c r="PC16" i="4"/>
  <c r="PC20" i="4"/>
  <c r="PC21" i="4"/>
  <c r="PC11" i="4"/>
  <c r="PC15" i="4"/>
  <c r="PC14" i="4"/>
  <c r="PC13" i="4"/>
  <c r="PC12" i="4"/>
  <c r="PC10" i="4"/>
  <c r="PC5" i="4"/>
  <c r="PC8" i="4"/>
  <c r="PC6" i="4"/>
  <c r="PC3" i="4"/>
  <c r="PC9" i="4"/>
  <c r="PD1" i="4"/>
  <c r="PC7" i="4"/>
  <c r="PC4" i="4"/>
  <c r="PC2" i="4"/>
  <c r="OT53" i="4"/>
  <c r="PC46" i="4" l="1"/>
  <c r="PB49" i="4" s="1"/>
  <c r="OY52" i="4" s="1"/>
  <c r="PC44" i="4"/>
  <c r="PB47" i="4" s="1"/>
  <c r="OY50" i="4" s="1"/>
  <c r="PC45" i="4"/>
  <c r="PB48" i="4" s="1"/>
  <c r="OY51" i="4" s="1"/>
  <c r="OV54" i="4" s="1"/>
  <c r="PD36" i="4"/>
  <c r="PD35" i="4"/>
  <c r="PD38" i="4"/>
  <c r="PD39" i="4"/>
  <c r="PD37" i="4"/>
  <c r="PD40" i="4"/>
  <c r="PD34" i="4"/>
  <c r="PD33" i="4"/>
  <c r="PD32" i="4"/>
  <c r="PD31" i="4"/>
  <c r="PD30" i="4"/>
  <c r="PD29" i="4"/>
  <c r="PD28" i="4"/>
  <c r="PD27" i="4"/>
  <c r="PD26" i="4"/>
  <c r="PD25" i="4"/>
  <c r="PD24" i="4"/>
  <c r="PD22" i="4"/>
  <c r="PD21" i="4"/>
  <c r="PD20" i="4"/>
  <c r="PD45" i="4" s="1"/>
  <c r="PD19" i="4"/>
  <c r="PD18" i="4"/>
  <c r="PD17" i="4"/>
  <c r="PD16" i="4"/>
  <c r="PD23" i="4"/>
  <c r="PD11" i="4"/>
  <c r="PD15" i="4"/>
  <c r="PD14" i="4"/>
  <c r="PD13" i="4"/>
  <c r="PD12" i="4"/>
  <c r="PD5" i="4"/>
  <c r="PD8" i="4"/>
  <c r="PD6" i="4"/>
  <c r="PD3" i="4"/>
  <c r="PD9" i="4"/>
  <c r="PD4" i="4"/>
  <c r="PD7" i="4"/>
  <c r="PE1" i="4"/>
  <c r="PD10" i="4"/>
  <c r="PD2" i="4"/>
  <c r="OQ58" i="4"/>
  <c r="OR58" i="4"/>
  <c r="OU54" i="4"/>
  <c r="OQ56" i="4"/>
  <c r="OR56" i="4"/>
  <c r="PD46" i="4" l="1"/>
  <c r="PC49" i="4" s="1"/>
  <c r="OZ52" i="4" s="1"/>
  <c r="PD44" i="4"/>
  <c r="PC47" i="4" s="1"/>
  <c r="OZ50" i="4" s="1"/>
  <c r="OW53" i="4" s="1"/>
  <c r="PE35" i="4"/>
  <c r="PE36" i="4"/>
  <c r="PE37" i="4"/>
  <c r="PE39" i="4"/>
  <c r="PE38" i="4"/>
  <c r="PE40" i="4"/>
  <c r="PC48" i="4"/>
  <c r="OZ51" i="4" s="1"/>
  <c r="OV53" i="4"/>
  <c r="OR57" i="4"/>
  <c r="OS57" i="4"/>
  <c r="PE34" i="4"/>
  <c r="PE33" i="4"/>
  <c r="PE32" i="4"/>
  <c r="PE31" i="4"/>
  <c r="PE30" i="4"/>
  <c r="PE29" i="4"/>
  <c r="PE28" i="4"/>
  <c r="PE26" i="4"/>
  <c r="PE25" i="4"/>
  <c r="PE24" i="4"/>
  <c r="PE22" i="4"/>
  <c r="PE21" i="4"/>
  <c r="PE20" i="4"/>
  <c r="PE27" i="4"/>
  <c r="PE23" i="4"/>
  <c r="PE19" i="4"/>
  <c r="PE11" i="4"/>
  <c r="PE15" i="4"/>
  <c r="PE14" i="4"/>
  <c r="PE13" i="4"/>
  <c r="PE12" i="4"/>
  <c r="PE18" i="4"/>
  <c r="PE17" i="4"/>
  <c r="PE16" i="4"/>
  <c r="PE8" i="4"/>
  <c r="PE6" i="4"/>
  <c r="PE3" i="4"/>
  <c r="PE9" i="4"/>
  <c r="PE4" i="4"/>
  <c r="PE7" i="4"/>
  <c r="PE10" i="4"/>
  <c r="PF1" i="4"/>
  <c r="PE5" i="4"/>
  <c r="PE2" i="4"/>
  <c r="OV55" i="4"/>
  <c r="PE46" i="4" l="1"/>
  <c r="PD49" i="4" s="1"/>
  <c r="PA52" i="4" s="1"/>
  <c r="OX55" i="4" s="1"/>
  <c r="PE44" i="4"/>
  <c r="PD47" i="4" s="1"/>
  <c r="PA50" i="4" s="1"/>
  <c r="OX53" i="4" s="1"/>
  <c r="OU56" i="4" s="1"/>
  <c r="PE45" i="4"/>
  <c r="PD48" i="4" s="1"/>
  <c r="PA51" i="4" s="1"/>
  <c r="PF35" i="4"/>
  <c r="PF37" i="4"/>
  <c r="PF36" i="4"/>
  <c r="PF39" i="4"/>
  <c r="PF40" i="4"/>
  <c r="PF38" i="4"/>
  <c r="PF34" i="4"/>
  <c r="PF33" i="4"/>
  <c r="PF32" i="4"/>
  <c r="PF31" i="4"/>
  <c r="PF30" i="4"/>
  <c r="PF29" i="4"/>
  <c r="PF28" i="4"/>
  <c r="PF27" i="4"/>
  <c r="PF26" i="4"/>
  <c r="PF25" i="4"/>
  <c r="PF24" i="4"/>
  <c r="PF23" i="4"/>
  <c r="PF20" i="4"/>
  <c r="PF21" i="4"/>
  <c r="PF22" i="4"/>
  <c r="PF19" i="4"/>
  <c r="PF18" i="4"/>
  <c r="PF17" i="4"/>
  <c r="PF16" i="4"/>
  <c r="PF11" i="4"/>
  <c r="PF15" i="4"/>
  <c r="PF14" i="4"/>
  <c r="PF13" i="4"/>
  <c r="PF12" i="4"/>
  <c r="PF6" i="4"/>
  <c r="PF3" i="4"/>
  <c r="PF9" i="4"/>
  <c r="PF4" i="4"/>
  <c r="PF7" i="4"/>
  <c r="PF10" i="4"/>
  <c r="PF5" i="4"/>
  <c r="PF8" i="4"/>
  <c r="PF2" i="4"/>
  <c r="PG1" i="4"/>
  <c r="OW54" i="4"/>
  <c r="OW55" i="4"/>
  <c r="OT58" i="4" s="1"/>
  <c r="OS58" i="4"/>
  <c r="OS56" i="4"/>
  <c r="OT56" i="4"/>
  <c r="PF44" i="4" l="1"/>
  <c r="PE47" i="4" s="1"/>
  <c r="PB50" i="4" s="1"/>
  <c r="PF45" i="4"/>
  <c r="PE48" i="4" s="1"/>
  <c r="PB51" i="4" s="1"/>
  <c r="OY54" i="4" s="1"/>
  <c r="PF46" i="4"/>
  <c r="PE49" i="4" s="1"/>
  <c r="PB52" i="4" s="1"/>
  <c r="PG35" i="4"/>
  <c r="PG37" i="4"/>
  <c r="PG38" i="4"/>
  <c r="PG40" i="4"/>
  <c r="PG39" i="4"/>
  <c r="PG36" i="4"/>
  <c r="OU58" i="4"/>
  <c r="PG33" i="4"/>
  <c r="PG32" i="4"/>
  <c r="PG31" i="4"/>
  <c r="PG34" i="4"/>
  <c r="PG30" i="4"/>
  <c r="PG29" i="4"/>
  <c r="PG28" i="4"/>
  <c r="PG27" i="4"/>
  <c r="PG26" i="4"/>
  <c r="PG25" i="4"/>
  <c r="PG24" i="4"/>
  <c r="PG23" i="4"/>
  <c r="PG22" i="4"/>
  <c r="PG21" i="4"/>
  <c r="PG20" i="4"/>
  <c r="PG19" i="4"/>
  <c r="PG18" i="4"/>
  <c r="PG17" i="4"/>
  <c r="PG16" i="4"/>
  <c r="PG15" i="4"/>
  <c r="PG14" i="4"/>
  <c r="PG13" i="4"/>
  <c r="PG12" i="4"/>
  <c r="PG6" i="4"/>
  <c r="PG3" i="4"/>
  <c r="PG9" i="4"/>
  <c r="PG4" i="4"/>
  <c r="PG7" i="4"/>
  <c r="PG10" i="4"/>
  <c r="PG11" i="4"/>
  <c r="PG5" i="4"/>
  <c r="PG8" i="4"/>
  <c r="PG2" i="4"/>
  <c r="PH1" i="4"/>
  <c r="OX54" i="4"/>
  <c r="OU57" i="4" s="1"/>
  <c r="OT57" i="4"/>
  <c r="PG44" i="4" l="1"/>
  <c r="PF47" i="4" s="1"/>
  <c r="PC50" i="4" s="1"/>
  <c r="OZ53" i="4" s="1"/>
  <c r="PG46" i="4"/>
  <c r="PF49" i="4" s="1"/>
  <c r="PC52" i="4" s="1"/>
  <c r="PG45" i="4"/>
  <c r="PF48" i="4" s="1"/>
  <c r="PC51" i="4" s="1"/>
  <c r="PH36" i="4"/>
  <c r="PH35" i="4"/>
  <c r="PH38" i="4"/>
  <c r="PH37" i="4"/>
  <c r="PH40" i="4"/>
  <c r="PH39" i="4"/>
  <c r="OV57" i="4"/>
  <c r="OY55" i="4"/>
  <c r="PH33" i="4"/>
  <c r="PH32" i="4"/>
  <c r="PH31" i="4"/>
  <c r="PH34" i="4"/>
  <c r="PH30" i="4"/>
  <c r="PH29" i="4"/>
  <c r="PH28" i="4"/>
  <c r="PH27" i="4"/>
  <c r="PH26" i="4"/>
  <c r="PH25" i="4"/>
  <c r="PH24" i="4"/>
  <c r="PH23" i="4"/>
  <c r="PH22" i="4"/>
  <c r="PH21" i="4"/>
  <c r="PH20" i="4"/>
  <c r="PH19" i="4"/>
  <c r="PH18" i="4"/>
  <c r="PH17" i="4"/>
  <c r="PH16" i="4"/>
  <c r="PH15" i="4"/>
  <c r="PH14" i="4"/>
  <c r="PH13" i="4"/>
  <c r="PH12" i="4"/>
  <c r="PH9" i="4"/>
  <c r="PH4" i="4"/>
  <c r="PH7" i="4"/>
  <c r="PH10" i="4"/>
  <c r="PH11" i="4"/>
  <c r="PH5" i="4"/>
  <c r="PH8" i="4"/>
  <c r="PH2" i="4"/>
  <c r="PH6" i="4"/>
  <c r="PH3" i="4"/>
  <c r="PI1" i="4"/>
  <c r="OY53" i="4"/>
  <c r="PH44" i="4" l="1"/>
  <c r="PG47" i="4" s="1"/>
  <c r="PD50" i="4" s="1"/>
  <c r="PA53" i="4" s="1"/>
  <c r="PH46" i="4"/>
  <c r="PG49" i="4" s="1"/>
  <c r="PD52" i="4" s="1"/>
  <c r="PH45" i="4"/>
  <c r="PG48" i="4" s="1"/>
  <c r="PD51" i="4" s="1"/>
  <c r="PA54" i="4" s="1"/>
  <c r="PI36" i="4"/>
  <c r="PI35" i="4"/>
  <c r="PI37" i="4"/>
  <c r="PI38" i="4"/>
  <c r="PI39" i="4"/>
  <c r="PI40" i="4"/>
  <c r="OW56" i="4"/>
  <c r="OV56" i="4"/>
  <c r="OZ55" i="4"/>
  <c r="OW58" i="4" s="1"/>
  <c r="OZ54" i="4"/>
  <c r="OV58" i="4"/>
  <c r="PI34" i="4"/>
  <c r="PI33" i="4"/>
  <c r="PI32" i="4"/>
  <c r="PI30" i="4"/>
  <c r="PI29" i="4"/>
  <c r="PI28" i="4"/>
  <c r="PI27" i="4"/>
  <c r="PI31" i="4"/>
  <c r="PI26" i="4"/>
  <c r="PI25" i="4"/>
  <c r="PI24" i="4"/>
  <c r="PI23" i="4"/>
  <c r="PI22" i="4"/>
  <c r="PI21" i="4"/>
  <c r="PI20" i="4"/>
  <c r="PI19" i="4"/>
  <c r="PI18" i="4"/>
  <c r="PI17" i="4"/>
  <c r="PI16" i="4"/>
  <c r="PI15" i="4"/>
  <c r="PI14" i="4"/>
  <c r="PI13" i="4"/>
  <c r="PI12" i="4"/>
  <c r="PI11" i="4"/>
  <c r="PI4" i="4"/>
  <c r="PI7" i="4"/>
  <c r="PI10" i="4"/>
  <c r="PI5" i="4"/>
  <c r="PI8" i="4"/>
  <c r="PI2" i="4"/>
  <c r="PI9" i="4"/>
  <c r="PI3" i="4"/>
  <c r="PJ1" i="4"/>
  <c r="PI6" i="4"/>
  <c r="PI44" i="4" l="1"/>
  <c r="PH47" i="4" s="1"/>
  <c r="PE50" i="4" s="1"/>
  <c r="PI46" i="4"/>
  <c r="PH49" i="4" s="1"/>
  <c r="PE52" i="4" s="1"/>
  <c r="PB55" i="4" s="1"/>
  <c r="PI45" i="4"/>
  <c r="PH48" i="4" s="1"/>
  <c r="PE51" i="4" s="1"/>
  <c r="PJ36" i="4"/>
  <c r="PJ35" i="4"/>
  <c r="PJ38" i="4"/>
  <c r="PJ37" i="4"/>
  <c r="PJ39" i="4"/>
  <c r="PJ40" i="4"/>
  <c r="PA55" i="4"/>
  <c r="PJ34" i="4"/>
  <c r="PJ33" i="4"/>
  <c r="PJ32" i="4"/>
  <c r="PJ31" i="4"/>
  <c r="PJ30" i="4"/>
  <c r="PJ29" i="4"/>
  <c r="PJ28" i="4"/>
  <c r="PJ26" i="4"/>
  <c r="PJ25" i="4"/>
  <c r="PJ24" i="4"/>
  <c r="PJ23" i="4"/>
  <c r="PJ27" i="4"/>
  <c r="PJ22" i="4"/>
  <c r="PJ21" i="4"/>
  <c r="PJ20" i="4"/>
  <c r="PJ19" i="4"/>
  <c r="PJ18" i="4"/>
  <c r="PJ17" i="4"/>
  <c r="PJ16" i="4"/>
  <c r="PJ7" i="4"/>
  <c r="PJ15" i="4"/>
  <c r="PJ10" i="4"/>
  <c r="PJ14" i="4"/>
  <c r="PJ5" i="4"/>
  <c r="PJ13" i="4"/>
  <c r="PJ11" i="4"/>
  <c r="PJ8" i="4"/>
  <c r="PJ12" i="4"/>
  <c r="PJ6" i="4"/>
  <c r="PJ3" i="4"/>
  <c r="PJ9" i="4"/>
  <c r="PJ2" i="4"/>
  <c r="PK1" i="4"/>
  <c r="PJ4" i="4"/>
  <c r="OX57" i="4"/>
  <c r="OW57" i="4"/>
  <c r="OX56" i="4"/>
  <c r="PJ46" i="4" l="1"/>
  <c r="PI49" i="4" s="1"/>
  <c r="PF52" i="4" s="1"/>
  <c r="PJ45" i="4"/>
  <c r="PI48" i="4" s="1"/>
  <c r="PF51" i="4" s="1"/>
  <c r="PC54" i="4" s="1"/>
  <c r="PJ44" i="4"/>
  <c r="PI47" i="4" s="1"/>
  <c r="PF50" i="4" s="1"/>
  <c r="PC53" i="4" s="1"/>
  <c r="PK36" i="4"/>
  <c r="PK35" i="4"/>
  <c r="PK38" i="4"/>
  <c r="PK37" i="4"/>
  <c r="PK39" i="4"/>
  <c r="PK40" i="4"/>
  <c r="OY58" i="4"/>
  <c r="OX58" i="4"/>
  <c r="PB54" i="4"/>
  <c r="PK34" i="4"/>
  <c r="PK33" i="4"/>
  <c r="PK32" i="4"/>
  <c r="PK31" i="4"/>
  <c r="PK30" i="4"/>
  <c r="PK29" i="4"/>
  <c r="PK28" i="4"/>
  <c r="PK27" i="4"/>
  <c r="PK26" i="4"/>
  <c r="PK25" i="4"/>
  <c r="PK24" i="4"/>
  <c r="PK22" i="4"/>
  <c r="PK23" i="4"/>
  <c r="PK20" i="4"/>
  <c r="PK18" i="4"/>
  <c r="PK17" i="4"/>
  <c r="PK16" i="4"/>
  <c r="PK21" i="4"/>
  <c r="PK19" i="4"/>
  <c r="PK11" i="4"/>
  <c r="PK15" i="4"/>
  <c r="PK14" i="4"/>
  <c r="PK13" i="4"/>
  <c r="PK12" i="4"/>
  <c r="PK10" i="4"/>
  <c r="PK5" i="4"/>
  <c r="PK8" i="4"/>
  <c r="PK6" i="4"/>
  <c r="PK3" i="4"/>
  <c r="PK9" i="4"/>
  <c r="PL1" i="4"/>
  <c r="PK2" i="4"/>
  <c r="PK7" i="4"/>
  <c r="PK4" i="4"/>
  <c r="PB53" i="4"/>
  <c r="PK44" i="4" l="1"/>
  <c r="PJ47" i="4" s="1"/>
  <c r="PG50" i="4" s="1"/>
  <c r="PK46" i="4"/>
  <c r="PJ49" i="4" s="1"/>
  <c r="PG52" i="4" s="1"/>
  <c r="PK45" i="4"/>
  <c r="PJ48" i="4" s="1"/>
  <c r="PG51" i="4" s="1"/>
  <c r="PL36" i="4"/>
  <c r="PL35" i="4"/>
  <c r="PL38" i="4"/>
  <c r="PL37" i="4"/>
  <c r="PL39" i="4"/>
  <c r="PL40" i="4"/>
  <c r="OZ56" i="4"/>
  <c r="OY56" i="4"/>
  <c r="PL34" i="4"/>
  <c r="PL33" i="4"/>
  <c r="PL32" i="4"/>
  <c r="PL31" i="4"/>
  <c r="PL30" i="4"/>
  <c r="PL29" i="4"/>
  <c r="PL28" i="4"/>
  <c r="PL27" i="4"/>
  <c r="PL22" i="4"/>
  <c r="PL21" i="4"/>
  <c r="PL20" i="4"/>
  <c r="PL23" i="4"/>
  <c r="PL26" i="4"/>
  <c r="PL25" i="4"/>
  <c r="PL24" i="4"/>
  <c r="PL18" i="4"/>
  <c r="PL17" i="4"/>
  <c r="PL16" i="4"/>
  <c r="PL19" i="4"/>
  <c r="PL11" i="4"/>
  <c r="PL15" i="4"/>
  <c r="PL14" i="4"/>
  <c r="PL13" i="4"/>
  <c r="PL12" i="4"/>
  <c r="PL5" i="4"/>
  <c r="PL8" i="4"/>
  <c r="PL6" i="4"/>
  <c r="PL3" i="4"/>
  <c r="PL9" i="4"/>
  <c r="PL4" i="4"/>
  <c r="PL7" i="4"/>
  <c r="PM1" i="4"/>
  <c r="PL10" i="4"/>
  <c r="PL2" i="4"/>
  <c r="PC55" i="4"/>
  <c r="OY57" i="4"/>
  <c r="OZ57" i="4"/>
  <c r="PL45" i="4" l="1"/>
  <c r="PK48" i="4" s="1"/>
  <c r="PH51" i="4" s="1"/>
  <c r="PE54" i="4" s="1"/>
  <c r="PL46" i="4"/>
  <c r="PK49" i="4" s="1"/>
  <c r="PH52" i="4" s="1"/>
  <c r="PL44" i="4"/>
  <c r="PK47" i="4" s="1"/>
  <c r="PH50" i="4" s="1"/>
  <c r="PE53" i="4" s="1"/>
  <c r="PM35" i="4"/>
  <c r="PM36" i="4"/>
  <c r="PM37" i="4"/>
  <c r="PM38" i="4"/>
  <c r="PM39" i="4"/>
  <c r="PM40" i="4"/>
  <c r="PD55" i="4"/>
  <c r="PA58" i="4" s="1"/>
  <c r="PD54" i="4"/>
  <c r="PM34" i="4"/>
  <c r="PM33" i="4"/>
  <c r="PM32" i="4"/>
  <c r="PM31" i="4"/>
  <c r="PM27" i="4"/>
  <c r="PM30" i="4"/>
  <c r="PM29" i="4"/>
  <c r="PM28" i="4"/>
  <c r="PM26" i="4"/>
  <c r="PM25" i="4"/>
  <c r="PM24" i="4"/>
  <c r="PM22" i="4"/>
  <c r="PM21" i="4"/>
  <c r="PM20" i="4"/>
  <c r="PM23" i="4"/>
  <c r="PM19" i="4"/>
  <c r="PM11" i="4"/>
  <c r="PM18" i="4"/>
  <c r="PM17" i="4"/>
  <c r="PM16" i="4"/>
  <c r="PM15" i="4"/>
  <c r="PM14" i="4"/>
  <c r="PM13" i="4"/>
  <c r="PM12" i="4"/>
  <c r="PM8" i="4"/>
  <c r="PM6" i="4"/>
  <c r="PM3" i="4"/>
  <c r="PM9" i="4"/>
  <c r="PM4" i="4"/>
  <c r="PM7" i="4"/>
  <c r="PM10" i="4"/>
  <c r="PN1" i="4"/>
  <c r="PM5" i="4"/>
  <c r="PM2" i="4"/>
  <c r="PD53" i="4"/>
  <c r="OZ58" i="4"/>
  <c r="PM45" i="4" l="1"/>
  <c r="PL48" i="4" s="1"/>
  <c r="PI51" i="4" s="1"/>
  <c r="PM44" i="4"/>
  <c r="PL47" i="4" s="1"/>
  <c r="PI50" i="4" s="1"/>
  <c r="PM46" i="4"/>
  <c r="PL49" i="4" s="1"/>
  <c r="PI52" i="4" s="1"/>
  <c r="PN35" i="4"/>
  <c r="PN37" i="4"/>
  <c r="PN38" i="4"/>
  <c r="PN39" i="4"/>
  <c r="PN36" i="4"/>
  <c r="PN40" i="4"/>
  <c r="PN34" i="4"/>
  <c r="PN33" i="4"/>
  <c r="PN32" i="4"/>
  <c r="PN31" i="4"/>
  <c r="PN30" i="4"/>
  <c r="PN29" i="4"/>
  <c r="PN28" i="4"/>
  <c r="PN27" i="4"/>
  <c r="PN26" i="4"/>
  <c r="PN25" i="4"/>
  <c r="PN24" i="4"/>
  <c r="PN23" i="4"/>
  <c r="PN19" i="4"/>
  <c r="PN21" i="4"/>
  <c r="PN22" i="4"/>
  <c r="PN18" i="4"/>
  <c r="PN17" i="4"/>
  <c r="PN16" i="4"/>
  <c r="PN11" i="4"/>
  <c r="PN15" i="4"/>
  <c r="PN14" i="4"/>
  <c r="PN13" i="4"/>
  <c r="PN12" i="4"/>
  <c r="PN20" i="4"/>
  <c r="PN6" i="4"/>
  <c r="PN3" i="4"/>
  <c r="PN9" i="4"/>
  <c r="PN4" i="4"/>
  <c r="PN7" i="4"/>
  <c r="PN44" i="4" s="1"/>
  <c r="PN10" i="4"/>
  <c r="PN5" i="4"/>
  <c r="PO1" i="4"/>
  <c r="PN2" i="4"/>
  <c r="PN8" i="4"/>
  <c r="PA57" i="4"/>
  <c r="PB57" i="4"/>
  <c r="PE55" i="4"/>
  <c r="PA56" i="4"/>
  <c r="PB56" i="4"/>
  <c r="PN46" i="4" l="1"/>
  <c r="PM49" i="4" s="1"/>
  <c r="PJ52" i="4" s="1"/>
  <c r="PN45" i="4"/>
  <c r="PM48" i="4" s="1"/>
  <c r="PJ51" i="4" s="1"/>
  <c r="PG54" i="4" s="1"/>
  <c r="PO35" i="4"/>
  <c r="PO37" i="4"/>
  <c r="PO36" i="4"/>
  <c r="PO39" i="4"/>
  <c r="PO40" i="4"/>
  <c r="PO38" i="4"/>
  <c r="PM47" i="4"/>
  <c r="PJ50" i="4" s="1"/>
  <c r="PG53" i="4" s="1"/>
  <c r="PF54" i="4"/>
  <c r="PO33" i="4"/>
  <c r="PO32" i="4"/>
  <c r="PO31" i="4"/>
  <c r="PO34" i="4"/>
  <c r="PO30" i="4"/>
  <c r="PO29" i="4"/>
  <c r="PO28" i="4"/>
  <c r="PO27" i="4"/>
  <c r="PO26" i="4"/>
  <c r="PO25" i="4"/>
  <c r="PO24" i="4"/>
  <c r="PO23" i="4"/>
  <c r="PO22" i="4"/>
  <c r="PO21" i="4"/>
  <c r="PO20" i="4"/>
  <c r="PO18" i="4"/>
  <c r="PO17" i="4"/>
  <c r="PO16" i="4"/>
  <c r="PO15" i="4"/>
  <c r="PO14" i="4"/>
  <c r="PO13" i="4"/>
  <c r="PO12" i="4"/>
  <c r="PO6" i="4"/>
  <c r="PO3" i="4"/>
  <c r="PO9" i="4"/>
  <c r="PO11" i="4"/>
  <c r="PO4" i="4"/>
  <c r="PO7" i="4"/>
  <c r="PO10" i="4"/>
  <c r="PO19" i="4"/>
  <c r="PO5" i="4"/>
  <c r="PO8" i="4"/>
  <c r="PO2" i="4"/>
  <c r="PP1" i="4"/>
  <c r="PF55" i="4"/>
  <c r="PB58" i="4"/>
  <c r="PF53" i="4"/>
  <c r="PO44" i="4" l="1"/>
  <c r="PN47" i="4" s="1"/>
  <c r="PK50" i="4" s="1"/>
  <c r="PH53" i="4" s="1"/>
  <c r="PE56" i="4" s="1"/>
  <c r="PO46" i="4"/>
  <c r="PN49" i="4" s="1"/>
  <c r="PK52" i="4" s="1"/>
  <c r="PH55" i="4" s="1"/>
  <c r="PO45" i="4"/>
  <c r="PN48" i="4" s="1"/>
  <c r="PK51" i="4" s="1"/>
  <c r="PP36" i="4"/>
  <c r="PP35" i="4"/>
  <c r="PP38" i="4"/>
  <c r="PP37" i="4"/>
  <c r="PP39" i="4"/>
  <c r="PP40" i="4"/>
  <c r="PD57" i="4"/>
  <c r="PC57" i="4"/>
  <c r="PP33" i="4"/>
  <c r="PP32" i="4"/>
  <c r="PP31" i="4"/>
  <c r="PP34" i="4"/>
  <c r="PP30" i="4"/>
  <c r="PP29" i="4"/>
  <c r="PP28" i="4"/>
  <c r="PP27" i="4"/>
  <c r="PP26" i="4"/>
  <c r="PP25" i="4"/>
  <c r="PP24" i="4"/>
  <c r="PP23" i="4"/>
  <c r="PP22" i="4"/>
  <c r="PP21" i="4"/>
  <c r="PP20" i="4"/>
  <c r="PP18" i="4"/>
  <c r="PP17" i="4"/>
  <c r="PP16" i="4"/>
  <c r="PP19" i="4"/>
  <c r="PP15" i="4"/>
  <c r="PP14" i="4"/>
  <c r="PP13" i="4"/>
  <c r="PP12" i="4"/>
  <c r="PP9" i="4"/>
  <c r="PP11" i="4"/>
  <c r="PP4" i="4"/>
  <c r="PP7" i="4"/>
  <c r="PP10" i="4"/>
  <c r="PP5" i="4"/>
  <c r="PP8" i="4"/>
  <c r="PP3" i="4"/>
  <c r="PP2" i="4"/>
  <c r="PP6" i="4"/>
  <c r="PQ1" i="4"/>
  <c r="PG55" i="4"/>
  <c r="PD58" i="4" s="1"/>
  <c r="PC58" i="4"/>
  <c r="PC56" i="4"/>
  <c r="PD56" i="4"/>
  <c r="PP44" i="4" l="1"/>
  <c r="PO47" i="4" s="1"/>
  <c r="PL50" i="4" s="1"/>
  <c r="PP46" i="4"/>
  <c r="PO49" i="4" s="1"/>
  <c r="PL52" i="4" s="1"/>
  <c r="PP45" i="4"/>
  <c r="PO48" i="4" s="1"/>
  <c r="PL51" i="4" s="1"/>
  <c r="PQ36" i="4"/>
  <c r="PQ35" i="4"/>
  <c r="PQ37" i="4"/>
  <c r="PQ39" i="4"/>
  <c r="PQ40" i="4"/>
  <c r="PQ38" i="4"/>
  <c r="PE58" i="4"/>
  <c r="PH54" i="4"/>
  <c r="PQ34" i="4"/>
  <c r="PQ33" i="4"/>
  <c r="PQ32" i="4"/>
  <c r="PQ31" i="4"/>
  <c r="PQ30" i="4"/>
  <c r="PQ29" i="4"/>
  <c r="PQ28" i="4"/>
  <c r="PQ27" i="4"/>
  <c r="PQ26" i="4"/>
  <c r="PQ25" i="4"/>
  <c r="PQ24" i="4"/>
  <c r="PQ23" i="4"/>
  <c r="PQ22" i="4"/>
  <c r="PQ21" i="4"/>
  <c r="PQ20" i="4"/>
  <c r="PQ19" i="4"/>
  <c r="PQ18" i="4"/>
  <c r="PQ17" i="4"/>
  <c r="PQ16" i="4"/>
  <c r="PQ15" i="4"/>
  <c r="PQ14" i="4"/>
  <c r="PQ13" i="4"/>
  <c r="PQ12" i="4"/>
  <c r="PQ11" i="4"/>
  <c r="PQ4" i="4"/>
  <c r="PQ7" i="4"/>
  <c r="PQ10" i="4"/>
  <c r="PQ5" i="4"/>
  <c r="PQ8" i="4"/>
  <c r="PQ9" i="4"/>
  <c r="PQ2" i="4"/>
  <c r="PQ3" i="4"/>
  <c r="PQ6" i="4"/>
  <c r="PR1" i="4"/>
  <c r="PQ44" i="4" l="1"/>
  <c r="PP47" i="4" s="1"/>
  <c r="PM50" i="4" s="1"/>
  <c r="PJ53" i="4" s="1"/>
  <c r="PQ46" i="4"/>
  <c r="PP49" i="4" s="1"/>
  <c r="PM52" i="4" s="1"/>
  <c r="PQ45" i="4"/>
  <c r="PP48" i="4" s="1"/>
  <c r="PM51" i="4" s="1"/>
  <c r="PJ54" i="4" s="1"/>
  <c r="PR36" i="4"/>
  <c r="PR35" i="4"/>
  <c r="PR38" i="4"/>
  <c r="PR37" i="4"/>
  <c r="PR40" i="4"/>
  <c r="PR39" i="4"/>
  <c r="PR34" i="4"/>
  <c r="PR33" i="4"/>
  <c r="PR32" i="4"/>
  <c r="PR31" i="4"/>
  <c r="PR30" i="4"/>
  <c r="PR29" i="4"/>
  <c r="PR28" i="4"/>
  <c r="PR26" i="4"/>
  <c r="PR25" i="4"/>
  <c r="PR24" i="4"/>
  <c r="PR23" i="4"/>
  <c r="PR27" i="4"/>
  <c r="PR22" i="4"/>
  <c r="PR21" i="4"/>
  <c r="PR20" i="4"/>
  <c r="PR19" i="4"/>
  <c r="PR18" i="4"/>
  <c r="PR17" i="4"/>
  <c r="PR16" i="4"/>
  <c r="PR15" i="4"/>
  <c r="PR11" i="4"/>
  <c r="PR7" i="4"/>
  <c r="PR14" i="4"/>
  <c r="PR10" i="4"/>
  <c r="PR13" i="4"/>
  <c r="PR5" i="4"/>
  <c r="PR12" i="4"/>
  <c r="PR8" i="4"/>
  <c r="PR6" i="4"/>
  <c r="PR3" i="4"/>
  <c r="PR9" i="4"/>
  <c r="PR4" i="4"/>
  <c r="PS1" i="4"/>
  <c r="PR2" i="4"/>
  <c r="PI54" i="4"/>
  <c r="PE57" i="4"/>
  <c r="PI55" i="4"/>
  <c r="PI53" i="4"/>
  <c r="PR46" i="4" l="1"/>
  <c r="PQ49" i="4" s="1"/>
  <c r="PN52" i="4" s="1"/>
  <c r="PK55" i="4" s="1"/>
  <c r="PR45" i="4"/>
  <c r="PQ48" i="4" s="1"/>
  <c r="PN51" i="4" s="1"/>
  <c r="PK54" i="4" s="1"/>
  <c r="PH57" i="4" s="1"/>
  <c r="PR44" i="4"/>
  <c r="PQ47" i="4" s="1"/>
  <c r="PN50" i="4" s="1"/>
  <c r="PS36" i="4"/>
  <c r="PS38" i="4"/>
  <c r="PS35" i="4"/>
  <c r="PS39" i="4"/>
  <c r="PS37" i="4"/>
  <c r="PS40" i="4"/>
  <c r="PS34" i="4"/>
  <c r="PS33" i="4"/>
  <c r="PS32" i="4"/>
  <c r="PS31" i="4"/>
  <c r="PS30" i="4"/>
  <c r="PS29" i="4"/>
  <c r="PS28" i="4"/>
  <c r="PS27" i="4"/>
  <c r="PS26" i="4"/>
  <c r="PS25" i="4"/>
  <c r="PS24" i="4"/>
  <c r="PS22" i="4"/>
  <c r="PS21" i="4"/>
  <c r="PS18" i="4"/>
  <c r="PS17" i="4"/>
  <c r="PS16" i="4"/>
  <c r="PS23" i="4"/>
  <c r="PS19" i="4"/>
  <c r="PS20" i="4"/>
  <c r="PS11" i="4"/>
  <c r="PS15" i="4"/>
  <c r="PS14" i="4"/>
  <c r="PS13" i="4"/>
  <c r="PS12" i="4"/>
  <c r="PS10" i="4"/>
  <c r="PS5" i="4"/>
  <c r="PS8" i="4"/>
  <c r="PS6" i="4"/>
  <c r="PS3" i="4"/>
  <c r="PS9" i="4"/>
  <c r="PT1" i="4"/>
  <c r="PS4" i="4"/>
  <c r="PS7" i="4"/>
  <c r="PS2" i="4"/>
  <c r="PJ55" i="4"/>
  <c r="PG58" i="4" s="1"/>
  <c r="PF57" i="4"/>
  <c r="PF58" i="4"/>
  <c r="PG56" i="4"/>
  <c r="PF56" i="4"/>
  <c r="PG57" i="4"/>
  <c r="PS45" i="4" l="1"/>
  <c r="PR48" i="4" s="1"/>
  <c r="PO51" i="4" s="1"/>
  <c r="PS44" i="4"/>
  <c r="PR47" i="4" s="1"/>
  <c r="PO50" i="4" s="1"/>
  <c r="PL53" i="4" s="1"/>
  <c r="PS46" i="4"/>
  <c r="PR49" i="4" s="1"/>
  <c r="PO52" i="4" s="1"/>
  <c r="PT36" i="4"/>
  <c r="PT38" i="4"/>
  <c r="PT39" i="4"/>
  <c r="PT35" i="4"/>
  <c r="PT37" i="4"/>
  <c r="PT40" i="4"/>
  <c r="PT34" i="4"/>
  <c r="PT33" i="4"/>
  <c r="PT32" i="4"/>
  <c r="PT31" i="4"/>
  <c r="PT30" i="4"/>
  <c r="PT29" i="4"/>
  <c r="PT28" i="4"/>
  <c r="PT27" i="4"/>
  <c r="PT22" i="4"/>
  <c r="PT21" i="4"/>
  <c r="PT20" i="4"/>
  <c r="PT19" i="4"/>
  <c r="PT26" i="4"/>
  <c r="PT25" i="4"/>
  <c r="PT24" i="4"/>
  <c r="PT23" i="4"/>
  <c r="PT18" i="4"/>
  <c r="PT17" i="4"/>
  <c r="PT16" i="4"/>
  <c r="PT11" i="4"/>
  <c r="PT15" i="4"/>
  <c r="PT14" i="4"/>
  <c r="PT13" i="4"/>
  <c r="PT12" i="4"/>
  <c r="PT5" i="4"/>
  <c r="PT8" i="4"/>
  <c r="PT6" i="4"/>
  <c r="PT3" i="4"/>
  <c r="PT9" i="4"/>
  <c r="PT4" i="4"/>
  <c r="PT7" i="4"/>
  <c r="PU1" i="4"/>
  <c r="PT10" i="4"/>
  <c r="PT2" i="4"/>
  <c r="PK53" i="4"/>
  <c r="PH58" i="4"/>
  <c r="PT44" i="4" l="1"/>
  <c r="PS47" i="4" s="1"/>
  <c r="PP50" i="4" s="1"/>
  <c r="PT46" i="4"/>
  <c r="PS49" i="4" s="1"/>
  <c r="PP52" i="4" s="1"/>
  <c r="PT45" i="4"/>
  <c r="PS48" i="4" s="1"/>
  <c r="PP51" i="4" s="1"/>
  <c r="PU35" i="4"/>
  <c r="PU36" i="4"/>
  <c r="PU37" i="4"/>
  <c r="PU39" i="4"/>
  <c r="PU38" i="4"/>
  <c r="PU40" i="4"/>
  <c r="PL55" i="4"/>
  <c r="PL54" i="4"/>
  <c r="PI56" i="4"/>
  <c r="PH56" i="4"/>
  <c r="PU34" i="4"/>
  <c r="PU33" i="4"/>
  <c r="PU32" i="4"/>
  <c r="PU31" i="4"/>
  <c r="PU27" i="4"/>
  <c r="PU30" i="4"/>
  <c r="PU29" i="4"/>
  <c r="PU28" i="4"/>
  <c r="PU26" i="4"/>
  <c r="PU25" i="4"/>
  <c r="PU24" i="4"/>
  <c r="PU22" i="4"/>
  <c r="PU21" i="4"/>
  <c r="PU20" i="4"/>
  <c r="PU23" i="4"/>
  <c r="PU19" i="4"/>
  <c r="PU11" i="4"/>
  <c r="PU18" i="4"/>
  <c r="PU17" i="4"/>
  <c r="PU16" i="4"/>
  <c r="PU15" i="4"/>
  <c r="PU14" i="4"/>
  <c r="PU13" i="4"/>
  <c r="PU12" i="4"/>
  <c r="PU8" i="4"/>
  <c r="PU6" i="4"/>
  <c r="PU3" i="4"/>
  <c r="PU9" i="4"/>
  <c r="PU4" i="4"/>
  <c r="PU7" i="4"/>
  <c r="PU10" i="4"/>
  <c r="PV1" i="4"/>
  <c r="PU5" i="4"/>
  <c r="PU2" i="4"/>
  <c r="PU46" i="4" l="1"/>
  <c r="PT49" i="4" s="1"/>
  <c r="PQ52" i="4" s="1"/>
  <c r="PN55" i="4" s="1"/>
  <c r="PU44" i="4"/>
  <c r="PT47" i="4" s="1"/>
  <c r="PQ50" i="4" s="1"/>
  <c r="PU45" i="4"/>
  <c r="PT48" i="4" s="1"/>
  <c r="PQ51" i="4" s="1"/>
  <c r="PV35" i="4"/>
  <c r="PV36" i="4"/>
  <c r="PV37" i="4"/>
  <c r="PV39" i="4"/>
  <c r="PV38" i="4"/>
  <c r="PV40" i="4"/>
  <c r="PI58" i="4"/>
  <c r="PM53" i="4"/>
  <c r="PI57" i="4"/>
  <c r="PV34" i="4"/>
  <c r="PV33" i="4"/>
  <c r="PV32" i="4"/>
  <c r="PV31" i="4"/>
  <c r="PV30" i="4"/>
  <c r="PV29" i="4"/>
  <c r="PV28" i="4"/>
  <c r="PV27" i="4"/>
  <c r="PV26" i="4"/>
  <c r="PV25" i="4"/>
  <c r="PV24" i="4"/>
  <c r="PV23" i="4"/>
  <c r="PV22" i="4"/>
  <c r="PV19" i="4"/>
  <c r="PV20" i="4"/>
  <c r="PV18" i="4"/>
  <c r="PV17" i="4"/>
  <c r="PV16" i="4"/>
  <c r="PV11" i="4"/>
  <c r="PV21" i="4"/>
  <c r="PV15" i="4"/>
  <c r="PV14" i="4"/>
  <c r="PV13" i="4"/>
  <c r="PV12" i="4"/>
  <c r="PV6" i="4"/>
  <c r="PV3" i="4"/>
  <c r="PV9" i="4"/>
  <c r="PV4" i="4"/>
  <c r="PV7" i="4"/>
  <c r="PV10" i="4"/>
  <c r="PW1" i="4"/>
  <c r="PV2" i="4"/>
  <c r="PV8" i="4"/>
  <c r="PV5" i="4"/>
  <c r="PM54" i="4"/>
  <c r="PJ57" i="4" s="1"/>
  <c r="PM55" i="4"/>
  <c r="PV44" i="4" l="1"/>
  <c r="PU47" i="4" s="1"/>
  <c r="PR50" i="4" s="1"/>
  <c r="PV46" i="4"/>
  <c r="PU49" i="4" s="1"/>
  <c r="PR52" i="4" s="1"/>
  <c r="PV45" i="4"/>
  <c r="PU48" i="4" s="1"/>
  <c r="PR51" i="4" s="1"/>
  <c r="PW35" i="4"/>
  <c r="PW36" i="4"/>
  <c r="PW37" i="4"/>
  <c r="PW38" i="4"/>
  <c r="PW40" i="4"/>
  <c r="PW39" i="4"/>
  <c r="PJ56" i="4"/>
  <c r="PK58" i="4"/>
  <c r="PW34" i="4"/>
  <c r="PW33" i="4"/>
  <c r="PW32" i="4"/>
  <c r="PW31" i="4"/>
  <c r="PW30" i="4"/>
  <c r="PW29" i="4"/>
  <c r="PW28" i="4"/>
  <c r="PW27" i="4"/>
  <c r="PW26" i="4"/>
  <c r="PW25" i="4"/>
  <c r="PW24" i="4"/>
  <c r="PW23" i="4"/>
  <c r="PW22" i="4"/>
  <c r="PW21" i="4"/>
  <c r="PW20" i="4"/>
  <c r="PW19" i="4"/>
  <c r="PW18" i="4"/>
  <c r="PW17" i="4"/>
  <c r="PW16" i="4"/>
  <c r="PW15" i="4"/>
  <c r="PW14" i="4"/>
  <c r="PW13" i="4"/>
  <c r="PW12" i="4"/>
  <c r="PW6" i="4"/>
  <c r="PW3" i="4"/>
  <c r="PW9" i="4"/>
  <c r="PW4" i="4"/>
  <c r="PW7" i="4"/>
  <c r="PW10" i="4"/>
  <c r="PW5" i="4"/>
  <c r="PW8" i="4"/>
  <c r="PW2" i="4"/>
  <c r="PW11" i="4"/>
  <c r="PX1" i="4"/>
  <c r="PN53" i="4"/>
  <c r="PJ58" i="4"/>
  <c r="PN54" i="4"/>
  <c r="PK57" i="4" s="1"/>
  <c r="PW46" i="4" l="1"/>
  <c r="PV49" i="4" s="1"/>
  <c r="PS52" i="4" s="1"/>
  <c r="PW44" i="4"/>
  <c r="PW45" i="4"/>
  <c r="PV48" i="4" s="1"/>
  <c r="PS51" i="4" s="1"/>
  <c r="PX36" i="4"/>
  <c r="PX35" i="4"/>
  <c r="PX38" i="4"/>
  <c r="PX37" i="4"/>
  <c r="PX40" i="4"/>
  <c r="PX39" i="4"/>
  <c r="PV47" i="4"/>
  <c r="PS50" i="4" s="1"/>
  <c r="PK56" i="4"/>
  <c r="PO53" i="4"/>
  <c r="PL56" i="4" s="1"/>
  <c r="PX33" i="4"/>
  <c r="PX32" i="4"/>
  <c r="PX31" i="4"/>
  <c r="PX34" i="4"/>
  <c r="PX30" i="4"/>
  <c r="PX29" i="4"/>
  <c r="PX28" i="4"/>
  <c r="PX27" i="4"/>
  <c r="PX26" i="4"/>
  <c r="PX25" i="4"/>
  <c r="PX24" i="4"/>
  <c r="PX23" i="4"/>
  <c r="PX22" i="4"/>
  <c r="PX21" i="4"/>
  <c r="PX20" i="4"/>
  <c r="PX19" i="4"/>
  <c r="PX18" i="4"/>
  <c r="PX17" i="4"/>
  <c r="PX16" i="4"/>
  <c r="PX15" i="4"/>
  <c r="PX14" i="4"/>
  <c r="PX13" i="4"/>
  <c r="PX12" i="4"/>
  <c r="PX9" i="4"/>
  <c r="PX4" i="4"/>
  <c r="PX7" i="4"/>
  <c r="PX10" i="4"/>
  <c r="PX5" i="4"/>
  <c r="PX8" i="4"/>
  <c r="PX11" i="4"/>
  <c r="PX2" i="4"/>
  <c r="PX6" i="4"/>
  <c r="PY1" i="4"/>
  <c r="PX3" i="4"/>
  <c r="PO54" i="4"/>
  <c r="PO55" i="4"/>
  <c r="PX44" i="4" l="1"/>
  <c r="PW47" i="4" s="1"/>
  <c r="PT50" i="4" s="1"/>
  <c r="PQ53" i="4" s="1"/>
  <c r="PX46" i="4"/>
  <c r="PW49" i="4" s="1"/>
  <c r="PT52" i="4" s="1"/>
  <c r="PX45" i="4"/>
  <c r="PW48" i="4" s="1"/>
  <c r="PT51" i="4" s="1"/>
  <c r="PQ54" i="4" s="1"/>
  <c r="PY36" i="4"/>
  <c r="PY35" i="4"/>
  <c r="PY37" i="4"/>
  <c r="PY38" i="4"/>
  <c r="PY39" i="4"/>
  <c r="PY40" i="4"/>
  <c r="PL57" i="4"/>
  <c r="PL58" i="4"/>
  <c r="PP55" i="4"/>
  <c r="PM58" i="4" s="1"/>
  <c r="PP53" i="4"/>
  <c r="PY34" i="4"/>
  <c r="PY33" i="4"/>
  <c r="PY32" i="4"/>
  <c r="PY31" i="4"/>
  <c r="PY30" i="4"/>
  <c r="PY29" i="4"/>
  <c r="PY28" i="4"/>
  <c r="PY27" i="4"/>
  <c r="PY26" i="4"/>
  <c r="PY25" i="4"/>
  <c r="PY24" i="4"/>
  <c r="PY23" i="4"/>
  <c r="PY22" i="4"/>
  <c r="PY21" i="4"/>
  <c r="PY20" i="4"/>
  <c r="PY19" i="4"/>
  <c r="PY18" i="4"/>
  <c r="PY17" i="4"/>
  <c r="PY16" i="4"/>
  <c r="PY15" i="4"/>
  <c r="PY14" i="4"/>
  <c r="PY13" i="4"/>
  <c r="PY12" i="4"/>
  <c r="PY11" i="4"/>
  <c r="PY4" i="4"/>
  <c r="PY7" i="4"/>
  <c r="PY10" i="4"/>
  <c r="PY5" i="4"/>
  <c r="PY8" i="4"/>
  <c r="PY2" i="4"/>
  <c r="PY6" i="4"/>
  <c r="PZ1" i="4"/>
  <c r="PY3" i="4"/>
  <c r="PY9" i="4"/>
  <c r="PP54" i="4"/>
  <c r="PY44" i="4" l="1"/>
  <c r="PX47" i="4" s="1"/>
  <c r="PU50" i="4" s="1"/>
  <c r="PY46" i="4"/>
  <c r="PX49" i="4" s="1"/>
  <c r="PU52" i="4" s="1"/>
  <c r="PY45" i="4"/>
  <c r="PX48" i="4" s="1"/>
  <c r="PU51" i="4" s="1"/>
  <c r="PZ36" i="4"/>
  <c r="PZ35" i="4"/>
  <c r="PZ38" i="4"/>
  <c r="PZ37" i="4"/>
  <c r="PZ39" i="4"/>
  <c r="PZ40" i="4"/>
  <c r="PM57" i="4"/>
  <c r="PN57" i="4"/>
  <c r="PQ55" i="4"/>
  <c r="PZ34" i="4"/>
  <c r="PZ33" i="4"/>
  <c r="PZ32" i="4"/>
  <c r="PZ31" i="4"/>
  <c r="PZ30" i="4"/>
  <c r="PZ29" i="4"/>
  <c r="PZ28" i="4"/>
  <c r="PZ27" i="4"/>
  <c r="PZ26" i="4"/>
  <c r="PZ25" i="4"/>
  <c r="PZ24" i="4"/>
  <c r="PZ23" i="4"/>
  <c r="PZ22" i="4"/>
  <c r="PZ21" i="4"/>
  <c r="PZ20" i="4"/>
  <c r="PZ19" i="4"/>
  <c r="PZ18" i="4"/>
  <c r="PZ17" i="4"/>
  <c r="PZ16" i="4"/>
  <c r="PZ14" i="4"/>
  <c r="PZ7" i="4"/>
  <c r="PZ13" i="4"/>
  <c r="PZ10" i="4"/>
  <c r="PZ12" i="4"/>
  <c r="PZ5" i="4"/>
  <c r="PZ8" i="4"/>
  <c r="PZ11" i="4"/>
  <c r="PZ6" i="4"/>
  <c r="PZ3" i="4"/>
  <c r="PZ9" i="4"/>
  <c r="PZ2" i="4"/>
  <c r="PZ4" i="4"/>
  <c r="QA1" i="4"/>
  <c r="PZ15" i="4"/>
  <c r="PM56" i="4"/>
  <c r="PN56" i="4"/>
  <c r="PZ46" i="4" l="1"/>
  <c r="PY49" i="4" s="1"/>
  <c r="PV52" i="4" s="1"/>
  <c r="PZ45" i="4"/>
  <c r="PY48" i="4" s="1"/>
  <c r="PV51" i="4" s="1"/>
  <c r="PS54" i="4" s="1"/>
  <c r="PZ44" i="4"/>
  <c r="PY47" i="4" s="1"/>
  <c r="PV50" i="4" s="1"/>
  <c r="QA36" i="4"/>
  <c r="QA38" i="4"/>
  <c r="QA39" i="4"/>
  <c r="QA35" i="4"/>
  <c r="QA37" i="4"/>
  <c r="QA40" i="4"/>
  <c r="PN58" i="4"/>
  <c r="PR53" i="4"/>
  <c r="PR55" i="4"/>
  <c r="PO58" i="4" s="1"/>
  <c r="QA34" i="4"/>
  <c r="QA33" i="4"/>
  <c r="QA46" i="4" s="1"/>
  <c r="QA32" i="4"/>
  <c r="QA31" i="4"/>
  <c r="QA30" i="4"/>
  <c r="QA29" i="4"/>
  <c r="QA28" i="4"/>
  <c r="QA27" i="4"/>
  <c r="QA26" i="4"/>
  <c r="QA25" i="4"/>
  <c r="QA24" i="4"/>
  <c r="QA22" i="4"/>
  <c r="QA23" i="4"/>
  <c r="QA19" i="4"/>
  <c r="QA18" i="4"/>
  <c r="QA17" i="4"/>
  <c r="QA16" i="4"/>
  <c r="QA20" i="4"/>
  <c r="QA21" i="4"/>
  <c r="QA11" i="4"/>
  <c r="QA15" i="4"/>
  <c r="QA14" i="4"/>
  <c r="QA13" i="4"/>
  <c r="QA12" i="4"/>
  <c r="QA10" i="4"/>
  <c r="QA5" i="4"/>
  <c r="QA8" i="4"/>
  <c r="QA6" i="4"/>
  <c r="QA3" i="4"/>
  <c r="QA9" i="4"/>
  <c r="QA4" i="4"/>
  <c r="QB1" i="4"/>
  <c r="QA7" i="4"/>
  <c r="QA2" i="4"/>
  <c r="PR54" i="4"/>
  <c r="QA45" i="4" l="1"/>
  <c r="PZ48" i="4" s="1"/>
  <c r="PW51" i="4" s="1"/>
  <c r="QA44" i="4"/>
  <c r="PZ47" i="4" s="1"/>
  <c r="PW50" i="4" s="1"/>
  <c r="PT53" i="4" s="1"/>
  <c r="QB36" i="4"/>
  <c r="QB38" i="4"/>
  <c r="QB39" i="4"/>
  <c r="QB37" i="4"/>
  <c r="QB35" i="4"/>
  <c r="QB40" i="4"/>
  <c r="PZ49" i="4"/>
  <c r="PW52" i="4" s="1"/>
  <c r="PT55" i="4" s="1"/>
  <c r="PP57" i="4"/>
  <c r="PS53" i="4"/>
  <c r="PP56" i="4" s="1"/>
  <c r="PO56" i="4"/>
  <c r="PO57" i="4"/>
  <c r="QB34" i="4"/>
  <c r="QB33" i="4"/>
  <c r="QB32" i="4"/>
  <c r="QB31" i="4"/>
  <c r="QB30" i="4"/>
  <c r="QB29" i="4"/>
  <c r="QB28" i="4"/>
  <c r="QB22" i="4"/>
  <c r="QB21" i="4"/>
  <c r="QB20" i="4"/>
  <c r="QB19" i="4"/>
  <c r="QB23" i="4"/>
  <c r="QB27" i="4"/>
  <c r="QB26" i="4"/>
  <c r="QB25" i="4"/>
  <c r="QB24" i="4"/>
  <c r="QB18" i="4"/>
  <c r="QB17" i="4"/>
  <c r="QB16" i="4"/>
  <c r="QB11" i="4"/>
  <c r="QB15" i="4"/>
  <c r="QB14" i="4"/>
  <c r="QB13" i="4"/>
  <c r="QB12" i="4"/>
  <c r="QB5" i="4"/>
  <c r="QB8" i="4"/>
  <c r="QB6" i="4"/>
  <c r="QB3" i="4"/>
  <c r="QB9" i="4"/>
  <c r="QB4" i="4"/>
  <c r="QB7" i="4"/>
  <c r="QB10" i="4"/>
  <c r="QC1" i="4"/>
  <c r="QB2" i="4"/>
  <c r="PS55" i="4"/>
  <c r="QB46" i="4" l="1"/>
  <c r="QA49" i="4" s="1"/>
  <c r="PX52" i="4" s="1"/>
  <c r="QB45" i="4"/>
  <c r="QA48" i="4" s="1"/>
  <c r="PX51" i="4" s="1"/>
  <c r="PU54" i="4" s="1"/>
  <c r="QB44" i="4"/>
  <c r="QA47" i="4" s="1"/>
  <c r="PX50" i="4" s="1"/>
  <c r="QC35" i="4"/>
  <c r="QC36" i="4"/>
  <c r="QC37" i="4"/>
  <c r="QC38" i="4"/>
  <c r="QC39" i="4"/>
  <c r="QC40" i="4"/>
  <c r="PQ58" i="4"/>
  <c r="PQ56" i="4"/>
  <c r="PP58" i="4"/>
  <c r="PT54" i="4"/>
  <c r="QC34" i="4"/>
  <c r="QC33" i="4"/>
  <c r="QC32" i="4"/>
  <c r="QC31" i="4"/>
  <c r="QC30" i="4"/>
  <c r="QC29" i="4"/>
  <c r="QC28" i="4"/>
  <c r="QC27" i="4"/>
  <c r="QC26" i="4"/>
  <c r="QC25" i="4"/>
  <c r="QC24" i="4"/>
  <c r="QC22" i="4"/>
  <c r="QC21" i="4"/>
  <c r="QC20" i="4"/>
  <c r="QC23" i="4"/>
  <c r="QC11" i="4"/>
  <c r="QC18" i="4"/>
  <c r="QC17" i="4"/>
  <c r="QC16" i="4"/>
  <c r="QC15" i="4"/>
  <c r="QC14" i="4"/>
  <c r="QC13" i="4"/>
  <c r="QC12" i="4"/>
  <c r="QC19" i="4"/>
  <c r="QC8" i="4"/>
  <c r="QC6" i="4"/>
  <c r="QC3" i="4"/>
  <c r="QC9" i="4"/>
  <c r="QC4" i="4"/>
  <c r="QC7" i="4"/>
  <c r="QC10" i="4"/>
  <c r="QD1" i="4"/>
  <c r="QC2" i="4"/>
  <c r="QC5" i="4"/>
  <c r="QC46" i="4" l="1"/>
  <c r="QB49" i="4" s="1"/>
  <c r="PY52" i="4" s="1"/>
  <c r="PV55" i="4" s="1"/>
  <c r="QC45" i="4"/>
  <c r="QB48" i="4" s="1"/>
  <c r="PY51" i="4" s="1"/>
  <c r="QC44" i="4"/>
  <c r="QB47" i="4" s="1"/>
  <c r="PY50" i="4" s="1"/>
  <c r="PV53" i="4" s="1"/>
  <c r="QD35" i="4"/>
  <c r="QD37" i="4"/>
  <c r="QD36" i="4"/>
  <c r="QD38" i="4"/>
  <c r="QD39" i="4"/>
  <c r="QD40" i="4"/>
  <c r="PQ57" i="4"/>
  <c r="PR57" i="4"/>
  <c r="PU55" i="4"/>
  <c r="PU53" i="4"/>
  <c r="QD34" i="4"/>
  <c r="QD33" i="4"/>
  <c r="QD32" i="4"/>
  <c r="QD31" i="4"/>
  <c r="QD30" i="4"/>
  <c r="QD29" i="4"/>
  <c r="QD28" i="4"/>
  <c r="QD27" i="4"/>
  <c r="QD26" i="4"/>
  <c r="QD25" i="4"/>
  <c r="QD24" i="4"/>
  <c r="QD23" i="4"/>
  <c r="QD22" i="4"/>
  <c r="QD20" i="4"/>
  <c r="QD21" i="4"/>
  <c r="QD19" i="4"/>
  <c r="QD18" i="4"/>
  <c r="QD17" i="4"/>
  <c r="QD16" i="4"/>
  <c r="QD11" i="4"/>
  <c r="QD15" i="4"/>
  <c r="QD14" i="4"/>
  <c r="QD13" i="4"/>
  <c r="QD12" i="4"/>
  <c r="QD6" i="4"/>
  <c r="QD3" i="4"/>
  <c r="QD9" i="4"/>
  <c r="QD4" i="4"/>
  <c r="QD7" i="4"/>
  <c r="QD10" i="4"/>
  <c r="QD2" i="4"/>
  <c r="QD8" i="4"/>
  <c r="QD5" i="4"/>
  <c r="QE1" i="4"/>
  <c r="QD45" i="4" l="1"/>
  <c r="QC48" i="4" s="1"/>
  <c r="PZ51" i="4" s="1"/>
  <c r="QD46" i="4"/>
  <c r="QC49" i="4" s="1"/>
  <c r="PZ52" i="4" s="1"/>
  <c r="QD44" i="4"/>
  <c r="QC47" i="4" s="1"/>
  <c r="PZ50" i="4" s="1"/>
  <c r="QE35" i="4"/>
  <c r="QE37" i="4"/>
  <c r="QE36" i="4"/>
  <c r="QE38" i="4"/>
  <c r="QE40" i="4"/>
  <c r="QE39" i="4"/>
  <c r="PR56" i="4"/>
  <c r="PS56" i="4"/>
  <c r="PV54" i="4"/>
  <c r="PS58" i="4"/>
  <c r="PR58" i="4"/>
  <c r="QE34" i="4"/>
  <c r="QE33" i="4"/>
  <c r="QE32" i="4"/>
  <c r="QE31" i="4"/>
  <c r="QE30" i="4"/>
  <c r="QE29" i="4"/>
  <c r="QE28" i="4"/>
  <c r="QE27" i="4"/>
  <c r="QE26" i="4"/>
  <c r="QE25" i="4"/>
  <c r="QE24" i="4"/>
  <c r="QE23" i="4"/>
  <c r="QE22" i="4"/>
  <c r="QE21" i="4"/>
  <c r="QE20" i="4"/>
  <c r="QE19" i="4"/>
  <c r="QE18" i="4"/>
  <c r="QE17" i="4"/>
  <c r="QE16" i="4"/>
  <c r="QE15" i="4"/>
  <c r="QE14" i="4"/>
  <c r="QE13" i="4"/>
  <c r="QE12" i="4"/>
  <c r="QE6" i="4"/>
  <c r="QE3" i="4"/>
  <c r="QE9" i="4"/>
  <c r="QE4" i="4"/>
  <c r="QE7" i="4"/>
  <c r="QE11" i="4"/>
  <c r="QE10" i="4"/>
  <c r="QE5" i="4"/>
  <c r="QE8" i="4"/>
  <c r="QF1" i="4"/>
  <c r="QE2" i="4"/>
  <c r="QE45" i="4" l="1"/>
  <c r="QD48" i="4" s="1"/>
  <c r="QA51" i="4" s="1"/>
  <c r="QE44" i="4"/>
  <c r="QD47" i="4" s="1"/>
  <c r="QA50" i="4" s="1"/>
  <c r="QE46" i="4"/>
  <c r="QD49" i="4" s="1"/>
  <c r="QA52" i="4" s="1"/>
  <c r="QF36" i="4"/>
  <c r="QF35" i="4"/>
  <c r="QF38" i="4"/>
  <c r="QF37" i="4"/>
  <c r="QF39" i="4"/>
  <c r="QF40" i="4"/>
  <c r="PW53" i="4"/>
  <c r="PS57" i="4"/>
  <c r="PW54" i="4"/>
  <c r="QF34" i="4"/>
  <c r="QF33" i="4"/>
  <c r="QF46" i="4" s="1"/>
  <c r="QF32" i="4"/>
  <c r="QF31" i="4"/>
  <c r="QF30" i="4"/>
  <c r="QF29" i="4"/>
  <c r="QF28" i="4"/>
  <c r="QF27" i="4"/>
  <c r="QF26" i="4"/>
  <c r="QF25" i="4"/>
  <c r="QF24" i="4"/>
  <c r="QF23" i="4"/>
  <c r="QF22" i="4"/>
  <c r="QF21" i="4"/>
  <c r="QF20" i="4"/>
  <c r="QF19" i="4"/>
  <c r="QF18" i="4"/>
  <c r="QF17" i="4"/>
  <c r="QF16" i="4"/>
  <c r="QF15" i="4"/>
  <c r="QF14" i="4"/>
  <c r="QF13" i="4"/>
  <c r="QF12" i="4"/>
  <c r="QF9" i="4"/>
  <c r="QF4" i="4"/>
  <c r="QF7" i="4"/>
  <c r="QF11" i="4"/>
  <c r="QF10" i="4"/>
  <c r="QF5" i="4"/>
  <c r="QF8" i="4"/>
  <c r="QF6" i="4"/>
  <c r="QF2" i="4"/>
  <c r="QF3" i="4"/>
  <c r="QG1" i="4"/>
  <c r="PW55" i="4"/>
  <c r="QF44" i="4" l="1"/>
  <c r="QE47" i="4" s="1"/>
  <c r="QB50" i="4" s="1"/>
  <c r="QF45" i="4"/>
  <c r="QE48" i="4" s="1"/>
  <c r="QB51" i="4" s="1"/>
  <c r="PY54" i="4" s="1"/>
  <c r="QG36" i="4"/>
  <c r="QG35" i="4"/>
  <c r="QG37" i="4"/>
  <c r="QG39" i="4"/>
  <c r="QG38" i="4"/>
  <c r="QG40" i="4"/>
  <c r="QE49" i="4"/>
  <c r="QB52" i="4" s="1"/>
  <c r="PT57" i="4"/>
  <c r="PT56" i="4"/>
  <c r="PX55" i="4"/>
  <c r="PX53" i="4"/>
  <c r="PX54" i="4"/>
  <c r="PT58" i="4"/>
  <c r="QG34" i="4"/>
  <c r="QG32" i="4"/>
  <c r="QG31" i="4"/>
  <c r="QG30" i="4"/>
  <c r="QG29" i="4"/>
  <c r="QG28" i="4"/>
  <c r="QG27" i="4"/>
  <c r="QG26" i="4"/>
  <c r="QG25" i="4"/>
  <c r="QG24" i="4"/>
  <c r="QG23" i="4"/>
  <c r="QG33" i="4"/>
  <c r="QG22" i="4"/>
  <c r="QG21" i="4"/>
  <c r="QG20" i="4"/>
  <c r="QG19" i="4"/>
  <c r="QG18" i="4"/>
  <c r="QG17" i="4"/>
  <c r="QG16" i="4"/>
  <c r="QG15" i="4"/>
  <c r="QG14" i="4"/>
  <c r="QG13" i="4"/>
  <c r="QG12" i="4"/>
  <c r="QG11" i="4"/>
  <c r="QG4" i="4"/>
  <c r="QG7" i="4"/>
  <c r="QG10" i="4"/>
  <c r="QG5" i="4"/>
  <c r="QG8" i="4"/>
  <c r="QG6" i="4"/>
  <c r="QG2" i="4"/>
  <c r="QG3" i="4"/>
  <c r="QH1" i="4"/>
  <c r="QG9" i="4"/>
  <c r="QG45" i="4" l="1"/>
  <c r="QF48" i="4" s="1"/>
  <c r="QC51" i="4" s="1"/>
  <c r="QG44" i="4"/>
  <c r="QF47" i="4" s="1"/>
  <c r="QC50" i="4" s="1"/>
  <c r="QG46" i="4"/>
  <c r="QF49" i="4" s="1"/>
  <c r="QC52" i="4" s="1"/>
  <c r="PZ55" i="4" s="1"/>
  <c r="QH36" i="4"/>
  <c r="QH35" i="4"/>
  <c r="QH38" i="4"/>
  <c r="QH37" i="4"/>
  <c r="QH39" i="4"/>
  <c r="QH40" i="4"/>
  <c r="PV57" i="4"/>
  <c r="PU57" i="4"/>
  <c r="QH34" i="4"/>
  <c r="QH33" i="4"/>
  <c r="QH32" i="4"/>
  <c r="QH31" i="4"/>
  <c r="QH30" i="4"/>
  <c r="QH29" i="4"/>
  <c r="QH28" i="4"/>
  <c r="QH26" i="4"/>
  <c r="QH25" i="4"/>
  <c r="QH24" i="4"/>
  <c r="QH23" i="4"/>
  <c r="QH27" i="4"/>
  <c r="QH22" i="4"/>
  <c r="QH21" i="4"/>
  <c r="QH20" i="4"/>
  <c r="QH19" i="4"/>
  <c r="QH18" i="4"/>
  <c r="QH17" i="4"/>
  <c r="QH16" i="4"/>
  <c r="QH13" i="4"/>
  <c r="QH7" i="4"/>
  <c r="QH12" i="4"/>
  <c r="QH10" i="4"/>
  <c r="QH11" i="4"/>
  <c r="QH5" i="4"/>
  <c r="QH8" i="4"/>
  <c r="QH6" i="4"/>
  <c r="QH3" i="4"/>
  <c r="QH15" i="4"/>
  <c r="QH9" i="4"/>
  <c r="QH14" i="4"/>
  <c r="QI1" i="4"/>
  <c r="QH2" i="4"/>
  <c r="QH4" i="4"/>
  <c r="PY55" i="4"/>
  <c r="PV58" i="4" s="1"/>
  <c r="PU58" i="4"/>
  <c r="PY53" i="4"/>
  <c r="PU56" i="4"/>
  <c r="QH46" i="4" l="1"/>
  <c r="QG49" i="4" s="1"/>
  <c r="QD52" i="4" s="1"/>
  <c r="QH45" i="4"/>
  <c r="QG48" i="4" s="1"/>
  <c r="QD51" i="4" s="1"/>
  <c r="QH44" i="4"/>
  <c r="QG47" i="4" s="1"/>
  <c r="QD50" i="4" s="1"/>
  <c r="QI36" i="4"/>
  <c r="QI35" i="4"/>
  <c r="QI38" i="4"/>
  <c r="QI39" i="4"/>
  <c r="QI37" i="4"/>
  <c r="QI40" i="4"/>
  <c r="QI33" i="4"/>
  <c r="QI32" i="4"/>
  <c r="QI31" i="4"/>
  <c r="QI34" i="4"/>
  <c r="QI30" i="4"/>
  <c r="QI29" i="4"/>
  <c r="QI28" i="4"/>
  <c r="QI27" i="4"/>
  <c r="QI26" i="4"/>
  <c r="QI25" i="4"/>
  <c r="QI24" i="4"/>
  <c r="QI22" i="4"/>
  <c r="QI18" i="4"/>
  <c r="QI17" i="4"/>
  <c r="QI16" i="4"/>
  <c r="QI20" i="4"/>
  <c r="QI23" i="4"/>
  <c r="QI19" i="4"/>
  <c r="QI21" i="4"/>
  <c r="QI11" i="4"/>
  <c r="QI15" i="4"/>
  <c r="QI14" i="4"/>
  <c r="QI13" i="4"/>
  <c r="QI12" i="4"/>
  <c r="QI10" i="4"/>
  <c r="QI5" i="4"/>
  <c r="QI8" i="4"/>
  <c r="QI6" i="4"/>
  <c r="QI3" i="4"/>
  <c r="QI9" i="4"/>
  <c r="QI7" i="4"/>
  <c r="QJ1" i="4"/>
  <c r="QI2" i="4"/>
  <c r="QI4" i="4"/>
  <c r="PZ54" i="4"/>
  <c r="PZ53" i="4"/>
  <c r="PV56" i="4"/>
  <c r="PW58" i="4"/>
  <c r="QI46" i="4" l="1"/>
  <c r="QH49" i="4" s="1"/>
  <c r="QE52" i="4" s="1"/>
  <c r="QI45" i="4"/>
  <c r="QH48" i="4" s="1"/>
  <c r="QE51" i="4" s="1"/>
  <c r="QI44" i="4"/>
  <c r="QH47" i="4" s="1"/>
  <c r="QE50" i="4" s="1"/>
  <c r="QJ36" i="4"/>
  <c r="QJ35" i="4"/>
  <c r="QJ38" i="4"/>
  <c r="QJ39" i="4"/>
  <c r="QJ37" i="4"/>
  <c r="QJ40" i="4"/>
  <c r="PW57" i="4"/>
  <c r="PW56" i="4"/>
  <c r="QA53" i="4"/>
  <c r="QA54" i="4"/>
  <c r="QJ33" i="4"/>
  <c r="QJ32" i="4"/>
  <c r="QJ31" i="4"/>
  <c r="QJ34" i="4"/>
  <c r="QJ30" i="4"/>
  <c r="QJ29" i="4"/>
  <c r="QJ28" i="4"/>
  <c r="QJ27" i="4"/>
  <c r="QJ22" i="4"/>
  <c r="QJ21" i="4"/>
  <c r="QJ20" i="4"/>
  <c r="QJ19" i="4"/>
  <c r="QJ26" i="4"/>
  <c r="QJ25" i="4"/>
  <c r="QJ24" i="4"/>
  <c r="QJ23" i="4"/>
  <c r="QJ18" i="4"/>
  <c r="QJ17" i="4"/>
  <c r="QJ16" i="4"/>
  <c r="QJ11" i="4"/>
  <c r="QJ15" i="4"/>
  <c r="QJ14" i="4"/>
  <c r="QJ13" i="4"/>
  <c r="QJ12" i="4"/>
  <c r="QJ5" i="4"/>
  <c r="QJ8" i="4"/>
  <c r="QJ6" i="4"/>
  <c r="QJ3" i="4"/>
  <c r="QJ9" i="4"/>
  <c r="QJ4" i="4"/>
  <c r="QJ7" i="4"/>
  <c r="QJ10" i="4"/>
  <c r="QK1" i="4"/>
  <c r="QJ2" i="4"/>
  <c r="QA55" i="4"/>
  <c r="QJ46" i="4" l="1"/>
  <c r="QI49" i="4" s="1"/>
  <c r="QF52" i="4" s="1"/>
  <c r="QJ44" i="4"/>
  <c r="QI47" i="4" s="1"/>
  <c r="QF50" i="4" s="1"/>
  <c r="QJ45" i="4"/>
  <c r="QI48" i="4" s="1"/>
  <c r="QF51" i="4" s="1"/>
  <c r="QK35" i="4"/>
  <c r="QK36" i="4"/>
  <c r="QK37" i="4"/>
  <c r="QK39" i="4"/>
  <c r="QK38" i="4"/>
  <c r="QK40" i="4"/>
  <c r="PX57" i="4"/>
  <c r="QB55" i="4"/>
  <c r="PY58" i="4" s="1"/>
  <c r="QB54" i="4"/>
  <c r="PY57" i="4" s="1"/>
  <c r="PX56" i="4"/>
  <c r="QK34" i="4"/>
  <c r="QK33" i="4"/>
  <c r="QK32" i="4"/>
  <c r="QK31" i="4"/>
  <c r="QK30" i="4"/>
  <c r="QK29" i="4"/>
  <c r="QK28" i="4"/>
  <c r="QK27" i="4"/>
  <c r="QK26" i="4"/>
  <c r="QK25" i="4"/>
  <c r="QK24" i="4"/>
  <c r="QK22" i="4"/>
  <c r="QK21" i="4"/>
  <c r="QK20" i="4"/>
  <c r="QK23" i="4"/>
  <c r="QK19" i="4"/>
  <c r="QK18" i="4"/>
  <c r="QK17" i="4"/>
  <c r="QK16" i="4"/>
  <c r="QK11" i="4"/>
  <c r="QK15" i="4"/>
  <c r="QK14" i="4"/>
  <c r="QK13" i="4"/>
  <c r="QK12" i="4"/>
  <c r="QK8" i="4"/>
  <c r="QK6" i="4"/>
  <c r="QK3" i="4"/>
  <c r="QK9" i="4"/>
  <c r="QK4" i="4"/>
  <c r="QK7" i="4"/>
  <c r="QK10" i="4"/>
  <c r="QL1" i="4"/>
  <c r="QK5" i="4"/>
  <c r="QK2" i="4"/>
  <c r="QB53" i="4"/>
  <c r="PX58" i="4"/>
  <c r="QK45" i="4" l="1"/>
  <c r="QJ48" i="4" s="1"/>
  <c r="QG51" i="4" s="1"/>
  <c r="QK44" i="4"/>
  <c r="QJ47" i="4" s="1"/>
  <c r="QG50" i="4" s="1"/>
  <c r="QK46" i="4"/>
  <c r="QJ49" i="4" s="1"/>
  <c r="QG52" i="4" s="1"/>
  <c r="QL35" i="4"/>
  <c r="QL37" i="4"/>
  <c r="QL36" i="4"/>
  <c r="QL39" i="4"/>
  <c r="QL40" i="4"/>
  <c r="QL38" i="4"/>
  <c r="QL34" i="4"/>
  <c r="QL33" i="4"/>
  <c r="QL32" i="4"/>
  <c r="QL31" i="4"/>
  <c r="QL30" i="4"/>
  <c r="QL29" i="4"/>
  <c r="QL28" i="4"/>
  <c r="QL27" i="4"/>
  <c r="QL26" i="4"/>
  <c r="QL25" i="4"/>
  <c r="QL24" i="4"/>
  <c r="QL23" i="4"/>
  <c r="QL22" i="4"/>
  <c r="QL20" i="4"/>
  <c r="QL19" i="4"/>
  <c r="QL21" i="4"/>
  <c r="QL18" i="4"/>
  <c r="QL17" i="4"/>
  <c r="QL16" i="4"/>
  <c r="QL11" i="4"/>
  <c r="QL15" i="4"/>
  <c r="QL14" i="4"/>
  <c r="QL13" i="4"/>
  <c r="QL12" i="4"/>
  <c r="QL6" i="4"/>
  <c r="QL3" i="4"/>
  <c r="QL9" i="4"/>
  <c r="QL4" i="4"/>
  <c r="QL7" i="4"/>
  <c r="QL10" i="4"/>
  <c r="QL5" i="4"/>
  <c r="QL8" i="4"/>
  <c r="QL2" i="4"/>
  <c r="QM1" i="4"/>
  <c r="QC54" i="4"/>
  <c r="QC53" i="4"/>
  <c r="PY56" i="4"/>
  <c r="QC55" i="4"/>
  <c r="QL44" i="4" l="1"/>
  <c r="QK47" i="4" s="1"/>
  <c r="QH50" i="4" s="1"/>
  <c r="QL46" i="4"/>
  <c r="QK49" i="4" s="1"/>
  <c r="QH52" i="4" s="1"/>
  <c r="QL45" i="4"/>
  <c r="QK48" i="4" s="1"/>
  <c r="QH51" i="4" s="1"/>
  <c r="QM35" i="4"/>
  <c r="QM37" i="4"/>
  <c r="QM36" i="4"/>
  <c r="QM38" i="4"/>
  <c r="QM39" i="4"/>
  <c r="QM40" i="4"/>
  <c r="PZ58" i="4"/>
  <c r="QD55" i="4"/>
  <c r="QD53" i="4"/>
  <c r="PZ57" i="4"/>
  <c r="PZ56" i="4"/>
  <c r="QD54" i="4"/>
  <c r="QM34" i="4"/>
  <c r="QM33" i="4"/>
  <c r="QM32" i="4"/>
  <c r="QM31" i="4"/>
  <c r="QM30" i="4"/>
  <c r="QM29" i="4"/>
  <c r="QM28" i="4"/>
  <c r="QM27" i="4"/>
  <c r="QM26" i="4"/>
  <c r="QM25" i="4"/>
  <c r="QM24" i="4"/>
  <c r="QM23" i="4"/>
  <c r="QM22" i="4"/>
  <c r="QM21" i="4"/>
  <c r="QM20" i="4"/>
  <c r="QM19" i="4"/>
  <c r="QM18" i="4"/>
  <c r="QM17" i="4"/>
  <c r="QM16" i="4"/>
  <c r="QM15" i="4"/>
  <c r="QM14" i="4"/>
  <c r="QM13" i="4"/>
  <c r="QM12" i="4"/>
  <c r="QM6" i="4"/>
  <c r="QM3" i="4"/>
  <c r="QM11" i="4"/>
  <c r="QM9" i="4"/>
  <c r="QM4" i="4"/>
  <c r="QM7" i="4"/>
  <c r="QM10" i="4"/>
  <c r="QM5" i="4"/>
  <c r="QM8" i="4"/>
  <c r="QN1" i="4"/>
  <c r="QM2" i="4"/>
  <c r="QM45" i="4" l="1"/>
  <c r="QL48" i="4" s="1"/>
  <c r="QI51" i="4" s="1"/>
  <c r="QF54" i="4" s="1"/>
  <c r="QM44" i="4"/>
  <c r="QL47" i="4" s="1"/>
  <c r="QI50" i="4" s="1"/>
  <c r="QM46" i="4"/>
  <c r="QL49" i="4" s="1"/>
  <c r="QI52" i="4" s="1"/>
  <c r="QF55" i="4" s="1"/>
  <c r="QN36" i="4"/>
  <c r="QN35" i="4"/>
  <c r="QN38" i="4"/>
  <c r="QN37" i="4"/>
  <c r="QN39" i="4"/>
  <c r="QN40" i="4"/>
  <c r="QN34" i="4"/>
  <c r="QN33" i="4"/>
  <c r="QN32" i="4"/>
  <c r="QN31" i="4"/>
  <c r="QN30" i="4"/>
  <c r="QN29" i="4"/>
  <c r="QN28" i="4"/>
  <c r="QN27" i="4"/>
  <c r="QN26" i="4"/>
  <c r="QN25" i="4"/>
  <c r="QN24" i="4"/>
  <c r="QN23" i="4"/>
  <c r="QN22" i="4"/>
  <c r="QN21" i="4"/>
  <c r="QN20" i="4"/>
  <c r="QN18" i="4"/>
  <c r="QN17" i="4"/>
  <c r="QN16" i="4"/>
  <c r="QN15" i="4"/>
  <c r="QN14" i="4"/>
  <c r="QN13" i="4"/>
  <c r="QN12" i="4"/>
  <c r="QN19" i="4"/>
  <c r="QN11" i="4"/>
  <c r="QN9" i="4"/>
  <c r="QN4" i="4"/>
  <c r="QN7" i="4"/>
  <c r="QN10" i="4"/>
  <c r="QN5" i="4"/>
  <c r="QN8" i="4"/>
  <c r="QN2" i="4"/>
  <c r="QN3" i="4"/>
  <c r="QN6" i="4"/>
  <c r="QO1" i="4"/>
  <c r="QA58" i="4"/>
  <c r="QE54" i="4"/>
  <c r="QE53" i="4"/>
  <c r="QA56" i="4"/>
  <c r="QE55" i="4"/>
  <c r="QA57" i="4"/>
  <c r="QN46" i="4" l="1"/>
  <c r="QM49" i="4" s="1"/>
  <c r="QJ52" i="4" s="1"/>
  <c r="QN44" i="4"/>
  <c r="QM47" i="4" s="1"/>
  <c r="QJ50" i="4" s="1"/>
  <c r="QN45" i="4"/>
  <c r="QM48" i="4" s="1"/>
  <c r="QJ51" i="4" s="1"/>
  <c r="QG54" i="4" s="1"/>
  <c r="QD57" i="4" s="1"/>
  <c r="QO36" i="4"/>
  <c r="QO35" i="4"/>
  <c r="QO37" i="4"/>
  <c r="QO38" i="4"/>
  <c r="QO39" i="4"/>
  <c r="QO40" i="4"/>
  <c r="QC58" i="4"/>
  <c r="QO34" i="4"/>
  <c r="QO31" i="4"/>
  <c r="QO30" i="4"/>
  <c r="QO29" i="4"/>
  <c r="QO28" i="4"/>
  <c r="QO27" i="4"/>
  <c r="QO33" i="4"/>
  <c r="QO26" i="4"/>
  <c r="QO25" i="4"/>
  <c r="QO24" i="4"/>
  <c r="QO23" i="4"/>
  <c r="QO32" i="4"/>
  <c r="QO22" i="4"/>
  <c r="QO21" i="4"/>
  <c r="QO20" i="4"/>
  <c r="QO19" i="4"/>
  <c r="QO18" i="4"/>
  <c r="QO17" i="4"/>
  <c r="QO16" i="4"/>
  <c r="QO15" i="4"/>
  <c r="QO14" i="4"/>
  <c r="QO13" i="4"/>
  <c r="QO12" i="4"/>
  <c r="QO11" i="4"/>
  <c r="QO4" i="4"/>
  <c r="QO7" i="4"/>
  <c r="QO10" i="4"/>
  <c r="QO5" i="4"/>
  <c r="QO8" i="4"/>
  <c r="QO2" i="4"/>
  <c r="QO3" i="4"/>
  <c r="QP1" i="4"/>
  <c r="QO9" i="4"/>
  <c r="QO6" i="4"/>
  <c r="QB57" i="4"/>
  <c r="QC57" i="4"/>
  <c r="QF53" i="4"/>
  <c r="QB58" i="4"/>
  <c r="QB56" i="4"/>
  <c r="QO46" i="4" l="1"/>
  <c r="QN49" i="4" s="1"/>
  <c r="QK52" i="4" s="1"/>
  <c r="QH55" i="4" s="1"/>
  <c r="QO44" i="4"/>
  <c r="QN47" i="4" s="1"/>
  <c r="QK50" i="4" s="1"/>
  <c r="QO45" i="4"/>
  <c r="QN48" i="4" s="1"/>
  <c r="QK51" i="4" s="1"/>
  <c r="QP36" i="4"/>
  <c r="QP35" i="4"/>
  <c r="QP38" i="4"/>
  <c r="QP37" i="4"/>
  <c r="QP40" i="4"/>
  <c r="QP39" i="4"/>
  <c r="QG55" i="4"/>
  <c r="QP34" i="4"/>
  <c r="QP33" i="4"/>
  <c r="QP32" i="4"/>
  <c r="QP31" i="4"/>
  <c r="QP30" i="4"/>
  <c r="QP29" i="4"/>
  <c r="QP28" i="4"/>
  <c r="QP26" i="4"/>
  <c r="QP25" i="4"/>
  <c r="QP24" i="4"/>
  <c r="QP23" i="4"/>
  <c r="QP27" i="4"/>
  <c r="QP22" i="4"/>
  <c r="QP21" i="4"/>
  <c r="QP20" i="4"/>
  <c r="QP19" i="4"/>
  <c r="QP18" i="4"/>
  <c r="QP17" i="4"/>
  <c r="QP16" i="4"/>
  <c r="QP12" i="4"/>
  <c r="QP7" i="4"/>
  <c r="QP44" i="4" s="1"/>
  <c r="QP10" i="4"/>
  <c r="QP5" i="4"/>
  <c r="QP8" i="4"/>
  <c r="QP15" i="4"/>
  <c r="QP6" i="4"/>
  <c r="QP3" i="4"/>
  <c r="QP14" i="4"/>
  <c r="QP9" i="4"/>
  <c r="QP2" i="4"/>
  <c r="QQ1" i="4"/>
  <c r="QP11" i="4"/>
  <c r="QP4" i="4"/>
  <c r="QP13" i="4"/>
  <c r="QC56" i="4"/>
  <c r="QG53" i="4"/>
  <c r="QD56" i="4" s="1"/>
  <c r="QP45" i="4" l="1"/>
  <c r="QO48" i="4" s="1"/>
  <c r="QL51" i="4" s="1"/>
  <c r="QI54" i="4" s="1"/>
  <c r="QP46" i="4"/>
  <c r="QO49" i="4" s="1"/>
  <c r="QL52" i="4" s="1"/>
  <c r="QQ36" i="4"/>
  <c r="QQ35" i="4"/>
  <c r="QQ38" i="4"/>
  <c r="QQ39" i="4"/>
  <c r="QQ40" i="4"/>
  <c r="QQ37" i="4"/>
  <c r="QO47" i="4"/>
  <c r="QL50" i="4" s="1"/>
  <c r="QI53" i="4" s="1"/>
  <c r="QH54" i="4"/>
  <c r="QQ34" i="4"/>
  <c r="QQ33" i="4"/>
  <c r="QQ32" i="4"/>
  <c r="QQ31" i="4"/>
  <c r="QQ30" i="4"/>
  <c r="QQ29" i="4"/>
  <c r="QQ28" i="4"/>
  <c r="QQ27" i="4"/>
  <c r="QQ26" i="4"/>
  <c r="QQ25" i="4"/>
  <c r="QQ24" i="4"/>
  <c r="QQ22" i="4"/>
  <c r="QQ23" i="4"/>
  <c r="QQ20" i="4"/>
  <c r="QQ18" i="4"/>
  <c r="QQ17" i="4"/>
  <c r="QQ16" i="4"/>
  <c r="QQ21" i="4"/>
  <c r="QQ19" i="4"/>
  <c r="QQ11" i="4"/>
  <c r="QQ15" i="4"/>
  <c r="QQ14" i="4"/>
  <c r="QQ13" i="4"/>
  <c r="QQ12" i="4"/>
  <c r="QQ10" i="4"/>
  <c r="QQ5" i="4"/>
  <c r="QQ8" i="4"/>
  <c r="QQ6" i="4"/>
  <c r="QQ3" i="4"/>
  <c r="QQ9" i="4"/>
  <c r="QQ7" i="4"/>
  <c r="QR1" i="4"/>
  <c r="QQ2" i="4"/>
  <c r="QQ4" i="4"/>
  <c r="QE58" i="4"/>
  <c r="QD58" i="4"/>
  <c r="QH53" i="4"/>
  <c r="QQ46" i="4" l="1"/>
  <c r="QP49" i="4" s="1"/>
  <c r="QM52" i="4" s="1"/>
  <c r="QQ44" i="4"/>
  <c r="QP47" i="4" s="1"/>
  <c r="QM50" i="4" s="1"/>
  <c r="QQ45" i="4"/>
  <c r="QP48" i="4" s="1"/>
  <c r="QM51" i="4" s="1"/>
  <c r="QJ54" i="4" s="1"/>
  <c r="QR36" i="4"/>
  <c r="QR35" i="4"/>
  <c r="QR38" i="4"/>
  <c r="QR39" i="4"/>
  <c r="QR37" i="4"/>
  <c r="QR40" i="4"/>
  <c r="QF56" i="4"/>
  <c r="QE56" i="4"/>
  <c r="QI55" i="4"/>
  <c r="QE57" i="4"/>
  <c r="QF57" i="4"/>
  <c r="QR34" i="4"/>
  <c r="QR33" i="4"/>
  <c r="QR32" i="4"/>
  <c r="QR31" i="4"/>
  <c r="QR30" i="4"/>
  <c r="QR29" i="4"/>
  <c r="QR28" i="4"/>
  <c r="QR27" i="4"/>
  <c r="QR22" i="4"/>
  <c r="QR21" i="4"/>
  <c r="QR20" i="4"/>
  <c r="QR19" i="4"/>
  <c r="QR23" i="4"/>
  <c r="QR26" i="4"/>
  <c r="QR25" i="4"/>
  <c r="QR24" i="4"/>
  <c r="QR18" i="4"/>
  <c r="QR17" i="4"/>
  <c r="QR16" i="4"/>
  <c r="QR11" i="4"/>
  <c r="QR15" i="4"/>
  <c r="QR14" i="4"/>
  <c r="QR13" i="4"/>
  <c r="QR12" i="4"/>
  <c r="QR5" i="4"/>
  <c r="QR8" i="4"/>
  <c r="QR6" i="4"/>
  <c r="QR3" i="4"/>
  <c r="QR9" i="4"/>
  <c r="QR4" i="4"/>
  <c r="QR7" i="4"/>
  <c r="QS1" i="4"/>
  <c r="QR10" i="4"/>
  <c r="QR2" i="4"/>
  <c r="QR44" i="4" l="1"/>
  <c r="QQ47" i="4" s="1"/>
  <c r="QN50" i="4" s="1"/>
  <c r="QK53" i="4" s="1"/>
  <c r="QR45" i="4"/>
  <c r="QR46" i="4"/>
  <c r="QQ49" i="4" s="1"/>
  <c r="QN52" i="4" s="1"/>
  <c r="QS35" i="4"/>
  <c r="QS36" i="4"/>
  <c r="QS37" i="4"/>
  <c r="QS38" i="4"/>
  <c r="QS39" i="4"/>
  <c r="QS40" i="4"/>
  <c r="QQ48" i="4"/>
  <c r="QN51" i="4" s="1"/>
  <c r="QK54" i="4" s="1"/>
  <c r="QJ55" i="4"/>
  <c r="QG58" i="4" s="1"/>
  <c r="QG57" i="4"/>
  <c r="QJ53" i="4"/>
  <c r="QF58" i="4"/>
  <c r="QS34" i="4"/>
  <c r="QS33" i="4"/>
  <c r="QS32" i="4"/>
  <c r="QS31" i="4"/>
  <c r="QS27" i="4"/>
  <c r="QS30" i="4"/>
  <c r="QS29" i="4"/>
  <c r="QS28" i="4"/>
  <c r="QS26" i="4"/>
  <c r="QS25" i="4"/>
  <c r="QS24" i="4"/>
  <c r="QS22" i="4"/>
  <c r="QS21" i="4"/>
  <c r="QS20" i="4"/>
  <c r="QS23" i="4"/>
  <c r="QS19" i="4"/>
  <c r="QS18" i="4"/>
  <c r="QS17" i="4"/>
  <c r="QS16" i="4"/>
  <c r="QS11" i="4"/>
  <c r="QS15" i="4"/>
  <c r="QS14" i="4"/>
  <c r="QS13" i="4"/>
  <c r="QS12" i="4"/>
  <c r="QS8" i="4"/>
  <c r="QS6" i="4"/>
  <c r="QS3" i="4"/>
  <c r="QS9" i="4"/>
  <c r="QS4" i="4"/>
  <c r="QS7" i="4"/>
  <c r="QS10" i="4"/>
  <c r="QT1" i="4"/>
  <c r="QS5" i="4"/>
  <c r="QS2" i="4"/>
  <c r="QS45" i="4" l="1"/>
  <c r="QR48" i="4" s="1"/>
  <c r="QO51" i="4" s="1"/>
  <c r="QS44" i="4"/>
  <c r="QR47" i="4" s="1"/>
  <c r="QO50" i="4" s="1"/>
  <c r="QS46" i="4"/>
  <c r="QR49" i="4" s="1"/>
  <c r="QO52" i="4" s="1"/>
  <c r="QL55" i="4" s="1"/>
  <c r="QT35" i="4"/>
  <c r="QT37" i="4"/>
  <c r="QT36" i="4"/>
  <c r="QT38" i="4"/>
  <c r="QT39" i="4"/>
  <c r="QT40" i="4"/>
  <c r="QG56" i="4"/>
  <c r="QH56" i="4"/>
  <c r="QK55" i="4"/>
  <c r="QH58" i="4" s="1"/>
  <c r="QH57" i="4"/>
  <c r="QT34" i="4"/>
  <c r="QT33" i="4"/>
  <c r="QT32" i="4"/>
  <c r="QT31" i="4"/>
  <c r="QT30" i="4"/>
  <c r="QT29" i="4"/>
  <c r="QT28" i="4"/>
  <c r="QT27" i="4"/>
  <c r="QT26" i="4"/>
  <c r="QT25" i="4"/>
  <c r="QT24" i="4"/>
  <c r="QT23" i="4"/>
  <c r="QT21" i="4"/>
  <c r="QT19" i="4"/>
  <c r="QT18" i="4"/>
  <c r="QT17" i="4"/>
  <c r="QT16" i="4"/>
  <c r="QT11" i="4"/>
  <c r="QT15" i="4"/>
  <c r="QT14" i="4"/>
  <c r="QT13" i="4"/>
  <c r="QT12" i="4"/>
  <c r="QT20" i="4"/>
  <c r="QT22" i="4"/>
  <c r="QT6" i="4"/>
  <c r="QT3" i="4"/>
  <c r="QT9" i="4"/>
  <c r="QT4" i="4"/>
  <c r="QT7" i="4"/>
  <c r="QT10" i="4"/>
  <c r="QT5" i="4"/>
  <c r="QT8" i="4"/>
  <c r="QT2" i="4"/>
  <c r="QU1" i="4"/>
  <c r="QT46" i="4" l="1"/>
  <c r="QS49" i="4" s="1"/>
  <c r="QP52" i="4" s="1"/>
  <c r="QT45" i="4"/>
  <c r="QS48" i="4" s="1"/>
  <c r="QP51" i="4" s="1"/>
  <c r="QT44" i="4"/>
  <c r="QS47" i="4" s="1"/>
  <c r="QP50" i="4" s="1"/>
  <c r="QU35" i="4"/>
  <c r="QU37" i="4"/>
  <c r="QU36" i="4"/>
  <c r="QU40" i="4"/>
  <c r="QU38" i="4"/>
  <c r="QU39" i="4"/>
  <c r="QI58" i="4"/>
  <c r="QU34" i="4"/>
  <c r="QU33" i="4"/>
  <c r="QU32" i="4"/>
  <c r="QU31" i="4"/>
  <c r="QU30" i="4"/>
  <c r="QU29" i="4"/>
  <c r="QU28" i="4"/>
  <c r="QU27" i="4"/>
  <c r="QU26" i="4"/>
  <c r="QU25" i="4"/>
  <c r="QU24" i="4"/>
  <c r="QU23" i="4"/>
  <c r="QU22" i="4"/>
  <c r="QU21" i="4"/>
  <c r="QU20" i="4"/>
  <c r="QU19" i="4"/>
  <c r="QU18" i="4"/>
  <c r="QU17" i="4"/>
  <c r="QU16" i="4"/>
  <c r="QU15" i="4"/>
  <c r="QU14" i="4"/>
  <c r="QU13" i="4"/>
  <c r="QU12" i="4"/>
  <c r="QU6" i="4"/>
  <c r="QU3" i="4"/>
  <c r="QU9" i="4"/>
  <c r="QU4" i="4"/>
  <c r="QU7" i="4"/>
  <c r="QU10" i="4"/>
  <c r="QU5" i="4"/>
  <c r="QU11" i="4"/>
  <c r="QU8" i="4"/>
  <c r="QU2" i="4"/>
  <c r="QV1" i="4"/>
  <c r="QL54" i="4"/>
  <c r="QL53" i="4"/>
  <c r="QU44" i="4" l="1"/>
  <c r="QT47" i="4" s="1"/>
  <c r="QQ50" i="4" s="1"/>
  <c r="QN53" i="4" s="1"/>
  <c r="QU46" i="4"/>
  <c r="QT49" i="4" s="1"/>
  <c r="QQ52" i="4" s="1"/>
  <c r="QN55" i="4" s="1"/>
  <c r="QU45" i="4"/>
  <c r="QT48" i="4" s="1"/>
  <c r="QQ51" i="4" s="1"/>
  <c r="QN54" i="4" s="1"/>
  <c r="QV36" i="4"/>
  <c r="QV35" i="4"/>
  <c r="QV38" i="4"/>
  <c r="QV37" i="4"/>
  <c r="QV39" i="4"/>
  <c r="QV40" i="4"/>
  <c r="QI56" i="4"/>
  <c r="QV34" i="4"/>
  <c r="QV33" i="4"/>
  <c r="QV32" i="4"/>
  <c r="QV31" i="4"/>
  <c r="QV30" i="4"/>
  <c r="QV29" i="4"/>
  <c r="QV28" i="4"/>
  <c r="QV27" i="4"/>
  <c r="QV26" i="4"/>
  <c r="QV25" i="4"/>
  <c r="QV24" i="4"/>
  <c r="QV23" i="4"/>
  <c r="QV22" i="4"/>
  <c r="QV21" i="4"/>
  <c r="QV20" i="4"/>
  <c r="QV19" i="4"/>
  <c r="QV18" i="4"/>
  <c r="QV17" i="4"/>
  <c r="QV16" i="4"/>
  <c r="QV15" i="4"/>
  <c r="QV14" i="4"/>
  <c r="QV13" i="4"/>
  <c r="QV12" i="4"/>
  <c r="QV10" i="4"/>
  <c r="QV9" i="4"/>
  <c r="QV4" i="4"/>
  <c r="QV7" i="4"/>
  <c r="QV5" i="4"/>
  <c r="QV11" i="4"/>
  <c r="QV8" i="4"/>
  <c r="QV3" i="4"/>
  <c r="QV2" i="4"/>
  <c r="QV6" i="4"/>
  <c r="QW1" i="4"/>
  <c r="QI57" i="4"/>
  <c r="QM53" i="4"/>
  <c r="QM55" i="4"/>
  <c r="QM54" i="4"/>
  <c r="QV44" i="4" l="1"/>
  <c r="QU47" i="4" s="1"/>
  <c r="QR50" i="4" s="1"/>
  <c r="QV46" i="4"/>
  <c r="QU49" i="4" s="1"/>
  <c r="QR52" i="4" s="1"/>
  <c r="QV45" i="4"/>
  <c r="QU48" i="4" s="1"/>
  <c r="QR51" i="4" s="1"/>
  <c r="QW36" i="4"/>
  <c r="QW35" i="4"/>
  <c r="QW37" i="4"/>
  <c r="QW39" i="4"/>
  <c r="QW40" i="4"/>
  <c r="QW38" i="4"/>
  <c r="QK56" i="4"/>
  <c r="QK57" i="4"/>
  <c r="QK58" i="4"/>
  <c r="QJ57" i="4"/>
  <c r="QJ58" i="4"/>
  <c r="QW34" i="4"/>
  <c r="QW30" i="4"/>
  <c r="QW29" i="4"/>
  <c r="QW28" i="4"/>
  <c r="QW27" i="4"/>
  <c r="QW33" i="4"/>
  <c r="QW32" i="4"/>
  <c r="QW26" i="4"/>
  <c r="QW25" i="4"/>
  <c r="QW24" i="4"/>
  <c r="QW23" i="4"/>
  <c r="QW31" i="4"/>
  <c r="QW22" i="4"/>
  <c r="QW21" i="4"/>
  <c r="QW20" i="4"/>
  <c r="QW19" i="4"/>
  <c r="QW18" i="4"/>
  <c r="QW17" i="4"/>
  <c r="QW16" i="4"/>
  <c r="QW15" i="4"/>
  <c r="QW14" i="4"/>
  <c r="QW13" i="4"/>
  <c r="QW12" i="4"/>
  <c r="QW11" i="4"/>
  <c r="QW4" i="4"/>
  <c r="QW7" i="4"/>
  <c r="QW10" i="4"/>
  <c r="QW5" i="4"/>
  <c r="QW8" i="4"/>
  <c r="QW2" i="4"/>
  <c r="QW3" i="4"/>
  <c r="QW9" i="4"/>
  <c r="QW6" i="4"/>
  <c r="QX1" i="4"/>
  <c r="QJ56" i="4"/>
  <c r="QW45" i="4" l="1"/>
  <c r="QV48" i="4" s="1"/>
  <c r="QS51" i="4" s="1"/>
  <c r="QW46" i="4"/>
  <c r="QV49" i="4" s="1"/>
  <c r="QS52" i="4" s="1"/>
  <c r="QW44" i="4"/>
  <c r="QV47" i="4" s="1"/>
  <c r="QS50" i="4" s="1"/>
  <c r="QX36" i="4"/>
  <c r="QX35" i="4"/>
  <c r="QX38" i="4"/>
  <c r="QX37" i="4"/>
  <c r="QX40" i="4"/>
  <c r="QX39" i="4"/>
  <c r="QO53" i="4"/>
  <c r="QO54" i="4"/>
  <c r="QO55" i="4"/>
  <c r="QX34" i="4"/>
  <c r="QX33" i="4"/>
  <c r="QX32" i="4"/>
  <c r="QX31" i="4"/>
  <c r="QX30" i="4"/>
  <c r="QX29" i="4"/>
  <c r="QX28" i="4"/>
  <c r="QX26" i="4"/>
  <c r="QX25" i="4"/>
  <c r="QX24" i="4"/>
  <c r="QX23" i="4"/>
  <c r="QX27" i="4"/>
  <c r="QX22" i="4"/>
  <c r="QX21" i="4"/>
  <c r="QX20" i="4"/>
  <c r="QX19" i="4"/>
  <c r="QX18" i="4"/>
  <c r="QX17" i="4"/>
  <c r="QX16" i="4"/>
  <c r="QX7" i="4"/>
  <c r="QX10" i="4"/>
  <c r="QX5" i="4"/>
  <c r="QX8" i="4"/>
  <c r="QX15" i="4"/>
  <c r="QX11" i="4"/>
  <c r="QX14" i="4"/>
  <c r="QX6" i="4"/>
  <c r="QX3" i="4"/>
  <c r="QX13" i="4"/>
  <c r="QX9" i="4"/>
  <c r="QX4" i="4"/>
  <c r="QY1" i="4"/>
  <c r="QX2" i="4"/>
  <c r="QX12" i="4"/>
  <c r="QX46" i="4" l="1"/>
  <c r="QW49" i="4" s="1"/>
  <c r="QT52" i="4" s="1"/>
  <c r="QQ55" i="4" s="1"/>
  <c r="QX45" i="4"/>
  <c r="QW48" i="4" s="1"/>
  <c r="QT51" i="4" s="1"/>
  <c r="QX44" i="4"/>
  <c r="QW47" i="4" s="1"/>
  <c r="QT50" i="4" s="1"/>
  <c r="QY36" i="4"/>
  <c r="QY38" i="4"/>
  <c r="QY35" i="4"/>
  <c r="QY39" i="4"/>
  <c r="QY40" i="4"/>
  <c r="QY37" i="4"/>
  <c r="QL56" i="4"/>
  <c r="QP53" i="4"/>
  <c r="QL58" i="4"/>
  <c r="QL57" i="4"/>
  <c r="QY34" i="4"/>
  <c r="QY33" i="4"/>
  <c r="QY32" i="4"/>
  <c r="QY31" i="4"/>
  <c r="QY30" i="4"/>
  <c r="QY29" i="4"/>
  <c r="QY28" i="4"/>
  <c r="QY27" i="4"/>
  <c r="QY26" i="4"/>
  <c r="QY25" i="4"/>
  <c r="QY24" i="4"/>
  <c r="QY22" i="4"/>
  <c r="QY21" i="4"/>
  <c r="QY19" i="4"/>
  <c r="QY18" i="4"/>
  <c r="QY17" i="4"/>
  <c r="QY16" i="4"/>
  <c r="QY23" i="4"/>
  <c r="QY20" i="4"/>
  <c r="QY45" i="4" s="1"/>
  <c r="QY11" i="4"/>
  <c r="QY15" i="4"/>
  <c r="QY14" i="4"/>
  <c r="QY13" i="4"/>
  <c r="QY12" i="4"/>
  <c r="QY10" i="4"/>
  <c r="QY5" i="4"/>
  <c r="QY8" i="4"/>
  <c r="QY6" i="4"/>
  <c r="QY3" i="4"/>
  <c r="QY9" i="4"/>
  <c r="QY7" i="4"/>
  <c r="QZ1" i="4"/>
  <c r="QY4" i="4"/>
  <c r="QY2" i="4"/>
  <c r="QP55" i="4"/>
  <c r="QP54" i="4"/>
  <c r="QY44" i="4" l="1"/>
  <c r="QX47" i="4" s="1"/>
  <c r="QU50" i="4" s="1"/>
  <c r="QR53" i="4" s="1"/>
  <c r="QY46" i="4"/>
  <c r="QX49" i="4" s="1"/>
  <c r="QU52" i="4" s="1"/>
  <c r="QZ36" i="4"/>
  <c r="QZ38" i="4"/>
  <c r="QZ37" i="4"/>
  <c r="QZ39" i="4"/>
  <c r="QZ35" i="4"/>
  <c r="QZ40" i="4"/>
  <c r="QX48" i="4"/>
  <c r="QU51" i="4" s="1"/>
  <c r="QR54" i="4" s="1"/>
  <c r="QM56" i="4"/>
  <c r="QQ53" i="4"/>
  <c r="QQ54" i="4"/>
  <c r="QN57" i="4" s="1"/>
  <c r="QN58" i="4"/>
  <c r="QZ34" i="4"/>
  <c r="QZ33" i="4"/>
  <c r="QZ32" i="4"/>
  <c r="QZ31" i="4"/>
  <c r="QZ30" i="4"/>
  <c r="QZ29" i="4"/>
  <c r="QZ28" i="4"/>
  <c r="QZ27" i="4"/>
  <c r="QZ22" i="4"/>
  <c r="QZ21" i="4"/>
  <c r="QZ20" i="4"/>
  <c r="QZ19" i="4"/>
  <c r="QZ26" i="4"/>
  <c r="QZ25" i="4"/>
  <c r="QZ24" i="4"/>
  <c r="QZ23" i="4"/>
  <c r="QZ18" i="4"/>
  <c r="QZ17" i="4"/>
  <c r="QZ16" i="4"/>
  <c r="QZ11" i="4"/>
  <c r="QZ15" i="4"/>
  <c r="QZ14" i="4"/>
  <c r="QZ13" i="4"/>
  <c r="QZ12" i="4"/>
  <c r="QZ10" i="4"/>
  <c r="QZ5" i="4"/>
  <c r="QZ8" i="4"/>
  <c r="QZ6" i="4"/>
  <c r="QZ3" i="4"/>
  <c r="QZ9" i="4"/>
  <c r="QZ4" i="4"/>
  <c r="QZ7" i="4"/>
  <c r="QZ44" i="4" s="1"/>
  <c r="RA1" i="4"/>
  <c r="QZ2" i="4"/>
  <c r="QM57" i="4"/>
  <c r="QM58" i="4"/>
  <c r="QZ45" i="4" l="1"/>
  <c r="QY48" i="4" s="1"/>
  <c r="QV51" i="4" s="1"/>
  <c r="QS54" i="4" s="1"/>
  <c r="QZ46" i="4"/>
  <c r="QY49" i="4" s="1"/>
  <c r="QV52" i="4" s="1"/>
  <c r="RA35" i="4"/>
  <c r="RA36" i="4"/>
  <c r="RA37" i="4"/>
  <c r="RA39" i="4"/>
  <c r="RA38" i="4"/>
  <c r="RA40" i="4"/>
  <c r="QY47" i="4"/>
  <c r="QV50" i="4" s="1"/>
  <c r="QO57" i="4"/>
  <c r="QR55" i="4"/>
  <c r="QN56" i="4"/>
  <c r="QO56" i="4"/>
  <c r="RA34" i="4"/>
  <c r="RA33" i="4"/>
  <c r="RA32" i="4"/>
  <c r="RA31" i="4"/>
  <c r="RA30" i="4"/>
  <c r="RA29" i="4"/>
  <c r="RA28" i="4"/>
  <c r="RA27" i="4"/>
  <c r="RA26" i="4"/>
  <c r="RA25" i="4"/>
  <c r="RA24" i="4"/>
  <c r="RA22" i="4"/>
  <c r="RA21" i="4"/>
  <c r="RA20" i="4"/>
  <c r="RA23" i="4"/>
  <c r="RA19" i="4"/>
  <c r="RA11" i="4"/>
  <c r="RA15" i="4"/>
  <c r="RA14" i="4"/>
  <c r="RA13" i="4"/>
  <c r="RA12" i="4"/>
  <c r="RA8" i="4"/>
  <c r="RA16" i="4"/>
  <c r="RA17" i="4"/>
  <c r="RA6" i="4"/>
  <c r="RA3" i="4"/>
  <c r="RA18" i="4"/>
  <c r="RA9" i="4"/>
  <c r="RA4" i="4"/>
  <c r="RA7" i="4"/>
  <c r="RB1" i="4"/>
  <c r="RA2" i="4"/>
  <c r="RA5" i="4"/>
  <c r="RA10" i="4"/>
  <c r="RA45" i="4" l="1"/>
  <c r="QZ48" i="4" s="1"/>
  <c r="QW51" i="4" s="1"/>
  <c r="RA44" i="4"/>
  <c r="QZ47" i="4" s="1"/>
  <c r="QW50" i="4" s="1"/>
  <c r="RA46" i="4"/>
  <c r="QZ49" i="4" s="1"/>
  <c r="QW52" i="4" s="1"/>
  <c r="QT55" i="4" s="1"/>
  <c r="RB35" i="4"/>
  <c r="RB36" i="4"/>
  <c r="RB37" i="4"/>
  <c r="RB39" i="4"/>
  <c r="RB40" i="4"/>
  <c r="RB38" i="4"/>
  <c r="RB34" i="4"/>
  <c r="RB33" i="4"/>
  <c r="RB32" i="4"/>
  <c r="RB31" i="4"/>
  <c r="RB30" i="4"/>
  <c r="RB29" i="4"/>
  <c r="RB28" i="4"/>
  <c r="RB27" i="4"/>
  <c r="RB26" i="4"/>
  <c r="RB25" i="4"/>
  <c r="RB24" i="4"/>
  <c r="RB23" i="4"/>
  <c r="RB20" i="4"/>
  <c r="RB22" i="4"/>
  <c r="RB18" i="4"/>
  <c r="RB17" i="4"/>
  <c r="RB16" i="4"/>
  <c r="RB11" i="4"/>
  <c r="RB21" i="4"/>
  <c r="RB15" i="4"/>
  <c r="RB14" i="4"/>
  <c r="RB13" i="4"/>
  <c r="RB12" i="4"/>
  <c r="RB19" i="4"/>
  <c r="RB6" i="4"/>
  <c r="RB3" i="4"/>
  <c r="RB9" i="4"/>
  <c r="RB4" i="4"/>
  <c r="RB7" i="4"/>
  <c r="RB10" i="4"/>
  <c r="RC1" i="4"/>
  <c r="RB8" i="4"/>
  <c r="RB2" i="4"/>
  <c r="RB5" i="4"/>
  <c r="QO58" i="4"/>
  <c r="QS55" i="4"/>
  <c r="QP58" i="4" s="1"/>
  <c r="QS53" i="4"/>
  <c r="QP57" i="4"/>
  <c r="RB44" i="4" l="1"/>
  <c r="RA47" i="4" s="1"/>
  <c r="QX50" i="4" s="1"/>
  <c r="QU53" i="4" s="1"/>
  <c r="RB45" i="4"/>
  <c r="RA48" i="4" s="1"/>
  <c r="QX51" i="4" s="1"/>
  <c r="RB46" i="4"/>
  <c r="RA49" i="4" s="1"/>
  <c r="QX52" i="4" s="1"/>
  <c r="QU55" i="4" s="1"/>
  <c r="RC35" i="4"/>
  <c r="RC36" i="4"/>
  <c r="RC37" i="4"/>
  <c r="RC38" i="4"/>
  <c r="RC39" i="4"/>
  <c r="RC40" i="4"/>
  <c r="QQ58" i="4"/>
  <c r="QT54" i="4"/>
  <c r="QP56" i="4"/>
  <c r="RC34" i="4"/>
  <c r="RC33" i="4"/>
  <c r="RC32" i="4"/>
  <c r="RC31" i="4"/>
  <c r="RC29" i="4"/>
  <c r="RC28" i="4"/>
  <c r="RC27" i="4"/>
  <c r="RC30" i="4"/>
  <c r="RC26" i="4"/>
  <c r="RC25" i="4"/>
  <c r="RC24" i="4"/>
  <c r="RC23" i="4"/>
  <c r="RC22" i="4"/>
  <c r="RC21" i="4"/>
  <c r="RC20" i="4"/>
  <c r="RC18" i="4"/>
  <c r="RC17" i="4"/>
  <c r="RC16" i="4"/>
  <c r="RC19" i="4"/>
  <c r="RC15" i="4"/>
  <c r="RC14" i="4"/>
  <c r="RC13" i="4"/>
  <c r="RC12" i="4"/>
  <c r="RC6" i="4"/>
  <c r="RC3" i="4"/>
  <c r="RC9" i="4"/>
  <c r="RC4" i="4"/>
  <c r="RC11" i="4"/>
  <c r="RC7" i="4"/>
  <c r="RC10" i="4"/>
  <c r="RC5" i="4"/>
  <c r="RC8" i="4"/>
  <c r="RC2" i="4"/>
  <c r="RD1" i="4"/>
  <c r="QT53" i="4"/>
  <c r="QQ56" i="4" s="1"/>
  <c r="RC44" i="4" l="1"/>
  <c r="RB47" i="4" s="1"/>
  <c r="QY50" i="4" s="1"/>
  <c r="RC46" i="4"/>
  <c r="RB49" i="4" s="1"/>
  <c r="QY52" i="4" s="1"/>
  <c r="RC45" i="4"/>
  <c r="RB48" i="4" s="1"/>
  <c r="QY51" i="4" s="1"/>
  <c r="RD36" i="4"/>
  <c r="RD35" i="4"/>
  <c r="RD38" i="4"/>
  <c r="RD37" i="4"/>
  <c r="RD39" i="4"/>
  <c r="RD40" i="4"/>
  <c r="RD34" i="4"/>
  <c r="RD33" i="4"/>
  <c r="RD32" i="4"/>
  <c r="RD31" i="4"/>
  <c r="RD29" i="4"/>
  <c r="RD28" i="4"/>
  <c r="RD27" i="4"/>
  <c r="RD30" i="4"/>
  <c r="RD26" i="4"/>
  <c r="RD25" i="4"/>
  <c r="RD24" i="4"/>
  <c r="RD23" i="4"/>
  <c r="RD22" i="4"/>
  <c r="RD21" i="4"/>
  <c r="RD20" i="4"/>
  <c r="RD18" i="4"/>
  <c r="RD17" i="4"/>
  <c r="RD16" i="4"/>
  <c r="RD19" i="4"/>
  <c r="RD15" i="4"/>
  <c r="RD14" i="4"/>
  <c r="RD13" i="4"/>
  <c r="RD12" i="4"/>
  <c r="RD10" i="4"/>
  <c r="RD9" i="4"/>
  <c r="RD4" i="4"/>
  <c r="RD11" i="4"/>
  <c r="RD7" i="4"/>
  <c r="RD5" i="4"/>
  <c r="RD8" i="4"/>
  <c r="RD2" i="4"/>
  <c r="RD6" i="4"/>
  <c r="RE1" i="4"/>
  <c r="RD3" i="4"/>
  <c r="QU54" i="4"/>
  <c r="QR58" i="4"/>
  <c r="QR56" i="4"/>
  <c r="QQ57" i="4"/>
  <c r="RD46" i="4" l="1"/>
  <c r="RC49" i="4" s="1"/>
  <c r="QZ52" i="4" s="1"/>
  <c r="QW55" i="4" s="1"/>
  <c r="RD44" i="4"/>
  <c r="RC47" i="4" s="1"/>
  <c r="QZ50" i="4" s="1"/>
  <c r="RD45" i="4"/>
  <c r="RC48" i="4" s="1"/>
  <c r="QZ51" i="4" s="1"/>
  <c r="RE36" i="4"/>
  <c r="RE35" i="4"/>
  <c r="RE37" i="4"/>
  <c r="RE38" i="4"/>
  <c r="RE39" i="4"/>
  <c r="RE40" i="4"/>
  <c r="QV53" i="4"/>
  <c r="QV54" i="4"/>
  <c r="RE34" i="4"/>
  <c r="RE29" i="4"/>
  <c r="RE28" i="4"/>
  <c r="RE27" i="4"/>
  <c r="RE33" i="4"/>
  <c r="RE30" i="4"/>
  <c r="RE32" i="4"/>
  <c r="RE31" i="4"/>
  <c r="RE26" i="4"/>
  <c r="RE25" i="4"/>
  <c r="RE24" i="4"/>
  <c r="RE23" i="4"/>
  <c r="RE22" i="4"/>
  <c r="RE21" i="4"/>
  <c r="RE20" i="4"/>
  <c r="RE19" i="4"/>
  <c r="RE18" i="4"/>
  <c r="RE17" i="4"/>
  <c r="RE16" i="4"/>
  <c r="RE15" i="4"/>
  <c r="RE14" i="4"/>
  <c r="RE13" i="4"/>
  <c r="RE12" i="4"/>
  <c r="RE11" i="4"/>
  <c r="RE4" i="4"/>
  <c r="RE7" i="4"/>
  <c r="RE44" i="4" s="1"/>
  <c r="RE5" i="4"/>
  <c r="RE10" i="4"/>
  <c r="RE8" i="4"/>
  <c r="RE2" i="4"/>
  <c r="RE6" i="4"/>
  <c r="RE9" i="4"/>
  <c r="RF1" i="4"/>
  <c r="RE3" i="4"/>
  <c r="QR57" i="4"/>
  <c r="QV55" i="4"/>
  <c r="RE46" i="4" l="1"/>
  <c r="RD49" i="4" s="1"/>
  <c r="RA52" i="4" s="1"/>
  <c r="QX55" i="4" s="1"/>
  <c r="RE45" i="4"/>
  <c r="RD48" i="4" s="1"/>
  <c r="RA51" i="4" s="1"/>
  <c r="QX54" i="4" s="1"/>
  <c r="RF36" i="4"/>
  <c r="RF35" i="4"/>
  <c r="RF38" i="4"/>
  <c r="RF37" i="4"/>
  <c r="RF39" i="4"/>
  <c r="RF40" i="4"/>
  <c r="RD47" i="4"/>
  <c r="RA50" i="4" s="1"/>
  <c r="QS58" i="4"/>
  <c r="QW54" i="4"/>
  <c r="QT57" i="4" s="1"/>
  <c r="RF34" i="4"/>
  <c r="RF33" i="4"/>
  <c r="RF32" i="4"/>
  <c r="RF31" i="4"/>
  <c r="RF29" i="4"/>
  <c r="RF28" i="4"/>
  <c r="RF30" i="4"/>
  <c r="RF26" i="4"/>
  <c r="RF25" i="4"/>
  <c r="RF24" i="4"/>
  <c r="RF23" i="4"/>
  <c r="RF27" i="4"/>
  <c r="RF22" i="4"/>
  <c r="RF21" i="4"/>
  <c r="RF20" i="4"/>
  <c r="RF19" i="4"/>
  <c r="RF18" i="4"/>
  <c r="RF17" i="4"/>
  <c r="RF16" i="4"/>
  <c r="RF7" i="4"/>
  <c r="RF11" i="4"/>
  <c r="RF5" i="4"/>
  <c r="RF15" i="4"/>
  <c r="RF10" i="4"/>
  <c r="RF8" i="4"/>
  <c r="RF14" i="4"/>
  <c r="RF13" i="4"/>
  <c r="RF6" i="4"/>
  <c r="RF3" i="4"/>
  <c r="RF12" i="4"/>
  <c r="RF9" i="4"/>
  <c r="RF4" i="4"/>
  <c r="RG1" i="4"/>
  <c r="RF2" i="4"/>
  <c r="QT58" i="4"/>
  <c r="QW53" i="4"/>
  <c r="QS56" i="4"/>
  <c r="QS57" i="4"/>
  <c r="RF46" i="4" l="1"/>
  <c r="RE49" i="4" s="1"/>
  <c r="RB52" i="4" s="1"/>
  <c r="QY55" i="4" s="1"/>
  <c r="QV58" i="4" s="1"/>
  <c r="RF45" i="4"/>
  <c r="RE48" i="4" s="1"/>
  <c r="RB51" i="4" s="1"/>
  <c r="RF44" i="4"/>
  <c r="RE47" i="4" s="1"/>
  <c r="RB50" i="4" s="1"/>
  <c r="RG36" i="4"/>
  <c r="RG38" i="4"/>
  <c r="RG39" i="4"/>
  <c r="RG37" i="4"/>
  <c r="RG35" i="4"/>
  <c r="RG40" i="4"/>
  <c r="RG34" i="4"/>
  <c r="RG33" i="4"/>
  <c r="RG32" i="4"/>
  <c r="RG31" i="4"/>
  <c r="RG29" i="4"/>
  <c r="RG28" i="4"/>
  <c r="RG27" i="4"/>
  <c r="RG30" i="4"/>
  <c r="RG26" i="4"/>
  <c r="RG25" i="4"/>
  <c r="RG24" i="4"/>
  <c r="RG22" i="4"/>
  <c r="RG23" i="4"/>
  <c r="RG18" i="4"/>
  <c r="RG17" i="4"/>
  <c r="RG16" i="4"/>
  <c r="RG20" i="4"/>
  <c r="RG19" i="4"/>
  <c r="RG21" i="4"/>
  <c r="RG11" i="4"/>
  <c r="RG15" i="4"/>
  <c r="RG14" i="4"/>
  <c r="RG13" i="4"/>
  <c r="RG12" i="4"/>
  <c r="RG5" i="4"/>
  <c r="RG10" i="4"/>
  <c r="RG8" i="4"/>
  <c r="RG6" i="4"/>
  <c r="RG3" i="4"/>
  <c r="RG9" i="4"/>
  <c r="RG4" i="4"/>
  <c r="RH1" i="4"/>
  <c r="RG2" i="4"/>
  <c r="RG7" i="4"/>
  <c r="QU57" i="4"/>
  <c r="QU58" i="4"/>
  <c r="QX53" i="4"/>
  <c r="QT56" i="4"/>
  <c r="RG46" i="4" l="1"/>
  <c r="RF49" i="4" s="1"/>
  <c r="RC52" i="4" s="1"/>
  <c r="QZ55" i="4" s="1"/>
  <c r="QW58" i="4" s="1"/>
  <c r="RG45" i="4"/>
  <c r="RF48" i="4" s="1"/>
  <c r="RC51" i="4" s="1"/>
  <c r="QZ54" i="4" s="1"/>
  <c r="RG44" i="4"/>
  <c r="RF47" i="4" s="1"/>
  <c r="RC50" i="4" s="1"/>
  <c r="RH36" i="4"/>
  <c r="RH38" i="4"/>
  <c r="RH39" i="4"/>
  <c r="RH37" i="4"/>
  <c r="RH35" i="4"/>
  <c r="RH40" i="4"/>
  <c r="QY54" i="4"/>
  <c r="QU56" i="4"/>
  <c r="RH34" i="4"/>
  <c r="RH33" i="4"/>
  <c r="RH32" i="4"/>
  <c r="RH31" i="4"/>
  <c r="RH29" i="4"/>
  <c r="RH28" i="4"/>
  <c r="RH30" i="4"/>
  <c r="RH27" i="4"/>
  <c r="RH26" i="4"/>
  <c r="RH25" i="4"/>
  <c r="RH24" i="4"/>
  <c r="RH22" i="4"/>
  <c r="RH21" i="4"/>
  <c r="RH20" i="4"/>
  <c r="RH19" i="4"/>
  <c r="RH23" i="4"/>
  <c r="RH18" i="4"/>
  <c r="RH17" i="4"/>
  <c r="RH16" i="4"/>
  <c r="RH11" i="4"/>
  <c r="RH15" i="4"/>
  <c r="RH14" i="4"/>
  <c r="RH13" i="4"/>
  <c r="RH12" i="4"/>
  <c r="RH5" i="4"/>
  <c r="RH10" i="4"/>
  <c r="RH8" i="4"/>
  <c r="RH6" i="4"/>
  <c r="RH3" i="4"/>
  <c r="RH9" i="4"/>
  <c r="RH4" i="4"/>
  <c r="RH7" i="4"/>
  <c r="RI1" i="4"/>
  <c r="RH2" i="4"/>
  <c r="QY53" i="4"/>
  <c r="RH46" i="4" l="1"/>
  <c r="RG49" i="4" s="1"/>
  <c r="RD52" i="4" s="1"/>
  <c r="RH44" i="4"/>
  <c r="RG47" i="4" s="1"/>
  <c r="RD50" i="4" s="1"/>
  <c r="RH45" i="4"/>
  <c r="RG48" i="4" s="1"/>
  <c r="RD51" i="4" s="1"/>
  <c r="RI35" i="4"/>
  <c r="RI36" i="4"/>
  <c r="RI37" i="4"/>
  <c r="RI38" i="4"/>
  <c r="RI39" i="4"/>
  <c r="RI40" i="4"/>
  <c r="QZ53" i="4"/>
  <c r="RI34" i="4"/>
  <c r="RI33" i="4"/>
  <c r="RI32" i="4"/>
  <c r="RI31" i="4"/>
  <c r="RI30" i="4"/>
  <c r="RI27" i="4"/>
  <c r="RI26" i="4"/>
  <c r="RI25" i="4"/>
  <c r="RI24" i="4"/>
  <c r="RI22" i="4"/>
  <c r="RI21" i="4"/>
  <c r="RI20" i="4"/>
  <c r="RI28" i="4"/>
  <c r="RI23" i="4"/>
  <c r="RI29" i="4"/>
  <c r="RI19" i="4"/>
  <c r="RI11" i="4"/>
  <c r="RI15" i="4"/>
  <c r="RI14" i="4"/>
  <c r="RI13" i="4"/>
  <c r="RI12" i="4"/>
  <c r="RI18" i="4"/>
  <c r="RI17" i="4"/>
  <c r="RI16" i="4"/>
  <c r="RI10" i="4"/>
  <c r="RI8" i="4"/>
  <c r="RI6" i="4"/>
  <c r="RI3" i="4"/>
  <c r="RI9" i="4"/>
  <c r="RI4" i="4"/>
  <c r="RI7" i="4"/>
  <c r="RJ1" i="4"/>
  <c r="RI2" i="4"/>
  <c r="RI5" i="4"/>
  <c r="QV57" i="4"/>
  <c r="QW57" i="4"/>
  <c r="QV56" i="4"/>
  <c r="RI45" i="4" l="1"/>
  <c r="RH48" i="4" s="1"/>
  <c r="RE51" i="4" s="1"/>
  <c r="RB54" i="4" s="1"/>
  <c r="RI46" i="4"/>
  <c r="RH49" i="4" s="1"/>
  <c r="RE52" i="4" s="1"/>
  <c r="RB55" i="4" s="1"/>
  <c r="RI44" i="4"/>
  <c r="RH47" i="4" s="1"/>
  <c r="RE50" i="4" s="1"/>
  <c r="RJ35" i="4"/>
  <c r="RJ37" i="4"/>
  <c r="RJ36" i="4"/>
  <c r="RJ38" i="4"/>
  <c r="RJ39" i="4"/>
  <c r="RJ40" i="4"/>
  <c r="RJ34" i="4"/>
  <c r="RJ33" i="4"/>
  <c r="RJ32" i="4"/>
  <c r="RJ31" i="4"/>
  <c r="RJ30" i="4"/>
  <c r="RJ29" i="4"/>
  <c r="RJ28" i="4"/>
  <c r="RJ27" i="4"/>
  <c r="RJ26" i="4"/>
  <c r="RJ25" i="4"/>
  <c r="RJ24" i="4"/>
  <c r="RJ23" i="4"/>
  <c r="RJ19" i="4"/>
  <c r="RJ20" i="4"/>
  <c r="RJ22" i="4"/>
  <c r="RJ21" i="4"/>
  <c r="RJ18" i="4"/>
  <c r="RJ17" i="4"/>
  <c r="RJ16" i="4"/>
  <c r="RJ11" i="4"/>
  <c r="RJ15" i="4"/>
  <c r="RJ14" i="4"/>
  <c r="RJ13" i="4"/>
  <c r="RJ12" i="4"/>
  <c r="RJ6" i="4"/>
  <c r="RJ3" i="4"/>
  <c r="RJ9" i="4"/>
  <c r="RJ4" i="4"/>
  <c r="RJ7" i="4"/>
  <c r="RJ8" i="4"/>
  <c r="RJ2" i="4"/>
  <c r="RJ5" i="4"/>
  <c r="RJ10" i="4"/>
  <c r="RK1" i="4"/>
  <c r="RA53" i="4"/>
  <c r="RA55" i="4"/>
  <c r="RA54" i="4"/>
  <c r="QW56" i="4"/>
  <c r="RJ44" i="4" l="1"/>
  <c r="RI47" i="4" s="1"/>
  <c r="RF50" i="4" s="1"/>
  <c r="RJ46" i="4"/>
  <c r="RI49" i="4" s="1"/>
  <c r="RF52" i="4" s="1"/>
  <c r="RC55" i="4" s="1"/>
  <c r="QZ58" i="4" s="1"/>
  <c r="RJ45" i="4"/>
  <c r="RI48" i="4" s="1"/>
  <c r="RF51" i="4" s="1"/>
  <c r="RK35" i="4"/>
  <c r="RK37" i="4"/>
  <c r="RK36" i="4"/>
  <c r="RK40" i="4"/>
  <c r="RK39" i="4"/>
  <c r="RK38" i="4"/>
  <c r="RK34" i="4"/>
  <c r="RK33" i="4"/>
  <c r="RK32" i="4"/>
  <c r="RK31" i="4"/>
  <c r="RK29" i="4"/>
  <c r="RK28" i="4"/>
  <c r="RK27" i="4"/>
  <c r="RK26" i="4"/>
  <c r="RK25" i="4"/>
  <c r="RK24" i="4"/>
  <c r="RK23" i="4"/>
  <c r="RK30" i="4"/>
  <c r="RK22" i="4"/>
  <c r="RK21" i="4"/>
  <c r="RK20" i="4"/>
  <c r="RK19" i="4"/>
  <c r="RK18" i="4"/>
  <c r="RK17" i="4"/>
  <c r="RK16" i="4"/>
  <c r="RK15" i="4"/>
  <c r="RK14" i="4"/>
  <c r="RK13" i="4"/>
  <c r="RK12" i="4"/>
  <c r="RK11" i="4"/>
  <c r="RK6" i="4"/>
  <c r="RK3" i="4"/>
  <c r="RK9" i="4"/>
  <c r="RK4" i="4"/>
  <c r="RK7" i="4"/>
  <c r="RK44" i="4" s="1"/>
  <c r="RK5" i="4"/>
  <c r="RK10" i="4"/>
  <c r="RK8" i="4"/>
  <c r="RK2" i="4"/>
  <c r="RL1" i="4"/>
  <c r="QY58" i="4"/>
  <c r="QX58" i="4"/>
  <c r="RB53" i="4"/>
  <c r="QX56" i="4"/>
  <c r="QY57" i="4"/>
  <c r="QX57" i="4"/>
  <c r="RK46" i="4" l="1"/>
  <c r="RJ49" i="4" s="1"/>
  <c r="RG52" i="4" s="1"/>
  <c r="RK45" i="4"/>
  <c r="RJ48" i="4" s="1"/>
  <c r="RG51" i="4" s="1"/>
  <c r="RL36" i="4"/>
  <c r="RL35" i="4"/>
  <c r="RL38" i="4"/>
  <c r="RL37" i="4"/>
  <c r="RL40" i="4"/>
  <c r="RL39" i="4"/>
  <c r="RJ47" i="4"/>
  <c r="RG50" i="4" s="1"/>
  <c r="RD53" i="4" s="1"/>
  <c r="QY56" i="4"/>
  <c r="RC54" i="4"/>
  <c r="RC53" i="4"/>
  <c r="QZ56" i="4" s="1"/>
  <c r="RL34" i="4"/>
  <c r="RL33" i="4"/>
  <c r="RL32" i="4"/>
  <c r="RL31" i="4"/>
  <c r="RL29" i="4"/>
  <c r="RL28" i="4"/>
  <c r="RL27" i="4"/>
  <c r="RL30" i="4"/>
  <c r="RL26" i="4"/>
  <c r="RL25" i="4"/>
  <c r="RL24" i="4"/>
  <c r="RL23" i="4"/>
  <c r="RL22" i="4"/>
  <c r="RL21" i="4"/>
  <c r="RL20" i="4"/>
  <c r="RL19" i="4"/>
  <c r="RL18" i="4"/>
  <c r="RL17" i="4"/>
  <c r="RL16" i="4"/>
  <c r="RL15" i="4"/>
  <c r="RL14" i="4"/>
  <c r="RL13" i="4"/>
  <c r="RL12" i="4"/>
  <c r="RL10" i="4"/>
  <c r="RL9" i="4"/>
  <c r="RL4" i="4"/>
  <c r="RL7" i="4"/>
  <c r="RL5" i="4"/>
  <c r="RL2" i="4"/>
  <c r="RL8" i="4"/>
  <c r="RL6" i="4"/>
  <c r="RL11" i="4"/>
  <c r="RL3" i="4"/>
  <c r="RM1" i="4"/>
  <c r="RL46" i="4" l="1"/>
  <c r="RK49" i="4" s="1"/>
  <c r="RH52" i="4" s="1"/>
  <c r="RL45" i="4"/>
  <c r="RK48" i="4" s="1"/>
  <c r="RH51" i="4" s="1"/>
  <c r="RL44" i="4"/>
  <c r="RK47" i="4" s="1"/>
  <c r="RH50" i="4" s="1"/>
  <c r="RM36" i="4"/>
  <c r="RM35" i="4"/>
  <c r="RM37" i="4"/>
  <c r="RM39" i="4"/>
  <c r="RM38" i="4"/>
  <c r="RM40" i="4"/>
  <c r="RA56" i="4"/>
  <c r="RD54" i="4"/>
  <c r="RA57" i="4" s="1"/>
  <c r="RD55" i="4"/>
  <c r="RM34" i="4"/>
  <c r="RM33" i="4"/>
  <c r="RM29" i="4"/>
  <c r="RM28" i="4"/>
  <c r="RM27" i="4"/>
  <c r="RM32" i="4"/>
  <c r="RM31" i="4"/>
  <c r="RM30" i="4"/>
  <c r="RM26" i="4"/>
  <c r="RM25" i="4"/>
  <c r="RM24" i="4"/>
  <c r="RM23" i="4"/>
  <c r="RM22" i="4"/>
  <c r="RM21" i="4"/>
  <c r="RM20" i="4"/>
  <c r="RM19" i="4"/>
  <c r="RM18" i="4"/>
  <c r="RM17" i="4"/>
  <c r="RM16" i="4"/>
  <c r="RM15" i="4"/>
  <c r="RM14" i="4"/>
  <c r="RM13" i="4"/>
  <c r="RM12" i="4"/>
  <c r="RM11" i="4"/>
  <c r="RM4" i="4"/>
  <c r="RM7" i="4"/>
  <c r="RM44" i="4" s="1"/>
  <c r="RM5" i="4"/>
  <c r="RM8" i="4"/>
  <c r="RM10" i="4"/>
  <c r="RM6" i="4"/>
  <c r="RM2" i="4"/>
  <c r="RM9" i="4"/>
  <c r="RM3" i="4"/>
  <c r="RN1" i="4"/>
  <c r="QZ57" i="4"/>
  <c r="RM46" i="4" l="1"/>
  <c r="RL49" i="4" s="1"/>
  <c r="RI52" i="4" s="1"/>
  <c r="RM45" i="4"/>
  <c r="RL48" i="4" s="1"/>
  <c r="RI51" i="4" s="1"/>
  <c r="RF54" i="4" s="1"/>
  <c r="RN36" i="4"/>
  <c r="RN35" i="4"/>
  <c r="RN38" i="4"/>
  <c r="RN40" i="4"/>
  <c r="RN39" i="4"/>
  <c r="RN37" i="4"/>
  <c r="RL47" i="4"/>
  <c r="RI50" i="4" s="1"/>
  <c r="RF53" i="4" s="1"/>
  <c r="RE53" i="4"/>
  <c r="RA58" i="4"/>
  <c r="RN34" i="4"/>
  <c r="RN33" i="4"/>
  <c r="RN32" i="4"/>
  <c r="RN31" i="4"/>
  <c r="RN29" i="4"/>
  <c r="RN28" i="4"/>
  <c r="RN30" i="4"/>
  <c r="RN27" i="4"/>
  <c r="RN26" i="4"/>
  <c r="RN25" i="4"/>
  <c r="RN24" i="4"/>
  <c r="RN23" i="4"/>
  <c r="RN22" i="4"/>
  <c r="RN21" i="4"/>
  <c r="RN20" i="4"/>
  <c r="RN19" i="4"/>
  <c r="RN18" i="4"/>
  <c r="RN17" i="4"/>
  <c r="RN16" i="4"/>
  <c r="RN7" i="4"/>
  <c r="RN15" i="4"/>
  <c r="RN5" i="4"/>
  <c r="RN14" i="4"/>
  <c r="RN8" i="4"/>
  <c r="RN13" i="4"/>
  <c r="RN10" i="4"/>
  <c r="RN12" i="4"/>
  <c r="RN6" i="4"/>
  <c r="RN3" i="4"/>
  <c r="RN11" i="4"/>
  <c r="RN9" i="4"/>
  <c r="RN2" i="4"/>
  <c r="RO1" i="4"/>
  <c r="RN4" i="4"/>
  <c r="RE54" i="4"/>
  <c r="RE55" i="4"/>
  <c r="RB58" i="4" s="1"/>
  <c r="RN46" i="4" l="1"/>
  <c r="RM49" i="4" s="1"/>
  <c r="RJ52" i="4" s="1"/>
  <c r="RN44" i="4"/>
  <c r="RM47" i="4" s="1"/>
  <c r="RJ50" i="4" s="1"/>
  <c r="RN45" i="4"/>
  <c r="RM48" i="4" s="1"/>
  <c r="RJ51" i="4" s="1"/>
  <c r="RO36" i="4"/>
  <c r="RO35" i="4"/>
  <c r="RO38" i="4"/>
  <c r="RO39" i="4"/>
  <c r="RO37" i="4"/>
  <c r="RO40" i="4"/>
  <c r="RF55" i="4"/>
  <c r="RB56" i="4"/>
  <c r="RC56" i="4"/>
  <c r="RO33" i="4"/>
  <c r="RO32" i="4"/>
  <c r="RO31" i="4"/>
  <c r="RO29" i="4"/>
  <c r="RO28" i="4"/>
  <c r="RO27" i="4"/>
  <c r="RO30" i="4"/>
  <c r="RO26" i="4"/>
  <c r="RO25" i="4"/>
  <c r="RO24" i="4"/>
  <c r="RO34" i="4"/>
  <c r="RO22" i="4"/>
  <c r="RO23" i="4"/>
  <c r="RO18" i="4"/>
  <c r="RO17" i="4"/>
  <c r="RO16" i="4"/>
  <c r="RO20" i="4"/>
  <c r="RO21" i="4"/>
  <c r="RO19" i="4"/>
  <c r="RO11" i="4"/>
  <c r="RO15" i="4"/>
  <c r="RO14" i="4"/>
  <c r="RO13" i="4"/>
  <c r="RO12" i="4"/>
  <c r="RO5" i="4"/>
  <c r="RO8" i="4"/>
  <c r="RO10" i="4"/>
  <c r="RO6" i="4"/>
  <c r="RO3" i="4"/>
  <c r="RO9" i="4"/>
  <c r="RP1" i="4"/>
  <c r="RO7" i="4"/>
  <c r="RO4" i="4"/>
  <c r="RO2" i="4"/>
  <c r="RB57" i="4"/>
  <c r="RC57" i="4"/>
  <c r="RO44" i="4" l="1"/>
  <c r="RN47" i="4" s="1"/>
  <c r="RK50" i="4" s="1"/>
  <c r="RH53" i="4" s="1"/>
  <c r="RO45" i="4"/>
  <c r="RN48" i="4" s="1"/>
  <c r="RK51" i="4" s="1"/>
  <c r="RO46" i="4"/>
  <c r="RN49" i="4" s="1"/>
  <c r="RK52" i="4" s="1"/>
  <c r="RP36" i="4"/>
  <c r="RP35" i="4"/>
  <c r="RP38" i="4"/>
  <c r="RP39" i="4"/>
  <c r="RP37" i="4"/>
  <c r="RP40" i="4"/>
  <c r="RG53" i="4"/>
  <c r="RG54" i="4"/>
  <c r="RP33" i="4"/>
  <c r="RP32" i="4"/>
  <c r="RP31" i="4"/>
  <c r="RP34" i="4"/>
  <c r="RP29" i="4"/>
  <c r="RP28" i="4"/>
  <c r="RP30" i="4"/>
  <c r="RP27" i="4"/>
  <c r="RP26" i="4"/>
  <c r="RP25" i="4"/>
  <c r="RP24" i="4"/>
  <c r="RP22" i="4"/>
  <c r="RP21" i="4"/>
  <c r="RP20" i="4"/>
  <c r="RP19" i="4"/>
  <c r="RP23" i="4"/>
  <c r="RP18" i="4"/>
  <c r="RP17" i="4"/>
  <c r="RP16" i="4"/>
  <c r="RP11" i="4"/>
  <c r="RP15" i="4"/>
  <c r="RP14" i="4"/>
  <c r="RP13" i="4"/>
  <c r="RP12" i="4"/>
  <c r="RP5" i="4"/>
  <c r="RP8" i="4"/>
  <c r="RP10" i="4"/>
  <c r="RP6" i="4"/>
  <c r="RP3" i="4"/>
  <c r="RP9" i="4"/>
  <c r="RP4" i="4"/>
  <c r="RP7" i="4"/>
  <c r="RQ1" i="4"/>
  <c r="RP2" i="4"/>
  <c r="RG55" i="4"/>
  <c r="RD58" i="4" s="1"/>
  <c r="RC58" i="4"/>
  <c r="RP44" i="4" l="1"/>
  <c r="RO47" i="4" s="1"/>
  <c r="RL50" i="4" s="1"/>
  <c r="RP46" i="4"/>
  <c r="RO49" i="4" s="1"/>
  <c r="RL52" i="4" s="1"/>
  <c r="RI55" i="4" s="1"/>
  <c r="RP45" i="4"/>
  <c r="RO48" i="4" s="1"/>
  <c r="RL51" i="4" s="1"/>
  <c r="RQ35" i="4"/>
  <c r="RQ36" i="4"/>
  <c r="RQ37" i="4"/>
  <c r="RQ39" i="4"/>
  <c r="RQ38" i="4"/>
  <c r="RQ40" i="4"/>
  <c r="RH54" i="4"/>
  <c r="RD57" i="4"/>
  <c r="RQ34" i="4"/>
  <c r="RQ33" i="4"/>
  <c r="RQ32" i="4"/>
  <c r="RQ31" i="4"/>
  <c r="RQ30" i="4"/>
  <c r="RQ29" i="4"/>
  <c r="RQ28" i="4"/>
  <c r="RQ26" i="4"/>
  <c r="RQ25" i="4"/>
  <c r="RQ24" i="4"/>
  <c r="RQ22" i="4"/>
  <c r="RQ21" i="4"/>
  <c r="RQ20" i="4"/>
  <c r="RQ27" i="4"/>
  <c r="RQ23" i="4"/>
  <c r="RQ19" i="4"/>
  <c r="RQ11" i="4"/>
  <c r="RQ15" i="4"/>
  <c r="RQ14" i="4"/>
  <c r="RQ13" i="4"/>
  <c r="RQ12" i="4"/>
  <c r="RQ18" i="4"/>
  <c r="RQ17" i="4"/>
  <c r="RQ16" i="4"/>
  <c r="RQ8" i="4"/>
  <c r="RQ10" i="4"/>
  <c r="RQ6" i="4"/>
  <c r="RQ3" i="4"/>
  <c r="RQ9" i="4"/>
  <c r="RQ4" i="4"/>
  <c r="RQ7" i="4"/>
  <c r="RR1" i="4"/>
  <c r="RQ5" i="4"/>
  <c r="RQ2" i="4"/>
  <c r="RH55" i="4"/>
  <c r="RD56" i="4"/>
  <c r="RE56" i="4"/>
  <c r="RQ44" i="4" l="1"/>
  <c r="RP47" i="4" s="1"/>
  <c r="RM50" i="4" s="1"/>
  <c r="RJ53" i="4" s="1"/>
  <c r="RQ46" i="4"/>
  <c r="RP49" i="4" s="1"/>
  <c r="RM52" i="4" s="1"/>
  <c r="RQ45" i="4"/>
  <c r="RP48" i="4" s="1"/>
  <c r="RM51" i="4" s="1"/>
  <c r="RR35" i="4"/>
  <c r="RR37" i="4"/>
  <c r="RR36" i="4"/>
  <c r="RR39" i="4"/>
  <c r="RR38" i="4"/>
  <c r="RR40" i="4"/>
  <c r="RE58" i="4"/>
  <c r="RI53" i="4"/>
  <c r="RI54" i="4"/>
  <c r="RF58" i="4"/>
  <c r="RR34" i="4"/>
  <c r="RR33" i="4"/>
  <c r="RR32" i="4"/>
  <c r="RR31" i="4"/>
  <c r="RR30" i="4"/>
  <c r="RR29" i="4"/>
  <c r="RR28" i="4"/>
  <c r="RR27" i="4"/>
  <c r="RR26" i="4"/>
  <c r="RR25" i="4"/>
  <c r="RR24" i="4"/>
  <c r="RR23" i="4"/>
  <c r="RR20" i="4"/>
  <c r="RR21" i="4"/>
  <c r="RR22" i="4"/>
  <c r="RR19" i="4"/>
  <c r="RR18" i="4"/>
  <c r="RR17" i="4"/>
  <c r="RR16" i="4"/>
  <c r="RR11" i="4"/>
  <c r="RR15" i="4"/>
  <c r="RR14" i="4"/>
  <c r="RR13" i="4"/>
  <c r="RR12" i="4"/>
  <c r="RR10" i="4"/>
  <c r="RR6" i="4"/>
  <c r="RR3" i="4"/>
  <c r="RR9" i="4"/>
  <c r="RR4" i="4"/>
  <c r="RR7" i="4"/>
  <c r="RR5" i="4"/>
  <c r="RR2" i="4"/>
  <c r="RS1" i="4"/>
  <c r="RR8" i="4"/>
  <c r="RE57" i="4"/>
  <c r="RR44" i="4" l="1"/>
  <c r="RQ47" i="4" s="1"/>
  <c r="RN50" i="4" s="1"/>
  <c r="RR45" i="4"/>
  <c r="RQ48" i="4" s="1"/>
  <c r="RN51" i="4" s="1"/>
  <c r="RK54" i="4" s="1"/>
  <c r="RR46" i="4"/>
  <c r="RQ49" i="4" s="1"/>
  <c r="RN52" i="4" s="1"/>
  <c r="RS35" i="4"/>
  <c r="RS37" i="4"/>
  <c r="RS38" i="4"/>
  <c r="RS36" i="4"/>
  <c r="RS40" i="4"/>
  <c r="RS39" i="4"/>
  <c r="RS34" i="4"/>
  <c r="RS33" i="4"/>
  <c r="RS32" i="4"/>
  <c r="RS31" i="4"/>
  <c r="RS30" i="4"/>
  <c r="RS29" i="4"/>
  <c r="RS28" i="4"/>
  <c r="RS27" i="4"/>
  <c r="RS26" i="4"/>
  <c r="RS25" i="4"/>
  <c r="RS24" i="4"/>
  <c r="RS23" i="4"/>
  <c r="RS22" i="4"/>
  <c r="RS21" i="4"/>
  <c r="RS20" i="4"/>
  <c r="RS19" i="4"/>
  <c r="RS18" i="4"/>
  <c r="RS17" i="4"/>
  <c r="RS16" i="4"/>
  <c r="RS15" i="4"/>
  <c r="RS14" i="4"/>
  <c r="RS13" i="4"/>
  <c r="RS12" i="4"/>
  <c r="RS6" i="4"/>
  <c r="RS3" i="4"/>
  <c r="RS9" i="4"/>
  <c r="RS4" i="4"/>
  <c r="RS7" i="4"/>
  <c r="RS11" i="4"/>
  <c r="RS5" i="4"/>
  <c r="RS8" i="4"/>
  <c r="RT1" i="4"/>
  <c r="RS2" i="4"/>
  <c r="RS10" i="4"/>
  <c r="RJ55" i="4"/>
  <c r="RF57" i="4"/>
  <c r="RJ54" i="4"/>
  <c r="RG57" i="4" s="1"/>
  <c r="RG56" i="4"/>
  <c r="RF56" i="4"/>
  <c r="RS46" i="4" l="1"/>
  <c r="RR49" i="4" s="1"/>
  <c r="RO52" i="4" s="1"/>
  <c r="RL55" i="4" s="1"/>
  <c r="RS44" i="4"/>
  <c r="RR47" i="4" s="1"/>
  <c r="RO50" i="4" s="1"/>
  <c r="RS45" i="4"/>
  <c r="RR48" i="4" s="1"/>
  <c r="RO51" i="4" s="1"/>
  <c r="RT36" i="4"/>
  <c r="RT35" i="4"/>
  <c r="RT38" i="4"/>
  <c r="RT37" i="4"/>
  <c r="RT40" i="4"/>
  <c r="RT39" i="4"/>
  <c r="RH57" i="4"/>
  <c r="RG58" i="4"/>
  <c r="RK53" i="4"/>
  <c r="RT34" i="4"/>
  <c r="RT33" i="4"/>
  <c r="RT32" i="4"/>
  <c r="RT31" i="4"/>
  <c r="RT29" i="4"/>
  <c r="RT28" i="4"/>
  <c r="RT27" i="4"/>
  <c r="RT26" i="4"/>
  <c r="RT25" i="4"/>
  <c r="RT24" i="4"/>
  <c r="RT23" i="4"/>
  <c r="RT30" i="4"/>
  <c r="RT22" i="4"/>
  <c r="RT21" i="4"/>
  <c r="RT20" i="4"/>
  <c r="RT19" i="4"/>
  <c r="RT18" i="4"/>
  <c r="RT17" i="4"/>
  <c r="RT16" i="4"/>
  <c r="RT15" i="4"/>
  <c r="RT14" i="4"/>
  <c r="RT13" i="4"/>
  <c r="RT12" i="4"/>
  <c r="RT10" i="4"/>
  <c r="RT9" i="4"/>
  <c r="RT4" i="4"/>
  <c r="RT7" i="4"/>
  <c r="RT11" i="4"/>
  <c r="RT5" i="4"/>
  <c r="RT2" i="4"/>
  <c r="RT8" i="4"/>
  <c r="RT3" i="4"/>
  <c r="RT6" i="4"/>
  <c r="RU1" i="4"/>
  <c r="RK55" i="4"/>
  <c r="RT46" i="4" l="1"/>
  <c r="RS49" i="4" s="1"/>
  <c r="RP52" i="4" s="1"/>
  <c r="RT44" i="4"/>
  <c r="RS47" i="4" s="1"/>
  <c r="RP50" i="4" s="1"/>
  <c r="RT45" i="4"/>
  <c r="RS48" i="4" s="1"/>
  <c r="RP51" i="4" s="1"/>
  <c r="RU36" i="4"/>
  <c r="RU35" i="4"/>
  <c r="RU37" i="4"/>
  <c r="RU38" i="4"/>
  <c r="RU39" i="4"/>
  <c r="RU40" i="4"/>
  <c r="RI58" i="4"/>
  <c r="RL53" i="4"/>
  <c r="RH56" i="4"/>
  <c r="RL54" i="4"/>
  <c r="RU34" i="4"/>
  <c r="RU33" i="4"/>
  <c r="RU32" i="4"/>
  <c r="RU29" i="4"/>
  <c r="RU28" i="4"/>
  <c r="RU27" i="4"/>
  <c r="RU31" i="4"/>
  <c r="RU30" i="4"/>
  <c r="RU26" i="4"/>
  <c r="RU25" i="4"/>
  <c r="RU24" i="4"/>
  <c r="RU23" i="4"/>
  <c r="RU22" i="4"/>
  <c r="RU21" i="4"/>
  <c r="RU20" i="4"/>
  <c r="RU19" i="4"/>
  <c r="RU18" i="4"/>
  <c r="RU17" i="4"/>
  <c r="RU16" i="4"/>
  <c r="RU15" i="4"/>
  <c r="RU14" i="4"/>
  <c r="RU13" i="4"/>
  <c r="RU12" i="4"/>
  <c r="RU11" i="4"/>
  <c r="RU4" i="4"/>
  <c r="RU7" i="4"/>
  <c r="RU5" i="4"/>
  <c r="RU8" i="4"/>
  <c r="RU10" i="4"/>
  <c r="RU9" i="4"/>
  <c r="RU3" i="4"/>
  <c r="RU2" i="4"/>
  <c r="RV1" i="4"/>
  <c r="RU6" i="4"/>
  <c r="RH58" i="4"/>
  <c r="RU44" i="4" l="1"/>
  <c r="RT47" i="4" s="1"/>
  <c r="RQ50" i="4" s="1"/>
  <c r="RU46" i="4"/>
  <c r="RT49" i="4" s="1"/>
  <c r="RQ52" i="4" s="1"/>
  <c r="RU45" i="4"/>
  <c r="RT48" i="4" s="1"/>
  <c r="RQ51" i="4" s="1"/>
  <c r="RV36" i="4"/>
  <c r="RV35" i="4"/>
  <c r="RV38" i="4"/>
  <c r="RV39" i="4"/>
  <c r="RV37" i="4"/>
  <c r="RV40" i="4"/>
  <c r="RM53" i="4"/>
  <c r="RJ56" i="4" s="1"/>
  <c r="RV34" i="4"/>
  <c r="RV33" i="4"/>
  <c r="RV32" i="4"/>
  <c r="RV31" i="4"/>
  <c r="RV29" i="4"/>
  <c r="RV28" i="4"/>
  <c r="RV30" i="4"/>
  <c r="RV26" i="4"/>
  <c r="RV25" i="4"/>
  <c r="RV24" i="4"/>
  <c r="RV23" i="4"/>
  <c r="RV27" i="4"/>
  <c r="RV22" i="4"/>
  <c r="RV21" i="4"/>
  <c r="RV20" i="4"/>
  <c r="RV19" i="4"/>
  <c r="RV18" i="4"/>
  <c r="RV17" i="4"/>
  <c r="RV16" i="4"/>
  <c r="RV7" i="4"/>
  <c r="RV15" i="4"/>
  <c r="RV14" i="4"/>
  <c r="RV5" i="4"/>
  <c r="RV13" i="4"/>
  <c r="RV11" i="4"/>
  <c r="RV8" i="4"/>
  <c r="RV12" i="4"/>
  <c r="RV10" i="4"/>
  <c r="RV6" i="4"/>
  <c r="RV3" i="4"/>
  <c r="RV9" i="4"/>
  <c r="RV2" i="4"/>
  <c r="RW1" i="4"/>
  <c r="RV4" i="4"/>
  <c r="RM55" i="4"/>
  <c r="RI56" i="4"/>
  <c r="RI57" i="4"/>
  <c r="RM54" i="4"/>
  <c r="RJ57" i="4" s="1"/>
  <c r="RV44" i="4" l="1"/>
  <c r="RU47" i="4" s="1"/>
  <c r="RR50" i="4" s="1"/>
  <c r="RV46" i="4"/>
  <c r="RU49" i="4" s="1"/>
  <c r="RR52" i="4" s="1"/>
  <c r="RV45" i="4"/>
  <c r="RU48" i="4" s="1"/>
  <c r="RR51" i="4" s="1"/>
  <c r="RO54" i="4" s="1"/>
  <c r="RW36" i="4"/>
  <c r="RW35" i="4"/>
  <c r="RW38" i="4"/>
  <c r="RW37" i="4"/>
  <c r="RW39" i="4"/>
  <c r="RW40" i="4"/>
  <c r="RN53" i="4"/>
  <c r="RJ58" i="4"/>
  <c r="RW34" i="4"/>
  <c r="RW33" i="4"/>
  <c r="RW32" i="4"/>
  <c r="RW31" i="4"/>
  <c r="RW29" i="4"/>
  <c r="RW28" i="4"/>
  <c r="RW27" i="4"/>
  <c r="RW30" i="4"/>
  <c r="RW26" i="4"/>
  <c r="RW25" i="4"/>
  <c r="RW24" i="4"/>
  <c r="RW22" i="4"/>
  <c r="RW23" i="4"/>
  <c r="RW20" i="4"/>
  <c r="RW18" i="4"/>
  <c r="RW17" i="4"/>
  <c r="RW16" i="4"/>
  <c r="RW21" i="4"/>
  <c r="RW19" i="4"/>
  <c r="RW11" i="4"/>
  <c r="RW15" i="4"/>
  <c r="RW14" i="4"/>
  <c r="RW13" i="4"/>
  <c r="RW12" i="4"/>
  <c r="RW5" i="4"/>
  <c r="RW8" i="4"/>
  <c r="RW10" i="4"/>
  <c r="RW6" i="4"/>
  <c r="RW3" i="4"/>
  <c r="RW9" i="4"/>
  <c r="RW2" i="4"/>
  <c r="RX1" i="4"/>
  <c r="RW7" i="4"/>
  <c r="RW4" i="4"/>
  <c r="RN54" i="4"/>
  <c r="RN55" i="4"/>
  <c r="RW44" i="4" l="1"/>
  <c r="RV47" i="4" s="1"/>
  <c r="RS50" i="4" s="1"/>
  <c r="RW46" i="4"/>
  <c r="RV49" i="4" s="1"/>
  <c r="RS52" i="4" s="1"/>
  <c r="RW45" i="4"/>
  <c r="RV48" i="4" s="1"/>
  <c r="RS51" i="4" s="1"/>
  <c r="RX36" i="4"/>
  <c r="RX35" i="4"/>
  <c r="RX38" i="4"/>
  <c r="RX37" i="4"/>
  <c r="RX39" i="4"/>
  <c r="RX40" i="4"/>
  <c r="RK58" i="4"/>
  <c r="RX34" i="4"/>
  <c r="RX33" i="4"/>
  <c r="RX32" i="4"/>
  <c r="RX31" i="4"/>
  <c r="RX29" i="4"/>
  <c r="RX28" i="4"/>
  <c r="RX30" i="4"/>
  <c r="RX27" i="4"/>
  <c r="RX22" i="4"/>
  <c r="RX21" i="4"/>
  <c r="RX20" i="4"/>
  <c r="RX19" i="4"/>
  <c r="RX23" i="4"/>
  <c r="RX18" i="4"/>
  <c r="RX17" i="4"/>
  <c r="RX16" i="4"/>
  <c r="RX11" i="4"/>
  <c r="RX26" i="4"/>
  <c r="RX24" i="4"/>
  <c r="RX15" i="4"/>
  <c r="RX14" i="4"/>
  <c r="RX13" i="4"/>
  <c r="RX12" i="4"/>
  <c r="RX5" i="4"/>
  <c r="RX8" i="4"/>
  <c r="RX10" i="4"/>
  <c r="RX6" i="4"/>
  <c r="RX3" i="4"/>
  <c r="RX9" i="4"/>
  <c r="RX4" i="4"/>
  <c r="RX25" i="4"/>
  <c r="RX7" i="4"/>
  <c r="RY1" i="4"/>
  <c r="RX2" i="4"/>
  <c r="RK56" i="4"/>
  <c r="RO55" i="4"/>
  <c r="RL57" i="4"/>
  <c r="RO53" i="4"/>
  <c r="RK57" i="4"/>
  <c r="RX44" i="4" l="1"/>
  <c r="RW47" i="4" s="1"/>
  <c r="RT50" i="4" s="1"/>
  <c r="RX45" i="4"/>
  <c r="RW48" i="4" s="1"/>
  <c r="RT51" i="4" s="1"/>
  <c r="RX46" i="4"/>
  <c r="RW49" i="4" s="1"/>
  <c r="RT52" i="4" s="1"/>
  <c r="RY35" i="4"/>
  <c r="RY36" i="4"/>
  <c r="RY37" i="4"/>
  <c r="RY38" i="4"/>
  <c r="RY39" i="4"/>
  <c r="RY40" i="4"/>
  <c r="RL56" i="4"/>
  <c r="RP54" i="4"/>
  <c r="RP53" i="4"/>
  <c r="RY34" i="4"/>
  <c r="RY33" i="4"/>
  <c r="RY32" i="4"/>
  <c r="RY31" i="4"/>
  <c r="RY30" i="4"/>
  <c r="RY27" i="4"/>
  <c r="RY29" i="4"/>
  <c r="RY28" i="4"/>
  <c r="RY26" i="4"/>
  <c r="RY25" i="4"/>
  <c r="RY24" i="4"/>
  <c r="RY22" i="4"/>
  <c r="RY21" i="4"/>
  <c r="RY20" i="4"/>
  <c r="RY23" i="4"/>
  <c r="RY19" i="4"/>
  <c r="RY11" i="4"/>
  <c r="RY18" i="4"/>
  <c r="RY17" i="4"/>
  <c r="RY16" i="4"/>
  <c r="RY15" i="4"/>
  <c r="RY14" i="4"/>
  <c r="RY13" i="4"/>
  <c r="RY12" i="4"/>
  <c r="RY8" i="4"/>
  <c r="RY10" i="4"/>
  <c r="RY6" i="4"/>
  <c r="RY3" i="4"/>
  <c r="RY9" i="4"/>
  <c r="RY4" i="4"/>
  <c r="RY7" i="4"/>
  <c r="RZ1" i="4"/>
  <c r="RY5" i="4"/>
  <c r="RY2" i="4"/>
  <c r="RP55" i="4"/>
  <c r="RL58" i="4"/>
  <c r="RY46" i="4" l="1"/>
  <c r="RX49" i="4" s="1"/>
  <c r="RU52" i="4" s="1"/>
  <c r="RY44" i="4"/>
  <c r="RX47" i="4" s="1"/>
  <c r="RU50" i="4" s="1"/>
  <c r="RR53" i="4" s="1"/>
  <c r="RY45" i="4"/>
  <c r="RX48" i="4" s="1"/>
  <c r="RU51" i="4" s="1"/>
  <c r="RZ35" i="4"/>
  <c r="RZ37" i="4"/>
  <c r="RZ38" i="4"/>
  <c r="RZ39" i="4"/>
  <c r="RZ36" i="4"/>
  <c r="RZ40" i="4"/>
  <c r="RM57" i="4"/>
  <c r="RM56" i="4"/>
  <c r="RZ34" i="4"/>
  <c r="RZ33" i="4"/>
  <c r="RZ32" i="4"/>
  <c r="RZ31" i="4"/>
  <c r="RZ30" i="4"/>
  <c r="RZ29" i="4"/>
  <c r="RZ28" i="4"/>
  <c r="RZ27" i="4"/>
  <c r="RZ26" i="4"/>
  <c r="RZ25" i="4"/>
  <c r="RZ24" i="4"/>
  <c r="RZ23" i="4"/>
  <c r="RZ19" i="4"/>
  <c r="RZ21" i="4"/>
  <c r="RZ22" i="4"/>
  <c r="RZ18" i="4"/>
  <c r="RZ17" i="4"/>
  <c r="RZ16" i="4"/>
  <c r="RZ11" i="4"/>
  <c r="RZ15" i="4"/>
  <c r="RZ14" i="4"/>
  <c r="RZ13" i="4"/>
  <c r="RZ12" i="4"/>
  <c r="RZ20" i="4"/>
  <c r="RZ10" i="4"/>
  <c r="RZ6" i="4"/>
  <c r="RZ3" i="4"/>
  <c r="RZ9" i="4"/>
  <c r="RZ4" i="4"/>
  <c r="RZ7" i="4"/>
  <c r="RZ5" i="4"/>
  <c r="SA1" i="4"/>
  <c r="RZ2" i="4"/>
  <c r="RZ8" i="4"/>
  <c r="RM58" i="4"/>
  <c r="RQ55" i="4"/>
  <c r="RQ53" i="4"/>
  <c r="RQ54" i="4"/>
  <c r="RZ46" i="4" l="1"/>
  <c r="RY49" i="4" s="1"/>
  <c r="RV52" i="4" s="1"/>
  <c r="RS55" i="4" s="1"/>
  <c r="RZ45" i="4"/>
  <c r="RY48" i="4" s="1"/>
  <c r="RV51" i="4" s="1"/>
  <c r="RZ44" i="4"/>
  <c r="RY47" i="4" s="1"/>
  <c r="RV50" i="4" s="1"/>
  <c r="SA35" i="4"/>
  <c r="SA37" i="4"/>
  <c r="SA36" i="4"/>
  <c r="SA38" i="4"/>
  <c r="SA39" i="4"/>
  <c r="SA40" i="4"/>
  <c r="RO56" i="4"/>
  <c r="RR55" i="4"/>
  <c r="SA34" i="4"/>
  <c r="SA33" i="4"/>
  <c r="SA32" i="4"/>
  <c r="SA31" i="4"/>
  <c r="SA30" i="4"/>
  <c r="SA29" i="4"/>
  <c r="SA28" i="4"/>
  <c r="SA27" i="4"/>
  <c r="SA26" i="4"/>
  <c r="SA25" i="4"/>
  <c r="SA24" i="4"/>
  <c r="SA23" i="4"/>
  <c r="SA22" i="4"/>
  <c r="SA21" i="4"/>
  <c r="SA20" i="4"/>
  <c r="SA18" i="4"/>
  <c r="SA17" i="4"/>
  <c r="SA16" i="4"/>
  <c r="SA19" i="4"/>
  <c r="SA15" i="4"/>
  <c r="SA14" i="4"/>
  <c r="SA13" i="4"/>
  <c r="SA12" i="4"/>
  <c r="SA10" i="4"/>
  <c r="SA6" i="4"/>
  <c r="SA3" i="4"/>
  <c r="SA9" i="4"/>
  <c r="SA11" i="4"/>
  <c r="SA4" i="4"/>
  <c r="SA7" i="4"/>
  <c r="SA5" i="4"/>
  <c r="SA8" i="4"/>
  <c r="SA2" i="4"/>
  <c r="SB1" i="4"/>
  <c r="RN58" i="4"/>
  <c r="RR54" i="4"/>
  <c r="RN57" i="4"/>
  <c r="RN56" i="4"/>
  <c r="SA46" i="4" l="1"/>
  <c r="RZ49" i="4" s="1"/>
  <c r="RW52" i="4" s="1"/>
  <c r="SA45" i="4"/>
  <c r="RZ48" i="4" s="1"/>
  <c r="RW51" i="4" s="1"/>
  <c r="RT54" i="4" s="1"/>
  <c r="SA44" i="4"/>
  <c r="RZ47" i="4" s="1"/>
  <c r="RW50" i="4" s="1"/>
  <c r="SB36" i="4"/>
  <c r="SB35" i="4"/>
  <c r="SB38" i="4"/>
  <c r="SB37" i="4"/>
  <c r="SB39" i="4"/>
  <c r="SB40" i="4"/>
  <c r="RS54" i="4"/>
  <c r="RP57" i="4" s="1"/>
  <c r="RO57" i="4"/>
  <c r="RS53" i="4"/>
  <c r="RO58" i="4"/>
  <c r="RP58" i="4"/>
  <c r="SB34" i="4"/>
  <c r="SB33" i="4"/>
  <c r="SB32" i="4"/>
  <c r="SB31" i="4"/>
  <c r="SB30" i="4"/>
  <c r="SB29" i="4"/>
  <c r="SB28" i="4"/>
  <c r="SB27" i="4"/>
  <c r="SB26" i="4"/>
  <c r="SB25" i="4"/>
  <c r="SB24" i="4"/>
  <c r="SB23" i="4"/>
  <c r="SB22" i="4"/>
  <c r="SB21" i="4"/>
  <c r="SB20" i="4"/>
  <c r="SB18" i="4"/>
  <c r="SB17" i="4"/>
  <c r="SB16" i="4"/>
  <c r="SB19" i="4"/>
  <c r="SB15" i="4"/>
  <c r="SB14" i="4"/>
  <c r="SB13" i="4"/>
  <c r="SB12" i="4"/>
  <c r="SB10" i="4"/>
  <c r="SB9" i="4"/>
  <c r="SB11" i="4"/>
  <c r="SB4" i="4"/>
  <c r="SB7" i="4"/>
  <c r="SB5" i="4"/>
  <c r="SB2" i="4"/>
  <c r="SB8" i="4"/>
  <c r="SB3" i="4"/>
  <c r="SB6" i="4"/>
  <c r="SC1" i="4"/>
  <c r="SB45" i="4" l="1"/>
  <c r="SA48" i="4" s="1"/>
  <c r="RX51" i="4" s="1"/>
  <c r="SB44" i="4"/>
  <c r="SA47" i="4" s="1"/>
  <c r="RX50" i="4" s="1"/>
  <c r="SB46" i="4"/>
  <c r="SA49" i="4" s="1"/>
  <c r="RX52" i="4" s="1"/>
  <c r="SC36" i="4"/>
  <c r="SC35" i="4"/>
  <c r="SC37" i="4"/>
  <c r="SC39" i="4"/>
  <c r="SC38" i="4"/>
  <c r="SC40" i="4"/>
  <c r="RQ57" i="4"/>
  <c r="SC34" i="4"/>
  <c r="SC33" i="4"/>
  <c r="SC32" i="4"/>
  <c r="SC31" i="4"/>
  <c r="SC29" i="4"/>
  <c r="SC28" i="4"/>
  <c r="SC27" i="4"/>
  <c r="SC26" i="4"/>
  <c r="SC25" i="4"/>
  <c r="SC24" i="4"/>
  <c r="SC23" i="4"/>
  <c r="SC30" i="4"/>
  <c r="SC22" i="4"/>
  <c r="SC21" i="4"/>
  <c r="SC20" i="4"/>
  <c r="SC19" i="4"/>
  <c r="SC18" i="4"/>
  <c r="SC17" i="4"/>
  <c r="SC16" i="4"/>
  <c r="SC15" i="4"/>
  <c r="SC14" i="4"/>
  <c r="SC13" i="4"/>
  <c r="SC12" i="4"/>
  <c r="SC11" i="4"/>
  <c r="SC4" i="4"/>
  <c r="SC7" i="4"/>
  <c r="SC44" i="4" s="1"/>
  <c r="SC5" i="4"/>
  <c r="SC8" i="4"/>
  <c r="SC9" i="4"/>
  <c r="SC3" i="4"/>
  <c r="SC10" i="4"/>
  <c r="SC2" i="4"/>
  <c r="SC6" i="4"/>
  <c r="SD1" i="4"/>
  <c r="RT55" i="4"/>
  <c r="RT53" i="4"/>
  <c r="RQ56" i="4" s="1"/>
  <c r="RP56" i="4"/>
  <c r="SC46" i="4" l="1"/>
  <c r="SB49" i="4" s="1"/>
  <c r="RY52" i="4" s="1"/>
  <c r="SC45" i="4"/>
  <c r="SB48" i="4" s="1"/>
  <c r="RY51" i="4" s="1"/>
  <c r="SD36" i="4"/>
  <c r="SD35" i="4"/>
  <c r="SD38" i="4"/>
  <c r="SD37" i="4"/>
  <c r="SD39" i="4"/>
  <c r="SD40" i="4"/>
  <c r="SB47" i="4"/>
  <c r="RY50" i="4" s="1"/>
  <c r="RU55" i="4"/>
  <c r="RR58" i="4" s="1"/>
  <c r="RQ58" i="4"/>
  <c r="RU53" i="4"/>
  <c r="RU54" i="4"/>
  <c r="SD34" i="4"/>
  <c r="SD33" i="4"/>
  <c r="SD32" i="4"/>
  <c r="SD31" i="4"/>
  <c r="SD29" i="4"/>
  <c r="SD28" i="4"/>
  <c r="SD30" i="4"/>
  <c r="SD26" i="4"/>
  <c r="SD25" i="4"/>
  <c r="SD24" i="4"/>
  <c r="SD23" i="4"/>
  <c r="SD27" i="4"/>
  <c r="SD22" i="4"/>
  <c r="SD21" i="4"/>
  <c r="SD20" i="4"/>
  <c r="SD19" i="4"/>
  <c r="SD18" i="4"/>
  <c r="SD17" i="4"/>
  <c r="SD16" i="4"/>
  <c r="SD15" i="4"/>
  <c r="SD11" i="4"/>
  <c r="SD7" i="4"/>
  <c r="SD14" i="4"/>
  <c r="SD13" i="4"/>
  <c r="SD5" i="4"/>
  <c r="SD12" i="4"/>
  <c r="SD8" i="4"/>
  <c r="SD6" i="4"/>
  <c r="SD3" i="4"/>
  <c r="SD10" i="4"/>
  <c r="SD9" i="4"/>
  <c r="SD2" i="4"/>
  <c r="SD4" i="4"/>
  <c r="SE1" i="4"/>
  <c r="SD46" i="4" l="1"/>
  <c r="SC49" i="4" s="1"/>
  <c r="RZ52" i="4" s="1"/>
  <c r="RW55" i="4" s="1"/>
  <c r="SD45" i="4"/>
  <c r="SC48" i="4" s="1"/>
  <c r="RZ51" i="4" s="1"/>
  <c r="SD44" i="4"/>
  <c r="SC47" i="4" s="1"/>
  <c r="RZ50" i="4" s="1"/>
  <c r="RW53" i="4" s="1"/>
  <c r="SE36" i="4"/>
  <c r="SE38" i="4"/>
  <c r="SE35" i="4"/>
  <c r="SE39" i="4"/>
  <c r="SE37" i="4"/>
  <c r="SE40" i="4"/>
  <c r="RV54" i="4"/>
  <c r="RV53" i="4"/>
  <c r="RS56" i="4" s="1"/>
  <c r="RV55" i="4"/>
  <c r="RR57" i="4"/>
  <c r="SE34" i="4"/>
  <c r="SE33" i="4"/>
  <c r="SE32" i="4"/>
  <c r="SE31" i="4"/>
  <c r="SE29" i="4"/>
  <c r="SE28" i="4"/>
  <c r="SE27" i="4"/>
  <c r="SE30" i="4"/>
  <c r="SE26" i="4"/>
  <c r="SE25" i="4"/>
  <c r="SE24" i="4"/>
  <c r="SE22" i="4"/>
  <c r="SE23" i="4"/>
  <c r="SE21" i="4"/>
  <c r="SE18" i="4"/>
  <c r="SE17" i="4"/>
  <c r="SE16" i="4"/>
  <c r="SE19" i="4"/>
  <c r="SE20" i="4"/>
  <c r="SE11" i="4"/>
  <c r="SE15" i="4"/>
  <c r="SE14" i="4"/>
  <c r="SE13" i="4"/>
  <c r="SE12" i="4"/>
  <c r="SE5" i="4"/>
  <c r="SE8" i="4"/>
  <c r="SE6" i="4"/>
  <c r="SE3" i="4"/>
  <c r="SE10" i="4"/>
  <c r="SE9" i="4"/>
  <c r="SE2" i="4"/>
  <c r="SF1" i="4"/>
  <c r="SE4" i="4"/>
  <c r="SE7" i="4"/>
  <c r="RR56" i="4"/>
  <c r="SE45" i="4" l="1"/>
  <c r="SD48" i="4" s="1"/>
  <c r="SA51" i="4" s="1"/>
  <c r="SE46" i="4"/>
  <c r="SD49" i="4" s="1"/>
  <c r="SA52" i="4" s="1"/>
  <c r="SE44" i="4"/>
  <c r="SD47" i="4" s="1"/>
  <c r="SA50" i="4" s="1"/>
  <c r="SF36" i="4"/>
  <c r="SF38" i="4"/>
  <c r="SF35" i="4"/>
  <c r="SF37" i="4"/>
  <c r="SF39" i="4"/>
  <c r="SF40" i="4"/>
  <c r="RT58" i="4"/>
  <c r="RS58" i="4"/>
  <c r="RT56" i="4"/>
  <c r="RS57" i="4"/>
  <c r="SF34" i="4"/>
  <c r="SF33" i="4"/>
  <c r="SF32" i="4"/>
  <c r="SF31" i="4"/>
  <c r="SF29" i="4"/>
  <c r="SF28" i="4"/>
  <c r="SF30" i="4"/>
  <c r="SF27" i="4"/>
  <c r="SF22" i="4"/>
  <c r="SF21" i="4"/>
  <c r="SF20" i="4"/>
  <c r="SF19" i="4"/>
  <c r="SF26" i="4"/>
  <c r="SF25" i="4"/>
  <c r="SF24" i="4"/>
  <c r="SF23" i="4"/>
  <c r="SF18" i="4"/>
  <c r="SF17" i="4"/>
  <c r="SF16" i="4"/>
  <c r="SF11" i="4"/>
  <c r="SF15" i="4"/>
  <c r="SF14" i="4"/>
  <c r="SF13" i="4"/>
  <c r="SF12" i="4"/>
  <c r="SF5" i="4"/>
  <c r="SF8" i="4"/>
  <c r="SF6" i="4"/>
  <c r="SF3" i="4"/>
  <c r="SF10" i="4"/>
  <c r="SF9" i="4"/>
  <c r="SF4" i="4"/>
  <c r="SF7" i="4"/>
  <c r="SF44" i="4" s="1"/>
  <c r="SF2" i="4"/>
  <c r="SG1" i="4"/>
  <c r="RW54" i="4"/>
  <c r="SF46" i="4" l="1"/>
  <c r="SE49" i="4" s="1"/>
  <c r="SB52" i="4" s="1"/>
  <c r="RY55" i="4" s="1"/>
  <c r="SF45" i="4"/>
  <c r="SE48" i="4" s="1"/>
  <c r="SB51" i="4" s="1"/>
  <c r="RY54" i="4" s="1"/>
  <c r="SG35" i="4"/>
  <c r="SG36" i="4"/>
  <c r="SG37" i="4"/>
  <c r="SG39" i="4"/>
  <c r="SG38" i="4"/>
  <c r="SG40" i="4"/>
  <c r="SE47" i="4"/>
  <c r="SB50" i="4" s="1"/>
  <c r="RX54" i="4"/>
  <c r="RX53" i="4"/>
  <c r="RX55" i="4"/>
  <c r="SG34" i="4"/>
  <c r="SG33" i="4"/>
  <c r="SG32" i="4"/>
  <c r="SG31" i="4"/>
  <c r="SG30" i="4"/>
  <c r="SG27" i="4"/>
  <c r="SG29" i="4"/>
  <c r="SG28" i="4"/>
  <c r="SG26" i="4"/>
  <c r="SG25" i="4"/>
  <c r="SG24" i="4"/>
  <c r="SG22" i="4"/>
  <c r="SG21" i="4"/>
  <c r="SG20" i="4"/>
  <c r="SG23" i="4"/>
  <c r="SG19" i="4"/>
  <c r="SG11" i="4"/>
  <c r="SG18" i="4"/>
  <c r="SG17" i="4"/>
  <c r="SG16" i="4"/>
  <c r="SG15" i="4"/>
  <c r="SG14" i="4"/>
  <c r="SG13" i="4"/>
  <c r="SG12" i="4"/>
  <c r="SG8" i="4"/>
  <c r="SG6" i="4"/>
  <c r="SG3" i="4"/>
  <c r="SG10" i="4"/>
  <c r="SG9" i="4"/>
  <c r="SG4" i="4"/>
  <c r="SG7" i="4"/>
  <c r="SH1" i="4"/>
  <c r="SG5" i="4"/>
  <c r="SG2" i="4"/>
  <c r="RT57" i="4"/>
  <c r="SG44" i="4" l="1"/>
  <c r="SF47" i="4" s="1"/>
  <c r="SC50" i="4" s="1"/>
  <c r="SG46" i="4"/>
  <c r="SF49" i="4" s="1"/>
  <c r="SC52" i="4" s="1"/>
  <c r="SG45" i="4"/>
  <c r="SF48" i="4" s="1"/>
  <c r="SC51" i="4" s="1"/>
  <c r="SH35" i="4"/>
  <c r="SH36" i="4"/>
  <c r="SH37" i="4"/>
  <c r="SH39" i="4"/>
  <c r="SH40" i="4"/>
  <c r="SH38" i="4"/>
  <c r="RY53" i="4"/>
  <c r="RU56" i="4"/>
  <c r="RV58" i="4"/>
  <c r="SH34" i="4"/>
  <c r="SH33" i="4"/>
  <c r="SH32" i="4"/>
  <c r="SH31" i="4"/>
  <c r="SH30" i="4"/>
  <c r="SH29" i="4"/>
  <c r="SH28" i="4"/>
  <c r="SH27" i="4"/>
  <c r="SH26" i="4"/>
  <c r="SH25" i="4"/>
  <c r="SH24" i="4"/>
  <c r="SH23" i="4"/>
  <c r="SH22" i="4"/>
  <c r="SH19" i="4"/>
  <c r="SH20" i="4"/>
  <c r="SH18" i="4"/>
  <c r="SH17" i="4"/>
  <c r="SH16" i="4"/>
  <c r="SH21" i="4"/>
  <c r="SH11" i="4"/>
  <c r="SH15" i="4"/>
  <c r="SH14" i="4"/>
  <c r="SH13" i="4"/>
  <c r="SH12" i="4"/>
  <c r="SH6" i="4"/>
  <c r="SH3" i="4"/>
  <c r="SH10" i="4"/>
  <c r="SH9" i="4"/>
  <c r="SH4" i="4"/>
  <c r="SH7" i="4"/>
  <c r="SH2" i="4"/>
  <c r="SH8" i="4"/>
  <c r="SH5" i="4"/>
  <c r="SI1" i="4"/>
  <c r="RV57" i="4"/>
  <c r="RU58" i="4"/>
  <c r="RU57" i="4"/>
  <c r="SH46" i="4" l="1"/>
  <c r="SG49" i="4" s="1"/>
  <c r="SD52" i="4" s="1"/>
  <c r="SA55" i="4" s="1"/>
  <c r="SH45" i="4"/>
  <c r="SG48" i="4" s="1"/>
  <c r="SD51" i="4" s="1"/>
  <c r="SH44" i="4"/>
  <c r="SG47" i="4" s="1"/>
  <c r="SD50" i="4" s="1"/>
  <c r="SA53" i="4" s="1"/>
  <c r="SI35" i="4"/>
  <c r="SI36" i="4"/>
  <c r="SI37" i="4"/>
  <c r="SI38" i="4"/>
  <c r="SI40" i="4"/>
  <c r="SI39" i="4"/>
  <c r="RZ54" i="4"/>
  <c r="SI34" i="4"/>
  <c r="SI33" i="4"/>
  <c r="SI32" i="4"/>
  <c r="SI31" i="4"/>
  <c r="SI30" i="4"/>
  <c r="SI29" i="4"/>
  <c r="SI28" i="4"/>
  <c r="SI27" i="4"/>
  <c r="SI26" i="4"/>
  <c r="SI25" i="4"/>
  <c r="SI24" i="4"/>
  <c r="SI23" i="4"/>
  <c r="SI22" i="4"/>
  <c r="SI21" i="4"/>
  <c r="SI20" i="4"/>
  <c r="SI19" i="4"/>
  <c r="SI18" i="4"/>
  <c r="SI17" i="4"/>
  <c r="SI16" i="4"/>
  <c r="SI15" i="4"/>
  <c r="SI14" i="4"/>
  <c r="SI13" i="4"/>
  <c r="SI12" i="4"/>
  <c r="SI6" i="4"/>
  <c r="SI3" i="4"/>
  <c r="SI10" i="4"/>
  <c r="SI9" i="4"/>
  <c r="SI4" i="4"/>
  <c r="SI7" i="4"/>
  <c r="SI5" i="4"/>
  <c r="SI8" i="4"/>
  <c r="SJ1" i="4"/>
  <c r="SI11" i="4"/>
  <c r="SI2" i="4"/>
  <c r="RZ53" i="4"/>
  <c r="RZ55" i="4"/>
  <c r="RV56" i="4"/>
  <c r="SI46" i="4" l="1"/>
  <c r="SH49" i="4" s="1"/>
  <c r="SE52" i="4" s="1"/>
  <c r="SI45" i="4"/>
  <c r="SH48" i="4" s="1"/>
  <c r="SE51" i="4" s="1"/>
  <c r="SB54" i="4" s="1"/>
  <c r="SI44" i="4"/>
  <c r="SH47" i="4" s="1"/>
  <c r="SE50" i="4" s="1"/>
  <c r="SB53" i="4" s="1"/>
  <c r="RY56" i="4" s="1"/>
  <c r="SJ36" i="4"/>
  <c r="SJ35" i="4"/>
  <c r="SJ37" i="4"/>
  <c r="SJ38" i="4"/>
  <c r="SJ40" i="4"/>
  <c r="SJ39" i="4"/>
  <c r="SJ34" i="4"/>
  <c r="SJ33" i="4"/>
  <c r="SJ32" i="4"/>
  <c r="SJ31" i="4"/>
  <c r="SJ30" i="4"/>
  <c r="SJ29" i="4"/>
  <c r="SJ28" i="4"/>
  <c r="SJ27" i="4"/>
  <c r="SJ26" i="4"/>
  <c r="SJ25" i="4"/>
  <c r="SJ24" i="4"/>
  <c r="SJ23" i="4"/>
  <c r="SJ22" i="4"/>
  <c r="SJ21" i="4"/>
  <c r="SJ20" i="4"/>
  <c r="SJ19" i="4"/>
  <c r="SJ18" i="4"/>
  <c r="SJ17" i="4"/>
  <c r="SJ16" i="4"/>
  <c r="SJ15" i="4"/>
  <c r="SJ14" i="4"/>
  <c r="SJ13" i="4"/>
  <c r="SJ12" i="4"/>
  <c r="SJ10" i="4"/>
  <c r="SJ9" i="4"/>
  <c r="SJ4" i="4"/>
  <c r="SJ7" i="4"/>
  <c r="SJ5" i="4"/>
  <c r="SJ2" i="4"/>
  <c r="SJ8" i="4"/>
  <c r="SJ11" i="4"/>
  <c r="SJ6" i="4"/>
  <c r="SK1" i="4"/>
  <c r="SJ3" i="4"/>
  <c r="RW56" i="4"/>
  <c r="RW57" i="4"/>
  <c r="SA54" i="4"/>
  <c r="RW58" i="4"/>
  <c r="RX58" i="4"/>
  <c r="RX56" i="4"/>
  <c r="SJ44" i="4" l="1"/>
  <c r="SI47" i="4" s="1"/>
  <c r="SF50" i="4" s="1"/>
  <c r="SJ46" i="4"/>
  <c r="SI49" i="4" s="1"/>
  <c r="SF52" i="4" s="1"/>
  <c r="SJ45" i="4"/>
  <c r="SI48" i="4" s="1"/>
  <c r="SF51" i="4" s="1"/>
  <c r="SK36" i="4"/>
  <c r="SK35" i="4"/>
  <c r="SK37" i="4"/>
  <c r="SK38" i="4"/>
  <c r="SK39" i="4"/>
  <c r="SK40" i="4"/>
  <c r="RY57" i="4"/>
  <c r="SK34" i="4"/>
  <c r="SK33" i="4"/>
  <c r="SK30" i="4"/>
  <c r="SK32" i="4"/>
  <c r="SK31" i="4"/>
  <c r="SK29" i="4"/>
  <c r="SK28" i="4"/>
  <c r="SK27" i="4"/>
  <c r="SK26" i="4"/>
  <c r="SK25" i="4"/>
  <c r="SK24" i="4"/>
  <c r="SK23" i="4"/>
  <c r="SK22" i="4"/>
  <c r="SK21" i="4"/>
  <c r="SK20" i="4"/>
  <c r="SK19" i="4"/>
  <c r="SK18" i="4"/>
  <c r="SK17" i="4"/>
  <c r="SK16" i="4"/>
  <c r="SK15" i="4"/>
  <c r="SK14" i="4"/>
  <c r="SK13" i="4"/>
  <c r="SK12" i="4"/>
  <c r="SK11" i="4"/>
  <c r="SK10" i="4"/>
  <c r="SK4" i="4"/>
  <c r="SK7" i="4"/>
  <c r="SK5" i="4"/>
  <c r="SK8" i="4"/>
  <c r="SK6" i="4"/>
  <c r="SK9" i="4"/>
  <c r="SL1" i="4"/>
  <c r="SK2" i="4"/>
  <c r="SK3" i="4"/>
  <c r="SB55" i="4"/>
  <c r="RX57" i="4"/>
  <c r="SK44" i="4" l="1"/>
  <c r="SJ47" i="4" s="1"/>
  <c r="SG50" i="4" s="1"/>
  <c r="SD53" i="4" s="1"/>
  <c r="SK46" i="4"/>
  <c r="SJ49" i="4" s="1"/>
  <c r="SG52" i="4" s="1"/>
  <c r="SK45" i="4"/>
  <c r="SJ48" i="4" s="1"/>
  <c r="SG51" i="4" s="1"/>
  <c r="SL36" i="4"/>
  <c r="SL35" i="4"/>
  <c r="SL38" i="4"/>
  <c r="SL39" i="4"/>
  <c r="SL37" i="4"/>
  <c r="SL40" i="4"/>
  <c r="RY58" i="4"/>
  <c r="SC55" i="4"/>
  <c r="SC54" i="4"/>
  <c r="SC53" i="4"/>
  <c r="SL34" i="4"/>
  <c r="SL33" i="4"/>
  <c r="SL32" i="4"/>
  <c r="SL31" i="4"/>
  <c r="SL29" i="4"/>
  <c r="SL28" i="4"/>
  <c r="SL27" i="4"/>
  <c r="SL26" i="4"/>
  <c r="SL25" i="4"/>
  <c r="SL24" i="4"/>
  <c r="SL23" i="4"/>
  <c r="SL30" i="4"/>
  <c r="SL22" i="4"/>
  <c r="SL21" i="4"/>
  <c r="SL20" i="4"/>
  <c r="SL19" i="4"/>
  <c r="SL18" i="4"/>
  <c r="SL17" i="4"/>
  <c r="SL16" i="4"/>
  <c r="SL14" i="4"/>
  <c r="SL7" i="4"/>
  <c r="SL13" i="4"/>
  <c r="SL12" i="4"/>
  <c r="SL5" i="4"/>
  <c r="SL8" i="4"/>
  <c r="SL11" i="4"/>
  <c r="SL6" i="4"/>
  <c r="SL3" i="4"/>
  <c r="SL9" i="4"/>
  <c r="SL4" i="4"/>
  <c r="SL10" i="4"/>
  <c r="SL2" i="4"/>
  <c r="SM1" i="4"/>
  <c r="SL15" i="4"/>
  <c r="SL46" i="4" l="1"/>
  <c r="SK49" i="4" s="1"/>
  <c r="SH52" i="4" s="1"/>
  <c r="SL44" i="4"/>
  <c r="SK47" i="4" s="1"/>
  <c r="SH50" i="4" s="1"/>
  <c r="SE53" i="4" s="1"/>
  <c r="SL45" i="4"/>
  <c r="SK48" i="4" s="1"/>
  <c r="SH51" i="4" s="1"/>
  <c r="SE54" i="4" s="1"/>
  <c r="SM36" i="4"/>
  <c r="SM35" i="4"/>
  <c r="SM37" i="4"/>
  <c r="SM39" i="4"/>
  <c r="SM40" i="4"/>
  <c r="SM38" i="4"/>
  <c r="SM34" i="4"/>
  <c r="SM33" i="4"/>
  <c r="SM32" i="4"/>
  <c r="SM31" i="4"/>
  <c r="SM29" i="4"/>
  <c r="SM28" i="4"/>
  <c r="SM27" i="4"/>
  <c r="SM30" i="4"/>
  <c r="SM26" i="4"/>
  <c r="SM25" i="4"/>
  <c r="SM24" i="4"/>
  <c r="SM22" i="4"/>
  <c r="SM23" i="4"/>
  <c r="SM19" i="4"/>
  <c r="SM18" i="4"/>
  <c r="SM17" i="4"/>
  <c r="SM16" i="4"/>
  <c r="SM20" i="4"/>
  <c r="SM21" i="4"/>
  <c r="SM11" i="4"/>
  <c r="SM15" i="4"/>
  <c r="SM14" i="4"/>
  <c r="SM13" i="4"/>
  <c r="SM12" i="4"/>
  <c r="SM5" i="4"/>
  <c r="SM8" i="4"/>
  <c r="SM6" i="4"/>
  <c r="SM3" i="4"/>
  <c r="SM9" i="4"/>
  <c r="SM10" i="4"/>
  <c r="SM4" i="4"/>
  <c r="SN1" i="4"/>
  <c r="SM7" i="4"/>
  <c r="SM2" i="4"/>
  <c r="SD54" i="4"/>
  <c r="SA57" i="4" s="1"/>
  <c r="RZ56" i="4"/>
  <c r="SA56" i="4"/>
  <c r="SD55" i="4"/>
  <c r="RZ57" i="4"/>
  <c r="RZ58" i="4"/>
  <c r="SM45" i="4" l="1"/>
  <c r="SL48" i="4" s="1"/>
  <c r="SI51" i="4" s="1"/>
  <c r="SF54" i="4" s="1"/>
  <c r="SM44" i="4"/>
  <c r="SL47" i="4" s="1"/>
  <c r="SI50" i="4" s="1"/>
  <c r="SM46" i="4"/>
  <c r="SL49" i="4" s="1"/>
  <c r="SI52" i="4" s="1"/>
  <c r="SF55" i="4" s="1"/>
  <c r="SN36" i="4"/>
  <c r="SN38" i="4"/>
  <c r="SN35" i="4"/>
  <c r="SN39" i="4"/>
  <c r="SN37" i="4"/>
  <c r="SN40" i="4"/>
  <c r="SE55" i="4"/>
  <c r="SN34" i="4"/>
  <c r="SN33" i="4"/>
  <c r="SN32" i="4"/>
  <c r="SN31" i="4"/>
  <c r="SN29" i="4"/>
  <c r="SN28" i="4"/>
  <c r="SN30" i="4"/>
  <c r="SN27" i="4"/>
  <c r="SN22" i="4"/>
  <c r="SN21" i="4"/>
  <c r="SN20" i="4"/>
  <c r="SN45" i="4" s="1"/>
  <c r="SN19" i="4"/>
  <c r="SN23" i="4"/>
  <c r="SN26" i="4"/>
  <c r="SN25" i="4"/>
  <c r="SN24" i="4"/>
  <c r="SN18" i="4"/>
  <c r="SN17" i="4"/>
  <c r="SN16" i="4"/>
  <c r="SN11" i="4"/>
  <c r="SN15" i="4"/>
  <c r="SN14" i="4"/>
  <c r="SN13" i="4"/>
  <c r="SN12" i="4"/>
  <c r="SN5" i="4"/>
  <c r="SN8" i="4"/>
  <c r="SN6" i="4"/>
  <c r="SN3" i="4"/>
  <c r="SN9" i="4"/>
  <c r="SN10" i="4"/>
  <c r="SN4" i="4"/>
  <c r="SN7" i="4"/>
  <c r="SN2" i="4"/>
  <c r="SO1" i="4"/>
  <c r="SB57" i="4"/>
  <c r="SA58" i="4"/>
  <c r="SB56" i="4"/>
  <c r="SN44" i="4" l="1"/>
  <c r="SM47" i="4" s="1"/>
  <c r="SJ50" i="4" s="1"/>
  <c r="SN46" i="4"/>
  <c r="SM49" i="4" s="1"/>
  <c r="SJ52" i="4" s="1"/>
  <c r="SO35" i="4"/>
  <c r="SO36" i="4"/>
  <c r="SO37" i="4"/>
  <c r="SO39" i="4"/>
  <c r="SO40" i="4"/>
  <c r="SO38" i="4"/>
  <c r="SM48" i="4"/>
  <c r="SJ51" i="4" s="1"/>
  <c r="SG54" i="4" s="1"/>
  <c r="SC57" i="4"/>
  <c r="SB58" i="4"/>
  <c r="SF53" i="4"/>
  <c r="SO34" i="4"/>
  <c r="SO33" i="4"/>
  <c r="SO32" i="4"/>
  <c r="SO31" i="4"/>
  <c r="SO30" i="4"/>
  <c r="SO29" i="4"/>
  <c r="SO28" i="4"/>
  <c r="SO27" i="4"/>
  <c r="SO26" i="4"/>
  <c r="SO25" i="4"/>
  <c r="SO24" i="4"/>
  <c r="SO22" i="4"/>
  <c r="SO21" i="4"/>
  <c r="SO20" i="4"/>
  <c r="SO23" i="4"/>
  <c r="SO19" i="4"/>
  <c r="SO11" i="4"/>
  <c r="SO18" i="4"/>
  <c r="SO17" i="4"/>
  <c r="SO16" i="4"/>
  <c r="SO15" i="4"/>
  <c r="SO14" i="4"/>
  <c r="SO13" i="4"/>
  <c r="SO12" i="4"/>
  <c r="SO8" i="4"/>
  <c r="SO6" i="4"/>
  <c r="SO3" i="4"/>
  <c r="SO9" i="4"/>
  <c r="SO10" i="4"/>
  <c r="SO4" i="4"/>
  <c r="SO7" i="4"/>
  <c r="SO2" i="4"/>
  <c r="SP1" i="4"/>
  <c r="SO5" i="4"/>
  <c r="SC58" i="4"/>
  <c r="SO46" i="4" l="1"/>
  <c r="SN49" i="4" s="1"/>
  <c r="SK52" i="4" s="1"/>
  <c r="SH55" i="4" s="1"/>
  <c r="SO44" i="4"/>
  <c r="SN47" i="4" s="1"/>
  <c r="SK50" i="4" s="1"/>
  <c r="SH53" i="4" s="1"/>
  <c r="SO45" i="4"/>
  <c r="SN48" i="4" s="1"/>
  <c r="SK51" i="4" s="1"/>
  <c r="SP35" i="4"/>
  <c r="SP37" i="4"/>
  <c r="SP36" i="4"/>
  <c r="SP39" i="4"/>
  <c r="SP38" i="4"/>
  <c r="SP40" i="4"/>
  <c r="SD57" i="4"/>
  <c r="SC56" i="4"/>
  <c r="SG53" i="4"/>
  <c r="SG55" i="4"/>
  <c r="SP34" i="4"/>
  <c r="SP33" i="4"/>
  <c r="SP32" i="4"/>
  <c r="SP31" i="4"/>
  <c r="SP30" i="4"/>
  <c r="SP29" i="4"/>
  <c r="SP28" i="4"/>
  <c r="SP27" i="4"/>
  <c r="SP26" i="4"/>
  <c r="SP25" i="4"/>
  <c r="SP24" i="4"/>
  <c r="SP23" i="4"/>
  <c r="SP22" i="4"/>
  <c r="SP20" i="4"/>
  <c r="SP21" i="4"/>
  <c r="SP19" i="4"/>
  <c r="SP18" i="4"/>
  <c r="SP17" i="4"/>
  <c r="SP16" i="4"/>
  <c r="SP11" i="4"/>
  <c r="SP15" i="4"/>
  <c r="SP14" i="4"/>
  <c r="SP13" i="4"/>
  <c r="SP12" i="4"/>
  <c r="SP6" i="4"/>
  <c r="SP3" i="4"/>
  <c r="SP9" i="4"/>
  <c r="SP10" i="4"/>
  <c r="SP4" i="4"/>
  <c r="SP7" i="4"/>
  <c r="SP2" i="4"/>
  <c r="SP8" i="4"/>
  <c r="SP5" i="4"/>
  <c r="SQ1" i="4"/>
  <c r="SP46" i="4" l="1"/>
  <c r="SO49" i="4" s="1"/>
  <c r="SL52" i="4" s="1"/>
  <c r="SP44" i="4"/>
  <c r="SO47" i="4" s="1"/>
  <c r="SL50" i="4" s="1"/>
  <c r="SP45" i="4"/>
  <c r="SO48" i="4" s="1"/>
  <c r="SL51" i="4" s="1"/>
  <c r="SI54" i="4" s="1"/>
  <c r="SQ35" i="4"/>
  <c r="SQ37" i="4"/>
  <c r="SQ36" i="4"/>
  <c r="SQ40" i="4"/>
  <c r="SQ39" i="4"/>
  <c r="SQ38" i="4"/>
  <c r="SE56" i="4"/>
  <c r="SH54" i="4"/>
  <c r="SE58" i="4"/>
  <c r="SD56" i="4"/>
  <c r="SQ34" i="4"/>
  <c r="SQ33" i="4"/>
  <c r="SQ32" i="4"/>
  <c r="SQ31" i="4"/>
  <c r="SQ30" i="4"/>
  <c r="SQ29" i="4"/>
  <c r="SQ28" i="4"/>
  <c r="SQ27" i="4"/>
  <c r="SQ26" i="4"/>
  <c r="SQ25" i="4"/>
  <c r="SQ24" i="4"/>
  <c r="SQ23" i="4"/>
  <c r="SQ22" i="4"/>
  <c r="SQ21" i="4"/>
  <c r="SQ20" i="4"/>
  <c r="SQ19" i="4"/>
  <c r="SQ18" i="4"/>
  <c r="SQ17" i="4"/>
  <c r="SQ16" i="4"/>
  <c r="SQ15" i="4"/>
  <c r="SQ14" i="4"/>
  <c r="SQ13" i="4"/>
  <c r="SQ12" i="4"/>
  <c r="SQ6" i="4"/>
  <c r="SQ3" i="4"/>
  <c r="SQ9" i="4"/>
  <c r="SQ10" i="4"/>
  <c r="SQ4" i="4"/>
  <c r="SQ7" i="4"/>
  <c r="SQ11" i="4"/>
  <c r="SQ5" i="4"/>
  <c r="SQ8" i="4"/>
  <c r="SR1" i="4"/>
  <c r="SQ2" i="4"/>
  <c r="SD58" i="4"/>
  <c r="SQ46" i="4" l="1"/>
  <c r="SP49" i="4" s="1"/>
  <c r="SM52" i="4" s="1"/>
  <c r="SJ55" i="4" s="1"/>
  <c r="SQ44" i="4"/>
  <c r="SP47" i="4" s="1"/>
  <c r="SM50" i="4" s="1"/>
  <c r="SQ45" i="4"/>
  <c r="SP48" i="4" s="1"/>
  <c r="SM51" i="4" s="1"/>
  <c r="SR36" i="4"/>
  <c r="SR35" i="4"/>
  <c r="SR37" i="4"/>
  <c r="SR38" i="4"/>
  <c r="SR40" i="4"/>
  <c r="SR39" i="4"/>
  <c r="SE57" i="4"/>
  <c r="SF57" i="4"/>
  <c r="SI53" i="4"/>
  <c r="SR34" i="4"/>
  <c r="SR33" i="4"/>
  <c r="SR32" i="4"/>
  <c r="SR31" i="4"/>
  <c r="SR30" i="4"/>
  <c r="SR29" i="4"/>
  <c r="SR28" i="4"/>
  <c r="SR27" i="4"/>
  <c r="SR26" i="4"/>
  <c r="SR25" i="4"/>
  <c r="SR24" i="4"/>
  <c r="SR23" i="4"/>
  <c r="SR22" i="4"/>
  <c r="SR21" i="4"/>
  <c r="SR20" i="4"/>
  <c r="SR19" i="4"/>
  <c r="SR18" i="4"/>
  <c r="SR17" i="4"/>
  <c r="SR16" i="4"/>
  <c r="SR15" i="4"/>
  <c r="SR14" i="4"/>
  <c r="SR13" i="4"/>
  <c r="SR12" i="4"/>
  <c r="SR10" i="4"/>
  <c r="SR9" i="4"/>
  <c r="SR4" i="4"/>
  <c r="SR7" i="4"/>
  <c r="SR11" i="4"/>
  <c r="SR5" i="4"/>
  <c r="SR2" i="4"/>
  <c r="SR8" i="4"/>
  <c r="SR6" i="4"/>
  <c r="SR3" i="4"/>
  <c r="SS1" i="4"/>
  <c r="SI55" i="4"/>
  <c r="SR46" i="4" l="1"/>
  <c r="SQ49" i="4" s="1"/>
  <c r="SN52" i="4" s="1"/>
  <c r="SR44" i="4"/>
  <c r="SQ47" i="4" s="1"/>
  <c r="SN50" i="4" s="1"/>
  <c r="SR45" i="4"/>
  <c r="SQ48" i="4" s="1"/>
  <c r="SN51" i="4" s="1"/>
  <c r="SK54" i="4" s="1"/>
  <c r="SS36" i="4"/>
  <c r="SS35" i="4"/>
  <c r="SS37" i="4"/>
  <c r="SS38" i="4"/>
  <c r="SS39" i="4"/>
  <c r="SS40" i="4"/>
  <c r="SF56" i="4"/>
  <c r="SJ54" i="4"/>
  <c r="SS34" i="4"/>
  <c r="SS32" i="4"/>
  <c r="SS31" i="4"/>
  <c r="SS30" i="4"/>
  <c r="SS29" i="4"/>
  <c r="SS28" i="4"/>
  <c r="SS27" i="4"/>
  <c r="SS26" i="4"/>
  <c r="SS25" i="4"/>
  <c r="SS24" i="4"/>
  <c r="SS23" i="4"/>
  <c r="SS33" i="4"/>
  <c r="SS22" i="4"/>
  <c r="SS21" i="4"/>
  <c r="SS20" i="4"/>
  <c r="SS19" i="4"/>
  <c r="SS18" i="4"/>
  <c r="SS17" i="4"/>
  <c r="SS16" i="4"/>
  <c r="SS15" i="4"/>
  <c r="SS14" i="4"/>
  <c r="SS13" i="4"/>
  <c r="SS12" i="4"/>
  <c r="SS11" i="4"/>
  <c r="SS4" i="4"/>
  <c r="SS10" i="4"/>
  <c r="SS7" i="4"/>
  <c r="SS5" i="4"/>
  <c r="SS8" i="4"/>
  <c r="SS6" i="4"/>
  <c r="SS3" i="4"/>
  <c r="ST1" i="4"/>
  <c r="SS2" i="4"/>
  <c r="SS9" i="4"/>
  <c r="SJ53" i="4"/>
  <c r="SF58" i="4"/>
  <c r="SG58" i="4"/>
  <c r="SS44" i="4" l="1"/>
  <c r="SR47" i="4" s="1"/>
  <c r="SO50" i="4" s="1"/>
  <c r="SL53" i="4" s="1"/>
  <c r="SS46" i="4"/>
  <c r="SR49" i="4" s="1"/>
  <c r="SO52" i="4" s="1"/>
  <c r="SL55" i="4" s="1"/>
  <c r="SS45" i="4"/>
  <c r="SR48" i="4" s="1"/>
  <c r="SO51" i="4" s="1"/>
  <c r="ST36" i="4"/>
  <c r="ST35" i="4"/>
  <c r="ST37" i="4"/>
  <c r="ST38" i="4"/>
  <c r="ST40" i="4"/>
  <c r="ST39" i="4"/>
  <c r="SG57" i="4"/>
  <c r="SH57" i="4"/>
  <c r="SK55" i="4"/>
  <c r="SG56" i="4"/>
  <c r="ST34" i="4"/>
  <c r="ST33" i="4"/>
  <c r="ST32" i="4"/>
  <c r="ST31" i="4"/>
  <c r="ST30" i="4"/>
  <c r="ST29" i="4"/>
  <c r="ST28" i="4"/>
  <c r="ST26" i="4"/>
  <c r="ST25" i="4"/>
  <c r="ST24" i="4"/>
  <c r="ST23" i="4"/>
  <c r="ST27" i="4"/>
  <c r="ST22" i="4"/>
  <c r="ST21" i="4"/>
  <c r="ST20" i="4"/>
  <c r="ST19" i="4"/>
  <c r="ST18" i="4"/>
  <c r="ST17" i="4"/>
  <c r="ST16" i="4"/>
  <c r="ST13" i="4"/>
  <c r="ST10" i="4"/>
  <c r="ST7" i="4"/>
  <c r="ST12" i="4"/>
  <c r="ST11" i="4"/>
  <c r="ST5" i="4"/>
  <c r="ST8" i="4"/>
  <c r="ST6" i="4"/>
  <c r="ST3" i="4"/>
  <c r="ST15" i="4"/>
  <c r="ST9" i="4"/>
  <c r="ST4" i="4"/>
  <c r="SU1" i="4"/>
  <c r="ST2" i="4"/>
  <c r="ST14" i="4"/>
  <c r="SK53" i="4"/>
  <c r="SH56" i="4" s="1"/>
  <c r="ST45" i="4" l="1"/>
  <c r="SS48" i="4" s="1"/>
  <c r="SP51" i="4" s="1"/>
  <c r="ST46" i="4"/>
  <c r="SS49" i="4" s="1"/>
  <c r="SP52" i="4" s="1"/>
  <c r="ST44" i="4"/>
  <c r="SS47" i="4" s="1"/>
  <c r="SP50" i="4" s="1"/>
  <c r="SU36" i="4"/>
  <c r="SU35" i="4"/>
  <c r="SU37" i="4"/>
  <c r="SU38" i="4"/>
  <c r="SU39" i="4"/>
  <c r="SU40" i="4"/>
  <c r="SH58" i="4"/>
  <c r="SI58" i="4"/>
  <c r="SL54" i="4"/>
  <c r="SU34" i="4"/>
  <c r="SU33" i="4"/>
  <c r="SU32" i="4"/>
  <c r="SU31" i="4"/>
  <c r="SU29" i="4"/>
  <c r="SU28" i="4"/>
  <c r="SU27" i="4"/>
  <c r="SU26" i="4"/>
  <c r="SU25" i="4"/>
  <c r="SU24" i="4"/>
  <c r="SU30" i="4"/>
  <c r="SU22" i="4"/>
  <c r="SU18" i="4"/>
  <c r="SU17" i="4"/>
  <c r="SU16" i="4"/>
  <c r="SU20" i="4"/>
  <c r="SU19" i="4"/>
  <c r="SU21" i="4"/>
  <c r="SU11" i="4"/>
  <c r="SU15" i="4"/>
  <c r="SU14" i="4"/>
  <c r="SU13" i="4"/>
  <c r="SU12" i="4"/>
  <c r="SU5" i="4"/>
  <c r="SU8" i="4"/>
  <c r="SU6" i="4"/>
  <c r="SU3" i="4"/>
  <c r="SU23" i="4"/>
  <c r="SU9" i="4"/>
  <c r="SU10" i="4"/>
  <c r="SU7" i="4"/>
  <c r="SV1" i="4"/>
  <c r="SU2" i="4"/>
  <c r="SU4" i="4"/>
  <c r="SI56" i="4"/>
  <c r="SU44" i="4" l="1"/>
  <c r="ST47" i="4" s="1"/>
  <c r="SQ50" i="4" s="1"/>
  <c r="SU46" i="4"/>
  <c r="ST49" i="4" s="1"/>
  <c r="SQ52" i="4" s="1"/>
  <c r="SU45" i="4"/>
  <c r="ST48" i="4" s="1"/>
  <c r="SQ51" i="4" s="1"/>
  <c r="SN54" i="4" s="1"/>
  <c r="SV36" i="4"/>
  <c r="SV35" i="4"/>
  <c r="SV37" i="4"/>
  <c r="SV38" i="4"/>
  <c r="SV39" i="4"/>
  <c r="SV40" i="4"/>
  <c r="SM53" i="4"/>
  <c r="SM55" i="4"/>
  <c r="SI57" i="4"/>
  <c r="SV33" i="4"/>
  <c r="SV32" i="4"/>
  <c r="SV31" i="4"/>
  <c r="SV29" i="4"/>
  <c r="SV28" i="4"/>
  <c r="SV34" i="4"/>
  <c r="SV30" i="4"/>
  <c r="SV27" i="4"/>
  <c r="SV22" i="4"/>
  <c r="SV21" i="4"/>
  <c r="SV20" i="4"/>
  <c r="SV19" i="4"/>
  <c r="SV26" i="4"/>
  <c r="SV25" i="4"/>
  <c r="SV24" i="4"/>
  <c r="SV23" i="4"/>
  <c r="SV18" i="4"/>
  <c r="SV17" i="4"/>
  <c r="SV16" i="4"/>
  <c r="SV11" i="4"/>
  <c r="SV15" i="4"/>
  <c r="SV14" i="4"/>
  <c r="SV13" i="4"/>
  <c r="SV12" i="4"/>
  <c r="SV5" i="4"/>
  <c r="SV8" i="4"/>
  <c r="SV6" i="4"/>
  <c r="SV3" i="4"/>
  <c r="SV9" i="4"/>
  <c r="SV4" i="4"/>
  <c r="SV10" i="4"/>
  <c r="SV7" i="4"/>
  <c r="SV44" i="4" s="1"/>
  <c r="SW1" i="4"/>
  <c r="SV2" i="4"/>
  <c r="SM54" i="4"/>
  <c r="SV46" i="4" l="1"/>
  <c r="SU49" i="4" s="1"/>
  <c r="SR52" i="4" s="1"/>
  <c r="SV45" i="4"/>
  <c r="SU48" i="4" s="1"/>
  <c r="SR51" i="4" s="1"/>
  <c r="SW35" i="4"/>
  <c r="SW36" i="4"/>
  <c r="SW37" i="4"/>
  <c r="SW39" i="4"/>
  <c r="SW40" i="4"/>
  <c r="SW38" i="4"/>
  <c r="SU47" i="4"/>
  <c r="SR50" i="4" s="1"/>
  <c r="SO53" i="4" s="1"/>
  <c r="SK57" i="4"/>
  <c r="SJ57" i="4"/>
  <c r="SJ58" i="4"/>
  <c r="SN55" i="4"/>
  <c r="SW34" i="4"/>
  <c r="SW33" i="4"/>
  <c r="SW32" i="4"/>
  <c r="SW31" i="4"/>
  <c r="SW30" i="4"/>
  <c r="SW29" i="4"/>
  <c r="SW28" i="4"/>
  <c r="SW27" i="4"/>
  <c r="SW26" i="4"/>
  <c r="SW25" i="4"/>
  <c r="SW24" i="4"/>
  <c r="SW22" i="4"/>
  <c r="SW21" i="4"/>
  <c r="SW20" i="4"/>
  <c r="SW23" i="4"/>
  <c r="SW19" i="4"/>
  <c r="SW18" i="4"/>
  <c r="SW17" i="4"/>
  <c r="SW16" i="4"/>
  <c r="SW11" i="4"/>
  <c r="SW15" i="4"/>
  <c r="SW14" i="4"/>
  <c r="SW13" i="4"/>
  <c r="SW12" i="4"/>
  <c r="SW8" i="4"/>
  <c r="SW6" i="4"/>
  <c r="SW3" i="4"/>
  <c r="SW9" i="4"/>
  <c r="SW4" i="4"/>
  <c r="SW10" i="4"/>
  <c r="SW7" i="4"/>
  <c r="SX1" i="4"/>
  <c r="SW2" i="4"/>
  <c r="SW5" i="4"/>
  <c r="SN53" i="4"/>
  <c r="SK56" i="4" s="1"/>
  <c r="SJ56" i="4"/>
  <c r="SW46" i="4" l="1"/>
  <c r="SV49" i="4" s="1"/>
  <c r="SS52" i="4" s="1"/>
  <c r="SP55" i="4" s="1"/>
  <c r="SW44" i="4"/>
  <c r="SV47" i="4" s="1"/>
  <c r="SS50" i="4" s="1"/>
  <c r="SW45" i="4"/>
  <c r="SV48" i="4" s="1"/>
  <c r="SS51" i="4" s="1"/>
  <c r="SX35" i="4"/>
  <c r="SX37" i="4"/>
  <c r="SX36" i="4"/>
  <c r="SX39" i="4"/>
  <c r="SX38" i="4"/>
  <c r="SX40" i="4"/>
  <c r="SL56" i="4"/>
  <c r="SO55" i="4"/>
  <c r="SO54" i="4"/>
  <c r="SX34" i="4"/>
  <c r="SX33" i="4"/>
  <c r="SX32" i="4"/>
  <c r="SX31" i="4"/>
  <c r="SX30" i="4"/>
  <c r="SX29" i="4"/>
  <c r="SX28" i="4"/>
  <c r="SX27" i="4"/>
  <c r="SX26" i="4"/>
  <c r="SX25" i="4"/>
  <c r="SX24" i="4"/>
  <c r="SX23" i="4"/>
  <c r="SX22" i="4"/>
  <c r="SX20" i="4"/>
  <c r="SX19" i="4"/>
  <c r="SX21" i="4"/>
  <c r="SX18" i="4"/>
  <c r="SX17" i="4"/>
  <c r="SX16" i="4"/>
  <c r="SX11" i="4"/>
  <c r="SX15" i="4"/>
  <c r="SX14" i="4"/>
  <c r="SX13" i="4"/>
  <c r="SX12" i="4"/>
  <c r="SX6" i="4"/>
  <c r="SX3" i="4"/>
  <c r="SX9" i="4"/>
  <c r="SX4" i="4"/>
  <c r="SX10" i="4"/>
  <c r="SX7" i="4"/>
  <c r="SX2" i="4"/>
  <c r="SX5" i="4"/>
  <c r="SX8" i="4"/>
  <c r="SY1" i="4"/>
  <c r="SK58" i="4"/>
  <c r="SX46" i="4" l="1"/>
  <c r="SW49" i="4" s="1"/>
  <c r="ST52" i="4" s="1"/>
  <c r="SX44" i="4"/>
  <c r="SW47" i="4" s="1"/>
  <c r="ST50" i="4" s="1"/>
  <c r="SQ53" i="4" s="1"/>
  <c r="SX45" i="4"/>
  <c r="SW48" i="4" s="1"/>
  <c r="ST51" i="4" s="1"/>
  <c r="SY35" i="4"/>
  <c r="SY37" i="4"/>
  <c r="SY36" i="4"/>
  <c r="SY39" i="4"/>
  <c r="SY38" i="4"/>
  <c r="SY40" i="4"/>
  <c r="SL57" i="4"/>
  <c r="SY34" i="4"/>
  <c r="SY33" i="4"/>
  <c r="SY32" i="4"/>
  <c r="SY31" i="4"/>
  <c r="SY30" i="4"/>
  <c r="SY29" i="4"/>
  <c r="SY28" i="4"/>
  <c r="SY27" i="4"/>
  <c r="SY26" i="4"/>
  <c r="SY25" i="4"/>
  <c r="SY24" i="4"/>
  <c r="SY23" i="4"/>
  <c r="SY22" i="4"/>
  <c r="SY21" i="4"/>
  <c r="SY20" i="4"/>
  <c r="SY19" i="4"/>
  <c r="SY18" i="4"/>
  <c r="SY17" i="4"/>
  <c r="SY16" i="4"/>
  <c r="SY15" i="4"/>
  <c r="SY14" i="4"/>
  <c r="SY13" i="4"/>
  <c r="SY12" i="4"/>
  <c r="SY6" i="4"/>
  <c r="SY3" i="4"/>
  <c r="SY11" i="4"/>
  <c r="SY9" i="4"/>
  <c r="SY4" i="4"/>
  <c r="SY10" i="4"/>
  <c r="SY7" i="4"/>
  <c r="SY5" i="4"/>
  <c r="SY8" i="4"/>
  <c r="SZ1" i="4"/>
  <c r="SY2" i="4"/>
  <c r="SM58" i="4"/>
  <c r="SL58" i="4"/>
  <c r="SP54" i="4"/>
  <c r="SM57" i="4" s="1"/>
  <c r="SP53" i="4"/>
  <c r="SY46" i="4" l="1"/>
  <c r="SX49" i="4" s="1"/>
  <c r="SU52" i="4" s="1"/>
  <c r="SR55" i="4" s="1"/>
  <c r="SY45" i="4"/>
  <c r="SX48" i="4" s="1"/>
  <c r="SU51" i="4" s="1"/>
  <c r="SR54" i="4" s="1"/>
  <c r="SY44" i="4"/>
  <c r="SX47" i="4" s="1"/>
  <c r="SU50" i="4" s="1"/>
  <c r="SZ36" i="4"/>
  <c r="SZ35" i="4"/>
  <c r="SZ37" i="4"/>
  <c r="SZ38" i="4"/>
  <c r="SZ39" i="4"/>
  <c r="SZ40" i="4"/>
  <c r="SQ54" i="4"/>
  <c r="SZ34" i="4"/>
  <c r="SZ33" i="4"/>
  <c r="SZ32" i="4"/>
  <c r="SZ31" i="4"/>
  <c r="SZ30" i="4"/>
  <c r="SZ29" i="4"/>
  <c r="SZ28" i="4"/>
  <c r="SZ27" i="4"/>
  <c r="SZ26" i="4"/>
  <c r="SZ25" i="4"/>
  <c r="SZ24" i="4"/>
  <c r="SZ23" i="4"/>
  <c r="SZ22" i="4"/>
  <c r="SZ21" i="4"/>
  <c r="SZ20" i="4"/>
  <c r="SZ18" i="4"/>
  <c r="SZ17" i="4"/>
  <c r="SZ16" i="4"/>
  <c r="SZ19" i="4"/>
  <c r="SZ15" i="4"/>
  <c r="SZ14" i="4"/>
  <c r="SZ13" i="4"/>
  <c r="SZ12" i="4"/>
  <c r="SZ10" i="4"/>
  <c r="SZ11" i="4"/>
  <c r="SZ9" i="4"/>
  <c r="SZ4" i="4"/>
  <c r="SZ7" i="4"/>
  <c r="SZ5" i="4"/>
  <c r="SZ2" i="4"/>
  <c r="SZ8" i="4"/>
  <c r="SZ6" i="4"/>
  <c r="SZ3" i="4"/>
  <c r="TA1" i="4"/>
  <c r="SQ55" i="4"/>
  <c r="SM56" i="4"/>
  <c r="SN56" i="4"/>
  <c r="SZ46" i="4" l="1"/>
  <c r="SY49" i="4" s="1"/>
  <c r="SV52" i="4" s="1"/>
  <c r="SZ45" i="4"/>
  <c r="SY48" i="4" s="1"/>
  <c r="SV51" i="4" s="1"/>
  <c r="SS54" i="4" s="1"/>
  <c r="SP57" i="4" s="1"/>
  <c r="SZ44" i="4"/>
  <c r="SY47" i="4" s="1"/>
  <c r="SV50" i="4" s="1"/>
  <c r="SS53" i="4" s="1"/>
  <c r="TA36" i="4"/>
  <c r="TA35" i="4"/>
  <c r="TA37" i="4"/>
  <c r="TA38" i="4"/>
  <c r="TA39" i="4"/>
  <c r="TA40" i="4"/>
  <c r="SN57" i="4"/>
  <c r="SO57" i="4"/>
  <c r="SN58" i="4"/>
  <c r="SO58" i="4"/>
  <c r="SR53" i="4"/>
  <c r="TA34" i="4"/>
  <c r="TA31" i="4"/>
  <c r="TA30" i="4"/>
  <c r="TA29" i="4"/>
  <c r="TA28" i="4"/>
  <c r="TA27" i="4"/>
  <c r="TA33" i="4"/>
  <c r="TA26" i="4"/>
  <c r="TA25" i="4"/>
  <c r="TA24" i="4"/>
  <c r="TA23" i="4"/>
  <c r="TA32" i="4"/>
  <c r="TA22" i="4"/>
  <c r="TA21" i="4"/>
  <c r="TA20" i="4"/>
  <c r="TA45" i="4" s="1"/>
  <c r="TA19" i="4"/>
  <c r="TA18" i="4"/>
  <c r="TA17" i="4"/>
  <c r="TA16" i="4"/>
  <c r="TA15" i="4"/>
  <c r="TA14" i="4"/>
  <c r="TA13" i="4"/>
  <c r="TA12" i="4"/>
  <c r="TA11" i="4"/>
  <c r="TA4" i="4"/>
  <c r="TA7" i="4"/>
  <c r="TA10" i="4"/>
  <c r="TA5" i="4"/>
  <c r="TA8" i="4"/>
  <c r="TA3" i="4"/>
  <c r="TA2" i="4"/>
  <c r="TB1" i="4"/>
  <c r="TA9" i="4"/>
  <c r="TA6" i="4"/>
  <c r="TA46" i="4" l="1"/>
  <c r="SZ49" i="4" s="1"/>
  <c r="SW52" i="4" s="1"/>
  <c r="ST55" i="4" s="1"/>
  <c r="TA44" i="4"/>
  <c r="SZ47" i="4" s="1"/>
  <c r="SW50" i="4" s="1"/>
  <c r="TB36" i="4"/>
  <c r="TB35" i="4"/>
  <c r="TB38" i="4"/>
  <c r="TB37" i="4"/>
  <c r="TB39" i="4"/>
  <c r="TB40" i="4"/>
  <c r="SZ48" i="4"/>
  <c r="SW51" i="4" s="1"/>
  <c r="SP56" i="4"/>
  <c r="SO56" i="4"/>
  <c r="SS55" i="4"/>
  <c r="TB34" i="4"/>
  <c r="TB33" i="4"/>
  <c r="TB32" i="4"/>
  <c r="TB31" i="4"/>
  <c r="TB30" i="4"/>
  <c r="TB29" i="4"/>
  <c r="TB28" i="4"/>
  <c r="TB26" i="4"/>
  <c r="TB25" i="4"/>
  <c r="TB24" i="4"/>
  <c r="TB23" i="4"/>
  <c r="TB27" i="4"/>
  <c r="TB22" i="4"/>
  <c r="TB21" i="4"/>
  <c r="TB20" i="4"/>
  <c r="TB19" i="4"/>
  <c r="TB18" i="4"/>
  <c r="TB17" i="4"/>
  <c r="TB16" i="4"/>
  <c r="TB12" i="4"/>
  <c r="TB7" i="4"/>
  <c r="TB10" i="4"/>
  <c r="TB5" i="4"/>
  <c r="TB8" i="4"/>
  <c r="TB15" i="4"/>
  <c r="TB6" i="4"/>
  <c r="TB3" i="4"/>
  <c r="TB14" i="4"/>
  <c r="TB9" i="4"/>
  <c r="TB11" i="4"/>
  <c r="TB4" i="4"/>
  <c r="TB2" i="4"/>
  <c r="TB13" i="4"/>
  <c r="TB46" i="4" l="1"/>
  <c r="TA49" i="4" s="1"/>
  <c r="SY52" i="4" s="1"/>
  <c r="TB44" i="4"/>
  <c r="TA47" i="4" s="1"/>
  <c r="SX50" i="4" s="1"/>
  <c r="SU53" i="4" s="1"/>
  <c r="TB45" i="4"/>
  <c r="TA48" i="4" s="1"/>
  <c r="SX51" i="4" s="1"/>
  <c r="SU54" i="4" s="1"/>
  <c r="ST53" i="4"/>
  <c r="ST54" i="4"/>
  <c r="SP58" i="4"/>
  <c r="SQ58" i="4"/>
  <c r="SX52" i="4" l="1"/>
  <c r="SV55" i="4" s="1"/>
  <c r="SY50" i="4"/>
  <c r="SX53" i="4" s="1"/>
  <c r="SY51" i="4"/>
  <c r="SV54" i="4" s="1"/>
  <c r="SR56" i="4"/>
  <c r="SQ56" i="4"/>
  <c r="SQ57" i="4"/>
  <c r="SR57" i="4"/>
  <c r="SY55" i="4" l="1"/>
  <c r="SX55" i="4"/>
  <c r="SW55" i="4"/>
  <c r="SU55" i="4"/>
  <c r="SY53" i="4"/>
  <c r="SV53" i="4"/>
  <c r="SS56" i="4" s="1"/>
  <c r="SW53" i="4"/>
  <c r="SY54" i="4"/>
  <c r="SX54" i="4"/>
  <c r="SS57" i="4"/>
  <c r="SW54" i="4"/>
  <c r="ST57" i="4" s="1"/>
  <c r="ST58" i="4" l="1"/>
  <c r="SY58" i="4"/>
  <c r="SR58" i="4"/>
  <c r="SW58" i="4"/>
  <c r="SU58" i="4"/>
  <c r="SS58" i="4"/>
  <c r="SX58" i="4"/>
  <c r="SV58" i="4"/>
  <c r="SU56" i="4"/>
  <c r="SX56" i="4"/>
  <c r="ST56" i="4"/>
  <c r="SY56" i="4"/>
  <c r="SV56" i="4"/>
  <c r="SW56" i="4"/>
  <c r="SX57" i="4"/>
  <c r="SW57" i="4"/>
  <c r="SY57" i="4"/>
  <c r="SV57" i="4"/>
  <c r="SU57" i="4"/>
</calcChain>
</file>

<file path=xl/sharedStrings.xml><?xml version="1.0" encoding="utf-8"?>
<sst xmlns="http://schemas.openxmlformats.org/spreadsheetml/2006/main" count="498" uniqueCount="304">
  <si>
    <t>番号</t>
  </si>
  <si>
    <t>地域名</t>
  </si>
  <si>
    <t>北海道地方</t>
  </si>
  <si>
    <t>北海道日本海側</t>
  </si>
  <si>
    <t>北海道オホーツク海側</t>
  </si>
  <si>
    <t>北海道太平洋側</t>
  </si>
  <si>
    <t>東北地方</t>
  </si>
  <si>
    <t>東北日本海側</t>
  </si>
  <si>
    <t>東北太平洋側</t>
  </si>
  <si>
    <t>東北北部</t>
  </si>
  <si>
    <t>東北南部</t>
  </si>
  <si>
    <t>関東甲信地方</t>
  </si>
  <si>
    <t>北陸地方</t>
  </si>
  <si>
    <t>東海地方</t>
  </si>
  <si>
    <t>近畿地方</t>
  </si>
  <si>
    <t>近畿日本海側</t>
  </si>
  <si>
    <t>近畿太平洋側</t>
  </si>
  <si>
    <t>中国地方</t>
  </si>
  <si>
    <t>山陰</t>
  </si>
  <si>
    <t>山陽</t>
  </si>
  <si>
    <t>四国地方</t>
  </si>
  <si>
    <t>九州北部地方</t>
  </si>
  <si>
    <t>九州南部・奄美地方</t>
  </si>
  <si>
    <t>九州南部</t>
  </si>
  <si>
    <t>奄美地方</t>
  </si>
  <si>
    <t>沖縄地方</t>
  </si>
  <si>
    <t>稚内</t>
  </si>
  <si>
    <t>北見枝幸</t>
  </si>
  <si>
    <t>羽幌</t>
  </si>
  <si>
    <t>雄武</t>
  </si>
  <si>
    <t>留萌</t>
  </si>
  <si>
    <t>旭川</t>
  </si>
  <si>
    <t>網走</t>
  </si>
  <si>
    <t>小樽</t>
  </si>
  <si>
    <t>札幌</t>
  </si>
  <si>
    <t>岩見沢</t>
  </si>
  <si>
    <t>帯広</t>
  </si>
  <si>
    <t>釧路</t>
  </si>
  <si>
    <t>根室</t>
  </si>
  <si>
    <t>寿都</t>
  </si>
  <si>
    <t>室蘭</t>
  </si>
  <si>
    <t>苫小牧</t>
  </si>
  <si>
    <t>浦河</t>
  </si>
  <si>
    <t>江差</t>
  </si>
  <si>
    <t>函館</t>
  </si>
  <si>
    <t>倶知安</t>
  </si>
  <si>
    <t>紋別</t>
  </si>
  <si>
    <t>広尾</t>
  </si>
  <si>
    <t>大船渡</t>
  </si>
  <si>
    <t>新庄</t>
  </si>
  <si>
    <t>若松</t>
  </si>
  <si>
    <t>深浦</t>
  </si>
  <si>
    <t>青森</t>
  </si>
  <si>
    <t>むつ</t>
  </si>
  <si>
    <t>八戸</t>
  </si>
  <si>
    <t>秋田</t>
  </si>
  <si>
    <t>盛岡</t>
  </si>
  <si>
    <t>宮古</t>
  </si>
  <si>
    <t>酒田</t>
  </si>
  <si>
    <t>山形</t>
  </si>
  <si>
    <t>仙台</t>
  </si>
  <si>
    <t>石巻</t>
  </si>
  <si>
    <t>福島</t>
  </si>
  <si>
    <t>白河</t>
  </si>
  <si>
    <t>小名浜</t>
  </si>
  <si>
    <t>輪島</t>
  </si>
  <si>
    <t>相川</t>
  </si>
  <si>
    <t>新潟</t>
  </si>
  <si>
    <t>金沢</t>
  </si>
  <si>
    <t>伏木</t>
  </si>
  <si>
    <t>富山</t>
  </si>
  <si>
    <t>長野</t>
  </si>
  <si>
    <t>高田</t>
  </si>
  <si>
    <t>宇都宮</t>
  </si>
  <si>
    <t>福井</t>
  </si>
  <si>
    <t>高山</t>
  </si>
  <si>
    <t>松本</t>
  </si>
  <si>
    <t>諏訪</t>
  </si>
  <si>
    <t>軽井沢</t>
  </si>
  <si>
    <t>前橋</t>
  </si>
  <si>
    <t>熊谷</t>
  </si>
  <si>
    <t>水戸</t>
  </si>
  <si>
    <t>敦賀</t>
  </si>
  <si>
    <t>岐阜</t>
  </si>
  <si>
    <t>名古屋</t>
  </si>
  <si>
    <t>飯田</t>
  </si>
  <si>
    <t>甲府</t>
  </si>
  <si>
    <t>河口湖</t>
  </si>
  <si>
    <t>秩父</t>
  </si>
  <si>
    <t>館野</t>
  </si>
  <si>
    <t>銚子</t>
  </si>
  <si>
    <t>上野</t>
  </si>
  <si>
    <t>津</t>
  </si>
  <si>
    <t>伊良湖</t>
  </si>
  <si>
    <t>浜松</t>
  </si>
  <si>
    <t>御前崎</t>
  </si>
  <si>
    <t>静岡</t>
  </si>
  <si>
    <t>三島</t>
  </si>
  <si>
    <t>東京</t>
  </si>
  <si>
    <t>尾鷲</t>
  </si>
  <si>
    <t>石廊崎</t>
  </si>
  <si>
    <t>網代</t>
  </si>
  <si>
    <t>横浜</t>
  </si>
  <si>
    <t>館山</t>
  </si>
  <si>
    <t>勝浦</t>
  </si>
  <si>
    <t>大島</t>
  </si>
  <si>
    <t>三宅島</t>
  </si>
  <si>
    <t>八丈島</t>
  </si>
  <si>
    <t>千葉</t>
  </si>
  <si>
    <t>四日市</t>
  </si>
  <si>
    <t>日光</t>
  </si>
  <si>
    <t>西郷</t>
  </si>
  <si>
    <t>松江</t>
  </si>
  <si>
    <t>境</t>
  </si>
  <si>
    <t>米子</t>
  </si>
  <si>
    <t>鳥取</t>
  </si>
  <si>
    <t>豊岡</t>
  </si>
  <si>
    <t>舞鶴</t>
  </si>
  <si>
    <t>萩</t>
  </si>
  <si>
    <t>浜田</t>
  </si>
  <si>
    <t>津山</t>
  </si>
  <si>
    <t>京都</t>
  </si>
  <si>
    <t>彦根</t>
  </si>
  <si>
    <t>下関</t>
  </si>
  <si>
    <t>広島</t>
  </si>
  <si>
    <t>呉</t>
  </si>
  <si>
    <t>福山</t>
  </si>
  <si>
    <t>岡山</t>
  </si>
  <si>
    <t>姫路</t>
  </si>
  <si>
    <t>神戸</t>
  </si>
  <si>
    <t>大阪</t>
  </si>
  <si>
    <t>洲本</t>
  </si>
  <si>
    <t>和歌山</t>
  </si>
  <si>
    <t>潮岬</t>
  </si>
  <si>
    <t>奈良</t>
  </si>
  <si>
    <t>山口</t>
  </si>
  <si>
    <t>厳原</t>
  </si>
  <si>
    <t>平戸</t>
  </si>
  <si>
    <t>福岡</t>
  </si>
  <si>
    <t>飯塚</t>
  </si>
  <si>
    <t>佐世保</t>
  </si>
  <si>
    <t>佐賀</t>
  </si>
  <si>
    <t>日田</t>
  </si>
  <si>
    <t>大分</t>
  </si>
  <si>
    <t>長崎</t>
  </si>
  <si>
    <t>熊本</t>
  </si>
  <si>
    <t>延岡</t>
  </si>
  <si>
    <t>阿久根</t>
  </si>
  <si>
    <t>人吉</t>
  </si>
  <si>
    <t>鹿児島</t>
  </si>
  <si>
    <t>都城</t>
  </si>
  <si>
    <t>宮崎</t>
  </si>
  <si>
    <t>枕崎</t>
  </si>
  <si>
    <t>油津</t>
  </si>
  <si>
    <t>屋久島</t>
  </si>
  <si>
    <t>種子島</t>
  </si>
  <si>
    <t>牛深</t>
  </si>
  <si>
    <t>福江</t>
  </si>
  <si>
    <t>松山</t>
  </si>
  <si>
    <t>多度津</t>
  </si>
  <si>
    <t>高松</t>
  </si>
  <si>
    <t>宇和島</t>
  </si>
  <si>
    <t>高知</t>
  </si>
  <si>
    <t>徳島</t>
  </si>
  <si>
    <t>宿毛</t>
  </si>
  <si>
    <t>清水</t>
  </si>
  <si>
    <t>室戸岬</t>
  </si>
  <si>
    <t>名瀬</t>
  </si>
  <si>
    <t>与那国島</t>
  </si>
  <si>
    <t>石垣島</t>
  </si>
  <si>
    <t>宮古島</t>
  </si>
  <si>
    <t>久米島</t>
  </si>
  <si>
    <t>那覇</t>
  </si>
  <si>
    <t>名護</t>
  </si>
  <si>
    <t>沖永良部</t>
  </si>
  <si>
    <t>南大東島</t>
  </si>
  <si>
    <t>父島</t>
  </si>
  <si>
    <t>初期値日</t>
    <rPh sb="0" eb="3">
      <t>ショキチ</t>
    </rPh>
    <rPh sb="3" eb="4">
      <t>ビ</t>
    </rPh>
    <phoneticPr fontId="1"/>
  </si>
  <si>
    <t>平均気温</t>
    <rPh sb="0" eb="2">
      <t>ヘイキン</t>
    </rPh>
    <rPh sb="2" eb="4">
      <t>キオン</t>
    </rPh>
    <phoneticPr fontId="1"/>
  </si>
  <si>
    <t>最高気温</t>
    <rPh sb="0" eb="2">
      <t>サイコウ</t>
    </rPh>
    <rPh sb="2" eb="4">
      <t>キオン</t>
    </rPh>
    <phoneticPr fontId="1"/>
  </si>
  <si>
    <t>最低気温</t>
    <rPh sb="0" eb="2">
      <t>サイテイ</t>
    </rPh>
    <rPh sb="2" eb="4">
      <t>キオン</t>
    </rPh>
    <phoneticPr fontId="1"/>
  </si>
  <si>
    <t>アンサンブル平均⇒</t>
    <rPh sb="6" eb="8">
      <t>ヘイキン</t>
    </rPh>
    <phoneticPr fontId="1"/>
  </si>
  <si>
    <t>地点（地域）</t>
    <rPh sb="0" eb="2">
      <t>チテン</t>
    </rPh>
    <rPh sb="3" eb="5">
      <t>チイキ</t>
    </rPh>
    <phoneticPr fontId="1"/>
  </si>
  <si>
    <t>℃（地域の場合は平年差）</t>
    <rPh sb="2" eb="4">
      <t>チイキ</t>
    </rPh>
    <rPh sb="5" eb="7">
      <t>バアイ</t>
    </rPh>
    <rPh sb="8" eb="10">
      <t>ヘイネン</t>
    </rPh>
    <rPh sb="10" eb="11">
      <t>サ</t>
    </rPh>
    <phoneticPr fontId="1"/>
  </si>
  <si>
    <t>しきい値別％⇒</t>
    <rPh sb="3" eb="4">
      <t>チ</t>
    </rPh>
    <rPh sb="4" eb="5">
      <t>ベツ</t>
    </rPh>
    <phoneticPr fontId="1"/>
  </si>
  <si>
    <t>以下の確率％</t>
    <rPh sb="0" eb="2">
      <t>イカ</t>
    </rPh>
    <rPh sb="3" eb="5">
      <t>カクリツ</t>
    </rPh>
    <phoneticPr fontId="1"/>
  </si>
  <si>
    <t>超過の確率％</t>
    <rPh sb="0" eb="2">
      <t>チョウカ</t>
    </rPh>
    <rPh sb="3" eb="5">
      <t>カクリツ</t>
    </rPh>
    <phoneticPr fontId="1"/>
  </si>
  <si>
    <t>平均気温（平年値）</t>
    <rPh sb="0" eb="2">
      <t>ヘイキン</t>
    </rPh>
    <rPh sb="2" eb="4">
      <t>キオン</t>
    </rPh>
    <rPh sb="5" eb="8">
      <t>ヘイネンチ</t>
    </rPh>
    <phoneticPr fontId="1"/>
  </si>
  <si>
    <t>最高気温（平年値）</t>
    <rPh sb="0" eb="2">
      <t>サイコウ</t>
    </rPh>
    <rPh sb="2" eb="4">
      <t>キオン</t>
    </rPh>
    <phoneticPr fontId="1"/>
  </si>
  <si>
    <t>最低気温（平年値）</t>
    <rPh sb="0" eb="2">
      <t>サイテイ</t>
    </rPh>
    <rPh sb="2" eb="4">
      <t>キオン</t>
    </rPh>
    <phoneticPr fontId="1"/>
  </si>
  <si>
    <t>対象期間</t>
    <rPh sb="0" eb="2">
      <t>タイショウ</t>
    </rPh>
    <rPh sb="2" eb="4">
      <t>キカン</t>
    </rPh>
    <phoneticPr fontId="1"/>
  </si>
  <si>
    <t>累積確率グラフ⇒</t>
    <rPh sb="0" eb="2">
      <t>ルイセキ</t>
    </rPh>
    <rPh sb="2" eb="4">
      <t>カクリツ</t>
    </rPh>
    <phoneticPr fontId="1"/>
  </si>
  <si>
    <t>対象日</t>
    <rPh sb="0" eb="2">
      <t>タイショウ</t>
    </rPh>
    <rPh sb="2" eb="3">
      <t>ビ</t>
    </rPh>
    <phoneticPr fontId="1"/>
  </si>
  <si>
    <t>平均気温</t>
    <rPh sb="0" eb="2">
      <t>ヘイキン</t>
    </rPh>
    <rPh sb="2" eb="4">
      <t>キオン</t>
    </rPh>
    <phoneticPr fontId="1"/>
  </si>
  <si>
    <t>最高気温</t>
    <rPh sb="0" eb="2">
      <t>サイコウ</t>
    </rPh>
    <rPh sb="2" eb="4">
      <t>キオン</t>
    </rPh>
    <phoneticPr fontId="1"/>
  </si>
  <si>
    <t>最低気温</t>
    <rPh sb="0" eb="2">
      <t>サイテイ</t>
    </rPh>
    <rPh sb="2" eb="4">
      <t>キオン</t>
    </rPh>
    <phoneticPr fontId="1"/>
  </si>
  <si>
    <t>差分</t>
    <rPh sb="0" eb="2">
      <t>サブン</t>
    </rPh>
    <phoneticPr fontId="1"/>
  </si>
  <si>
    <t>平滑１</t>
    <rPh sb="0" eb="2">
      <t>ヘイカツ</t>
    </rPh>
    <phoneticPr fontId="1"/>
  </si>
  <si>
    <t>平滑２</t>
    <rPh sb="0" eb="2">
      <t>ヘイカツ</t>
    </rPh>
    <phoneticPr fontId="1"/>
  </si>
  <si>
    <t>平滑３</t>
    <rPh sb="0" eb="2">
      <t>ヘイカツ</t>
    </rPh>
    <phoneticPr fontId="1"/>
  </si>
  <si>
    <t>平年</t>
    <rPh sb="0" eb="2">
      <t>ヘイネン</t>
    </rPh>
    <phoneticPr fontId="1"/>
  </si>
  <si>
    <t>※薄太線は累積分布関数から近似計算した確率密度関数（参考）です</t>
    <rPh sb="1" eb="2">
      <t>ウス</t>
    </rPh>
    <rPh sb="2" eb="4">
      <t>フトセン</t>
    </rPh>
    <rPh sb="5" eb="7">
      <t>ルイセキ</t>
    </rPh>
    <rPh sb="7" eb="9">
      <t>ブンプ</t>
    </rPh>
    <rPh sb="9" eb="11">
      <t>カンスウ</t>
    </rPh>
    <rPh sb="13" eb="15">
      <t>キンジ</t>
    </rPh>
    <rPh sb="15" eb="17">
      <t>ケイサン</t>
    </rPh>
    <rPh sb="19" eb="21">
      <t>カクリツ</t>
    </rPh>
    <rPh sb="21" eb="23">
      <t>ミツド</t>
    </rPh>
    <rPh sb="23" eb="25">
      <t>カンスウ</t>
    </rPh>
    <rPh sb="26" eb="28">
      <t>サンコウ</t>
    </rPh>
    <phoneticPr fontId="1"/>
  </si>
  <si>
    <t>※累積分布関数は気温℃（横軸）以下となる確率％を表します</t>
    <rPh sb="1" eb="3">
      <t>ルイセキ</t>
    </rPh>
    <rPh sb="3" eb="5">
      <t>ブンプ</t>
    </rPh>
    <rPh sb="5" eb="7">
      <t>カンスウ</t>
    </rPh>
    <rPh sb="8" eb="10">
      <t>キオン</t>
    </rPh>
    <rPh sb="12" eb="14">
      <t>ヨコジク</t>
    </rPh>
    <rPh sb="15" eb="17">
      <t>イカ</t>
    </rPh>
    <rPh sb="20" eb="22">
      <t>カクリツ</t>
    </rPh>
    <rPh sb="24" eb="25">
      <t>アラワ</t>
    </rPh>
    <phoneticPr fontId="1"/>
  </si>
  <si>
    <t>平均気温（過去10年）</t>
    <rPh sb="0" eb="2">
      <t>ヘイキン</t>
    </rPh>
    <rPh sb="2" eb="4">
      <t>キオン</t>
    </rPh>
    <phoneticPr fontId="1"/>
  </si>
  <si>
    <t>最高気温（過去10年）</t>
    <rPh sb="0" eb="2">
      <t>サイコウ</t>
    </rPh>
    <rPh sb="2" eb="4">
      <t>キオン</t>
    </rPh>
    <phoneticPr fontId="1"/>
  </si>
  <si>
    <t>最低気温（過去10年）</t>
    <rPh sb="0" eb="2">
      <t>サイテイ</t>
    </rPh>
    <rPh sb="2" eb="4">
      <t>キオン</t>
    </rPh>
    <phoneticPr fontId="1"/>
  </si>
  <si>
    <t>平均気温（昨年）</t>
    <rPh sb="0" eb="2">
      <t>ヘイキン</t>
    </rPh>
    <rPh sb="2" eb="4">
      <t>キオン</t>
    </rPh>
    <phoneticPr fontId="1"/>
  </si>
  <si>
    <t>最高気温（昨年）</t>
    <rPh sb="0" eb="2">
      <t>サイコウ</t>
    </rPh>
    <rPh sb="2" eb="4">
      <t>キオン</t>
    </rPh>
    <phoneticPr fontId="1"/>
  </si>
  <si>
    <t>最低気温（昨年）</t>
    <rPh sb="0" eb="2">
      <t>サイテイ</t>
    </rPh>
    <rPh sb="2" eb="4">
      <t>キオン</t>
    </rPh>
    <phoneticPr fontId="1"/>
  </si>
  <si>
    <t>地点・地域</t>
    <rPh sb="0" eb="2">
      <t>チテン</t>
    </rPh>
    <rPh sb="3" eb="5">
      <t>チイキ</t>
    </rPh>
    <phoneticPr fontId="1"/>
  </si>
  <si>
    <t>↓累積分布関数を表示する期間を選択してください</t>
    <rPh sb="1" eb="3">
      <t>ルイセキ</t>
    </rPh>
    <rPh sb="3" eb="5">
      <t>ブンプ</t>
    </rPh>
    <rPh sb="5" eb="7">
      <t>カンスウ</t>
    </rPh>
    <rPh sb="8" eb="10">
      <t>ヒョウジ</t>
    </rPh>
    <rPh sb="12" eb="14">
      <t>キカン</t>
    </rPh>
    <rPh sb="15" eb="17">
      <t>センタク</t>
    </rPh>
    <phoneticPr fontId="1"/>
  </si>
  <si>
    <t>＜使い方＞</t>
    <rPh sb="1" eb="2">
      <t>ツカ</t>
    </rPh>
    <rPh sb="3" eb="4">
      <t>カタ</t>
    </rPh>
    <phoneticPr fontId="1"/>
  </si>
  <si>
    <t>＜シートの解説＞</t>
    <rPh sb="5" eb="7">
      <t>カイセツ</t>
    </rPh>
    <phoneticPr fontId="1"/>
  </si>
  <si>
    <t>＜免責事項＞</t>
    <rPh sb="1" eb="5">
      <t>メンセキジコウ</t>
    </rPh>
    <phoneticPr fontId="1"/>
  </si>
  <si>
    <t>＜はじめに＞</t>
    <phoneticPr fontId="1"/>
  </si>
  <si>
    <t>解説</t>
    <rPh sb="0" eb="2">
      <t>カイセツ</t>
    </rPh>
    <phoneticPr fontId="1"/>
  </si>
  <si>
    <t>グラフ</t>
    <phoneticPr fontId="1"/>
  </si>
  <si>
    <t>csv</t>
    <phoneticPr fontId="1"/>
  </si>
  <si>
    <t>calc</t>
    <phoneticPr fontId="1"/>
  </si>
  <si>
    <t>table</t>
    <phoneticPr fontId="1"/>
  </si>
  <si>
    <t>グラフ用のデータの計算処理に使います。</t>
    <rPh sb="3" eb="4">
      <t>ヨウ</t>
    </rPh>
    <rPh sb="9" eb="11">
      <t>ケイサン</t>
    </rPh>
    <rPh sb="11" eb="13">
      <t>ショリ</t>
    </rPh>
    <rPh sb="14" eb="15">
      <t>ツカ</t>
    </rPh>
    <phoneticPr fontId="1"/>
  </si>
  <si>
    <t>シート名</t>
    <rPh sb="3" eb="4">
      <t>メイ</t>
    </rPh>
    <phoneticPr fontId="1"/>
  </si>
  <si>
    <t>機能</t>
    <rPh sb="0" eb="2">
      <t>キノウ</t>
    </rPh>
    <phoneticPr fontId="1"/>
  </si>
  <si>
    <t>※過去10年、昨年の観測値については観測地点の移転など環境変化があった場合は表示されません。</t>
    <rPh sb="1" eb="3">
      <t>カコ</t>
    </rPh>
    <rPh sb="5" eb="6">
      <t>ネン</t>
    </rPh>
    <rPh sb="7" eb="9">
      <t>サクネン</t>
    </rPh>
    <rPh sb="10" eb="12">
      <t>カンソク</t>
    </rPh>
    <rPh sb="12" eb="13">
      <t>チ</t>
    </rPh>
    <rPh sb="18" eb="20">
      <t>カンソク</t>
    </rPh>
    <rPh sb="20" eb="22">
      <t>チテン</t>
    </rPh>
    <rPh sb="23" eb="25">
      <t>イテン</t>
    </rPh>
    <rPh sb="27" eb="29">
      <t>カンキョウ</t>
    </rPh>
    <rPh sb="29" eb="31">
      <t>ヘンカ</t>
    </rPh>
    <rPh sb="35" eb="37">
      <t>バアイ</t>
    </rPh>
    <rPh sb="38" eb="40">
      <t>ヒョウジ</t>
    </rPh>
    <phoneticPr fontId="1"/>
  </si>
  <si>
    <t>＜動作環境について＞</t>
    <rPh sb="1" eb="3">
      <t>ドウサ</t>
    </rPh>
    <rPh sb="3" eb="5">
      <t>カンキョウ</t>
    </rPh>
    <phoneticPr fontId="1"/>
  </si>
  <si>
    <t>・本ファイルの機能やデータの内容について、利用者が行う一切の行為について、気象庁は何ら責任を負うものではありません。</t>
    <rPh sb="1" eb="2">
      <t>ホン</t>
    </rPh>
    <rPh sb="7" eb="9">
      <t>キノウ</t>
    </rPh>
    <rPh sb="14" eb="16">
      <t>ナイヨウ</t>
    </rPh>
    <phoneticPr fontId="1"/>
  </si>
  <si>
    <t>・すべての機能を使うには、Excelのマクロ機能を有効にしてください。</t>
    <rPh sb="22" eb="24">
      <t>キノウ</t>
    </rPh>
    <phoneticPr fontId="1"/>
  </si>
  <si>
    <t>CSVファイルのURI</t>
    <phoneticPr fontId="1"/>
  </si>
  <si>
    <t>佐賀</t>
    <phoneticPr fontId="1"/>
  </si>
  <si>
    <t>都道府県選択用テーブル</t>
    <rPh sb="0" eb="4">
      <t>トドウフケン</t>
    </rPh>
    <rPh sb="4" eb="7">
      <t>センタクヨウ</t>
    </rPh>
    <phoneticPr fontId="1"/>
  </si>
  <si>
    <t>都道府県</t>
    <rPh sb="0" eb="4">
      <t>トドウフケン</t>
    </rPh>
    <phoneticPr fontId="1"/>
  </si>
  <si>
    <t>↓①都道府県or地域平均を選択</t>
    <rPh sb="2" eb="6">
      <t>トドウフケン</t>
    </rPh>
    <rPh sb="8" eb="10">
      <t>チイキ</t>
    </rPh>
    <rPh sb="10" eb="12">
      <t>ヘイキン</t>
    </rPh>
    <rPh sb="13" eb="15">
      <t>センタク</t>
    </rPh>
    <phoneticPr fontId="1"/>
  </si>
  <si>
    <t>↓②地点・地域を選択</t>
    <rPh sb="2" eb="4">
      <t>チテン</t>
    </rPh>
    <rPh sb="5" eb="7">
      <t>チイキ</t>
    </rPh>
    <rPh sb="8" eb="10">
      <t>センタク</t>
    </rPh>
    <phoneticPr fontId="1"/>
  </si>
  <si>
    <t>↓③クリックで取得します</t>
    <rPh sb="7" eb="9">
      <t>シュトク</t>
    </rPh>
    <phoneticPr fontId="1"/>
  </si>
  <si>
    <t>地域平均</t>
    <rPh sb="0" eb="2">
      <t>チイキ</t>
    </rPh>
    <rPh sb="2" eb="4">
      <t>ヘイキン</t>
    </rPh>
    <phoneticPr fontId="1"/>
  </si>
  <si>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</si>
  <si>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</si>
  <si>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</si>
  <si>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</si>
  <si>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</si>
  <si>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</si>
  <si>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</si>
  <si>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</si>
  <si>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</si>
  <si>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</si>
  <si>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</si>
  <si>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</si>
  <si>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</si>
  <si>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</si>
  <si>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</si>
  <si>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</si>
  <si>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</si>
  <si>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</si>
  <si>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</si>
  <si>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</si>
  <si>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</si>
  <si>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</si>
  <si>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</si>
  <si>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</si>
  <si>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</si>
  <si>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</si>
  <si>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</si>
  <si>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</si>
  <si>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</si>
  <si>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</si>
  <si>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</si>
  <si>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</si>
  <si>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</si>
  <si>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</si>
  <si>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</si>
  <si>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</si>
  <si>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</si>
  <si>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</si>
  <si>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</si>
  <si>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</si>
  <si>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</si>
  <si>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</si>
  <si>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</si>
  <si>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</si>
  <si>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</si>
  <si>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</si>
  <si>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</si>
  <si>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↓注目する気温の値を入力（0.1℃単位、-50～50℃）</t>
    <rPh sb="1" eb="3">
      <t>チュウモク</t>
    </rPh>
    <rPh sb="5" eb="7">
      <t>キオン</t>
    </rPh>
    <rPh sb="8" eb="9">
      <t>アタイ</t>
    </rPh>
    <rPh sb="10" eb="12">
      <t>ニュウリョク</t>
    </rPh>
    <rPh sb="17" eb="19">
      <t>タンイ</t>
    </rPh>
    <phoneticPr fontId="1"/>
  </si>
  <si>
    <t>■予測値（アンサンブル平均値）時系列グラフ</t>
    <rPh sb="1" eb="3">
      <t>ヨソク</t>
    </rPh>
    <rPh sb="3" eb="4">
      <t>チ</t>
    </rPh>
    <rPh sb="11" eb="14">
      <t>ヘイキンチ</t>
    </rPh>
    <rPh sb="15" eb="18">
      <t>ジケイレツ</t>
    </rPh>
    <phoneticPr fontId="1"/>
  </si>
  <si>
    <t>■注目する気温（しきい値）別確率 時系列グラフ</t>
    <rPh sb="1" eb="3">
      <t>チュウモク</t>
    </rPh>
    <rPh sb="5" eb="7">
      <t>キオン</t>
    </rPh>
    <rPh sb="11" eb="12">
      <t>チ</t>
    </rPh>
    <rPh sb="13" eb="14">
      <t>ベツ</t>
    </rPh>
    <rPh sb="14" eb="16">
      <t>カクリツ</t>
    </rPh>
    <rPh sb="17" eb="20">
      <t>ジケイレツ</t>
    </rPh>
    <phoneticPr fontId="1"/>
  </si>
  <si>
    <t>■累積分布関数 グラフ</t>
    <rPh sb="1" eb="7">
      <t>ルイセキブンプカンスウ</t>
    </rPh>
    <phoneticPr fontId="1"/>
  </si>
  <si>
    <t>※予測対象要素の平均気温、最高気温、最低気温は、それぞれ、日平均気温、日最高気温、日最低気温の5日間移動平均値です。平均期間は各グラフのラベルの日付になります。</t>
    <rPh sb="58" eb="60">
      <t>ヘイキン</t>
    </rPh>
    <rPh sb="60" eb="62">
      <t>キカン</t>
    </rPh>
    <rPh sb="63" eb="64">
      <t>カク</t>
    </rPh>
    <rPh sb="72" eb="73">
      <t>ヒ</t>
    </rPh>
    <rPh sb="73" eb="74">
      <t>ヅ</t>
    </rPh>
    <phoneticPr fontId="1"/>
  </si>
  <si>
    <t>（注意事項）</t>
    <rPh sb="1" eb="3">
      <t>チュウイ</t>
    </rPh>
    <rPh sb="3" eb="5">
      <t>ジコウ</t>
    </rPh>
    <phoneticPr fontId="1"/>
  </si>
  <si>
    <t>対象期間の初期日</t>
    <rPh sb="0" eb="2">
      <t>タイショウ</t>
    </rPh>
    <rPh sb="2" eb="4">
      <t>キカン</t>
    </rPh>
    <rPh sb="5" eb="7">
      <t>ショキ</t>
    </rPh>
    <rPh sb="7" eb="8">
      <t>ビ</t>
    </rPh>
    <phoneticPr fontId="1"/>
  </si>
  <si>
    <t>メインで使うシートです。</t>
    <phoneticPr fontId="1"/>
  </si>
  <si>
    <t>処理に用いる地点番号等の表です。</t>
    <rPh sb="0" eb="2">
      <t>ショリ</t>
    </rPh>
    <rPh sb="3" eb="4">
      <t>モチ</t>
    </rPh>
    <rPh sb="6" eb="8">
      <t>チテン</t>
    </rPh>
    <rPh sb="8" eb="10">
      <t>バンゴウ</t>
    </rPh>
    <rPh sb="10" eb="11">
      <t>トウ</t>
    </rPh>
    <rPh sb="12" eb="13">
      <t>ヒョウ</t>
    </rPh>
    <phoneticPr fontId="1"/>
  </si>
  <si>
    <t>・ダウンロードサイトの仕様変更等により、予告なく正常に動作しなくなる場合があります。その場合、下記ウェブサイトで最新の情報をご確認ください。</t>
    <rPh sb="11" eb="13">
      <t>シヨウ</t>
    </rPh>
    <rPh sb="13" eb="15">
      <t>ヘンコウ</t>
    </rPh>
    <rPh sb="15" eb="16">
      <t>トウ</t>
    </rPh>
    <rPh sb="20" eb="22">
      <t>ヨコク</t>
    </rPh>
    <rPh sb="24" eb="26">
      <t>セイジョウ</t>
    </rPh>
    <rPh sb="27" eb="29">
      <t>ドウサ</t>
    </rPh>
    <rPh sb="34" eb="36">
      <t>バアイ</t>
    </rPh>
    <rPh sb="47" eb="49">
      <t>カキ</t>
    </rPh>
    <rPh sb="63" eb="65">
      <t>カクニン</t>
    </rPh>
    <phoneticPr fontId="1"/>
  </si>
  <si>
    <t>※縦点線は平年値を表します</t>
    <rPh sb="1" eb="2">
      <t>タテ</t>
    </rPh>
    <rPh sb="2" eb="4">
      <t>テンセン</t>
    </rPh>
    <rPh sb="5" eb="8">
      <t>ヘイネンチ</t>
    </rPh>
    <rPh sb="9" eb="10">
      <t>アラワ</t>
    </rPh>
    <phoneticPr fontId="1"/>
  </si>
  <si>
    <t>このシートです。</t>
    <phoneticPr fontId="1"/>
  </si>
  <si>
    <t>②その他、黄色のセルの内容（気温や予測対象期間）を変更することで、グラフを変更できます。</t>
    <rPh sb="3" eb="4">
      <t>タ</t>
    </rPh>
    <rPh sb="5" eb="7">
      <t>キイロ</t>
    </rPh>
    <rPh sb="11" eb="13">
      <t>ナイヨウ</t>
    </rPh>
    <rPh sb="14" eb="16">
      <t>キオン</t>
    </rPh>
    <rPh sb="17" eb="19">
      <t>ヨソク</t>
    </rPh>
    <rPh sb="19" eb="21">
      <t>タイショウ</t>
    </rPh>
    <rPh sb="21" eb="23">
      <t>キカン</t>
    </rPh>
    <rPh sb="25" eb="27">
      <t>ヘンコウ</t>
    </rPh>
    <rPh sb="37" eb="39">
      <t>ヘンコウ</t>
    </rPh>
    <phoneticPr fontId="1"/>
  </si>
  <si>
    <t>から取得できるCSVファイルの内容をグラフ表示します。確率値の詳細等の確認ツールとしてご利用いただけます。</t>
    <rPh sb="2" eb="4">
      <t>シュトク</t>
    </rPh>
    <rPh sb="15" eb="17">
      <t>ナイヨウ</t>
    </rPh>
    <rPh sb="21" eb="23">
      <t>ヒョウジ</t>
    </rPh>
    <rPh sb="33" eb="34">
      <t>トウ</t>
    </rPh>
    <rPh sb="44" eb="46">
      <t>リヨウ</t>
    </rPh>
    <phoneticPr fontId="1"/>
  </si>
  <si>
    <t>このExcelファイルは、確率予測資料（2週間気温予報）提供ページ（https://www.data.jma.go.jp/gmd/risk/probability/guidance/csv_k2w.php）</t>
    <phoneticPr fontId="1"/>
  </si>
  <si>
    <t>2週間気温確率予測資料 グラフ表示シート</t>
    <rPh sb="1" eb="3">
      <t>シュウカン</t>
    </rPh>
    <rPh sb="3" eb="5">
      <t>キオン</t>
    </rPh>
    <rPh sb="5" eb="7">
      <t>カクリツ</t>
    </rPh>
    <rPh sb="7" eb="9">
      <t>ヨソク</t>
    </rPh>
    <rPh sb="9" eb="11">
      <t>シリョウ</t>
    </rPh>
    <rPh sb="15" eb="17">
      <t>ヒョウジ</t>
    </rPh>
    <phoneticPr fontId="1"/>
  </si>
  <si>
    <t>※確率予測資料は数値予報の計算結果から自動作成した予測資料です。このため、気象庁が実際に発表する2週間気温予報とは異なる内容が含まれる場合があります。</t>
    <rPh sb="1" eb="3">
      <t>カクリツ</t>
    </rPh>
    <rPh sb="3" eb="5">
      <t>ヨソク</t>
    </rPh>
    <rPh sb="5" eb="7">
      <t>シリョウ</t>
    </rPh>
    <phoneticPr fontId="1"/>
  </si>
  <si>
    <t>11/13-11/17</t>
  </si>
  <si>
    <t>①「グラフ」シートを開き、ご覧になる地点（地域）を選択し「最新の予測データを取得」ボタンを押すと、ウェブサイトからCSVデータを取得しグラフが更新されます。</t>
    <rPh sb="10" eb="11">
      <t>ヒラ</t>
    </rPh>
    <rPh sb="14" eb="15">
      <t>ラン</t>
    </rPh>
    <rPh sb="18" eb="20">
      <t>チテン</t>
    </rPh>
    <rPh sb="21" eb="23">
      <t>チイキ</t>
    </rPh>
    <rPh sb="25" eb="27">
      <t>センタク</t>
    </rPh>
    <rPh sb="29" eb="31">
      <t>サイシン</t>
    </rPh>
    <rPh sb="32" eb="34">
      <t>ヨソク</t>
    </rPh>
    <rPh sb="38" eb="40">
      <t>シュトク</t>
    </rPh>
    <rPh sb="45" eb="46">
      <t>オ</t>
    </rPh>
    <rPh sb="64" eb="66">
      <t>シュトク</t>
    </rPh>
    <rPh sb="71" eb="73">
      <t>コウシン</t>
    </rPh>
    <phoneticPr fontId="1"/>
  </si>
  <si>
    <t>　確率予測資料（2週間気温予報）提供ページ（https://www.data.jma.go.jp/gmd/risk/probability/guidance/csv_k2w.php）</t>
    <phoneticPr fontId="1"/>
  </si>
  <si>
    <t>・Windows10＋Excel2016　の環境で動作確認をしております。</t>
    <rPh sb="22" eb="24">
      <t>カンキョウ</t>
    </rPh>
    <rPh sb="25" eb="27">
      <t>ドウサ</t>
    </rPh>
    <rPh sb="27" eb="29">
      <t>カクニン</t>
    </rPh>
    <phoneticPr fontId="1"/>
  </si>
  <si>
    <t>確率予測資料のCSVファイルが展開されます。
※セキュリティ等でマクロ機能を使用できない場合は、別途上記サイトよりダウンロードいただいたCSVファイルをそのまま本シートにペーストすることで、グラフを更新できます。</t>
    <rPh sb="35" eb="37">
      <t>キノウ</t>
    </rPh>
    <rPh sb="48" eb="50">
      <t>ベット</t>
    </rPh>
    <rPh sb="50" eb="52">
      <t>ジョウキ</t>
    </rPh>
    <rPh sb="80" eb="81">
      <t>ホン</t>
    </rPh>
    <rPh sb="99" eb="101">
      <t>コウシン</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</si>
</sst>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ＭＳ Ｐゴシック"/>
      <family val="2"/>
      <scheme val="minor"/>
    </font>
    <font>
      <sz val="6"/>
      <name val="ＭＳ Ｐゴシック"/>
      <family val="3"/>
      <charset val="128"/>
      <scheme val="minor"/>
    </font>
    <font>
      <sz val="11"/>
      <color rgb="FFFF0000"/>
      <name val="ＭＳ Ｐゴシック"/>
      <family val="2"/>
      <scheme val="minor"/>
    </font>
    <font>
      <b/>
      <sz val="11"/>
      <color theme="1"/>
      <name val="ＭＳ Ｐゴシック"/>
      <family val="3"/>
      <charset val="128"/>
      <scheme val="minor"/>
    </font>
    <font>
      <b/>
      <sz val="10"/>
      <color theme="1"/>
      <name val="ＭＳ Ｐゴシック"/>
      <family val="3"/>
      <charset val="128"/>
      <scheme val="minor"/>
    </font>
    <font>
      <sz val="9"/>
      <color theme="0"/>
      <name val="ＭＳ Ｐゴシック"/>
      <family val="2"/>
      <scheme val="minor"/>
    </font>
    <font>
      <sz val="9"/>
      <color theme="0"/>
      <name val="ＭＳ Ｐゴシック"/>
      <family val="3"/>
      <charset val="128"/>
      <scheme val="minor"/>
    </font>
    <font>
      <b/>
      <sz val="10"/>
      <color theme="0"/>
      <name val="ＭＳ Ｐゴシック"/>
      <family val="3"/>
      <charset val="128"/>
      <scheme val="minor"/>
    </font>
    <font>
      <sz val="11"/>
      <color theme="0"/>
      <name val="ＭＳ Ｐゴシック"/>
      <family val="3"/>
      <charset val="128"/>
      <scheme val="minor"/>
    </font>
    <font>
      <b/>
      <sz val="14"/>
      <color theme="1"/>
      <name val="ＭＳ Ｐゴシック"/>
      <family val="3"/>
      <charset val="128"/>
      <scheme val="minor"/>
    </font>
    <font>
      <sz val="11"/>
      <color theme="0"/>
      <name val="ＭＳ Ｐゴシック"/>
      <family val="2"/>
      <scheme val="minor"/>
    </font>
    <font>
      <sz val="11"/>
      <color theme="1"/>
      <name val="ＭＳ Ｐゴシック"/>
      <family val="3"/>
      <charset val="128"/>
      <scheme val="minor"/>
    </font>
    <font>
      <sz val="10"/>
      <color theme="1"/>
      <name val="ＭＳ Ｐゴシック"/>
      <family val="3"/>
      <charset val="128"/>
      <scheme val="minor"/>
    </font>
    <font>
      <sz val="10"/>
      <color theme="1"/>
      <name val="ＭＳ Ｐゴシック"/>
      <family val="2"/>
      <scheme val="minor"/>
    </font>
    <font>
      <b/>
      <sz val="11"/>
      <name val="ＭＳ Ｐゴシック"/>
      <family val="3"/>
      <charset val="128"/>
      <scheme val="minor"/>
    </font>
    <font>
      <b/>
      <sz val="12"/>
      <color rgb="FF000000"/>
      <name val="ＭＳ Ｐゴシック"/>
      <family val="3"/>
      <charset val="128"/>
    </font>
    <font>
      <sz val="11"/>
      <color theme="4"/>
      <name val="ＭＳ Ｐゴシック"/>
      <family val="3"/>
      <charset val="128"/>
      <scheme val="minor"/>
    </font>
    <font>
      <sz val="11"/>
      <color theme="4"/>
      <name val="ＭＳ Ｐゴシック"/>
      <family val="2"/>
      <scheme val="minor"/>
    </font>
    <font>
      <b/>
      <sz val="11"/>
      <color theme="4"/>
      <name val="ＭＳ Ｐゴシック"/>
      <family val="3"/>
      <charset val="128"/>
      <scheme val="minor"/>
    </font>
  </fonts>
  <fills count="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s>
  <cellStyleXfs count="1">
    <xf numFmtId="0" fontId="0" fillId="0" borderId="0"/>
  </cellStyleXfs>
  <cellXfs count="42">
    <xf numFmtId="0" fontId="0" fillId="0" borderId="0" xfId="0"/>
    <xf numFmtId="0" fontId="0" fillId="0" borderId="0" xfId="0" applyAlignment="1">
      <alignment vertical="center"/>
    </xf>
    <xf numFmtId="0" fontId="0" fillId="0" borderId="0" xfId="0" applyAlignment="1">
      <alignment horizontal="right"/>
    </xf>
    <xf numFmtId="0" fontId="0" fillId="0" borderId="0" xfId="0" applyAlignment="1">
      <alignment horizontal="center" vertical="center"/>
    </xf>
    <xf numFmtId="0" fontId="0" fillId="2" borderId="0" xfId="0" applyFill="1" applyBorder="1"/>
    <xf numFmtId="0" fontId="0" fillId="4" borderId="0" xfId="0" applyFill="1"/>
    <xf numFmtId="0" fontId="0" fillId="0" borderId="0" xfId="0" applyAlignment="1">
      <alignment horizontal="center"/>
    </xf>
    <xf numFmtId="0" fontId="0" fillId="5" borderId="0" xfId="0" applyFill="1"/>
    <xf numFmtId="0" fontId="0" fillId="6" borderId="0" xfId="0" applyFill="1"/>
    <xf numFmtId="0" fontId="0" fillId="7" borderId="0" xfId="0" applyFill="1"/>
    <xf numFmtId="0" fontId="11" fillId="0" borderId="0" xfId="0" applyFont="1"/>
    <xf numFmtId="0" fontId="4" fillId="8" borderId="4" xfId="0" applyFont="1" applyFill="1" applyBorder="1" applyAlignment="1">
      <alignment horizontal="center"/>
    </xf>
    <xf numFmtId="0" fontId="3" fillId="7" borderId="0" xfId="0" applyFont="1" applyFill="1"/>
    <xf numFmtId="0" fontId="11" fillId="7" borderId="4" xfId="0" applyFont="1" applyFill="1" applyBorder="1"/>
    <xf numFmtId="0" fontId="11" fillId="7" borderId="0" xfId="0" applyFont="1" applyFill="1"/>
    <xf numFmtId="0" fontId="11" fillId="7" borderId="4" xfId="0" applyFont="1" applyFill="1" applyBorder="1" applyAlignment="1">
      <alignment vertical="center"/>
    </xf>
    <xf numFmtId="0" fontId="9" fillId="3" borderId="1" xfId="0" applyFont="1" applyFill="1" applyBorder="1" applyAlignment="1">
      <alignment horizontal="center"/>
    </xf>
    <xf numFmtId="0" fontId="9" fillId="7" borderId="0" xfId="0" applyFont="1" applyFill="1" applyAlignment="1">
      <alignment vertical="center"/>
    </xf>
    <xf numFmtId="0" fontId="18" fillId="7" borderId="0" xfId="0" applyFont="1" applyFill="1" applyAlignment="1">
      <alignment vertical="center"/>
    </xf>
    <xf numFmtId="0" fontId="16" fillId="7" borderId="0" xfId="0" applyFont="1" applyFill="1"/>
    <xf numFmtId="0" fontId="16" fillId="7" borderId="0" xfId="0" applyFont="1" applyFill="1" applyAlignment="1">
      <alignment vertical="center"/>
    </xf>
    <xf numFmtId="0" fontId="2" fillId="7" borderId="0" xfId="0" applyFont="1" applyFill="1"/>
    <xf numFmtId="0" fontId="0" fillId="7" borderId="0" xfId="0" applyFill="1" applyAlignment="1">
      <alignment horizontal="right"/>
    </xf>
    <xf numFmtId="0" fontId="8" fillId="7" borderId="0" xfId="0" applyFont="1" applyFill="1"/>
    <xf numFmtId="0" fontId="5" fillId="7" borderId="0" xfId="0" applyFont="1" applyFill="1" applyAlignment="1">
      <alignment horizontal="right"/>
    </xf>
    <xf numFmtId="0" fontId="7" fillId="7" borderId="0" xfId="0" applyFont="1" applyFill="1" applyBorder="1" applyAlignment="1">
      <alignment horizontal="center"/>
    </xf>
    <xf numFmtId="0" fontId="6" fillId="7" borderId="0" xfId="0" applyFont="1" applyFill="1"/>
    <xf numFmtId="0" fontId="14" fillId="7" borderId="0" xfId="0" applyFont="1" applyFill="1"/>
    <xf numFmtId="0" fontId="17" fillId="7" borderId="0" xfId="0" applyFont="1" applyFill="1"/>
    <xf numFmtId="0" fontId="12" fillId="7" borderId="0" xfId="0" applyFont="1" applyFill="1"/>
    <xf numFmtId="0" fontId="13" fillId="7" borderId="0" xfId="0" applyFont="1" applyFill="1"/>
    <xf numFmtId="0" fontId="10" fillId="7" borderId="0" xfId="0" applyFont="1" applyFill="1"/>
    <xf numFmtId="49" fontId="0" fillId="0" borderId="0" xfId="0" applyNumberFormat="1"/>
    <xf numFmtId="0" fontId="4" fillId="8" borderId="4" xfId="0" applyFont="1" applyFill="1" applyBorder="1" applyAlignment="1">
      <alignment horizontal="center"/>
    </xf>
    <xf numFmtId="0" fontId="11" fillId="7" borderId="4" xfId="0" applyFont="1" applyFill="1" applyBorder="1" applyAlignment="1">
      <alignment horizontal="left"/>
    </xf>
    <xf numFmtId="0" fontId="11" fillId="7" borderId="4" xfId="0" applyFont="1" applyFill="1" applyBorder="1" applyAlignment="1">
      <alignment horizontal="left" vertical="center" wrapText="1"/>
    </xf>
    <xf numFmtId="0" fontId="11" fillId="7" borderId="4" xfId="0" applyFont="1" applyFill="1" applyBorder="1" applyAlignment="1">
      <alignment horizontal="left" vertical="center"/>
    </xf>
    <xf numFmtId="49" fontId="9" fillId="3" borderId="2" xfId="0" applyNumberFormat="1" applyFont="1" applyFill="1" applyBorder="1" applyAlignment="1">
      <alignment horizontal="center"/>
    </xf>
    <xf numFmtId="49" fontId="9" fillId="3" borderId="3" xfId="0" applyNumberFormat="1" applyFont="1" applyFill="1" applyBorder="1" applyAlignment="1">
      <alignment horizontal="center"/>
    </xf>
    <xf numFmtId="0" fontId="9" fillId="3" borderId="2" xfId="0" applyFont="1" applyFill="1" applyBorder="1" applyAlignment="1">
      <alignment horizontal="center"/>
    </xf>
    <xf numFmtId="0" fontId="9" fillId="3" borderId="3" xfId="0" applyFont="1" applyFill="1" applyBorder="1" applyAlignment="1">
      <alignment horizontal="center"/>
    </xf>
    <xf numFmtId="0" fontId="9" fillId="3" borderId="5" xfId="0" applyFont="1" applyFill="1" applyBorder="1" applyAlignment="1">
      <alignment horizontal="center"/>
    </xf>
  </cellXfs>
  <cellStyles count="1">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グラフ!$A$11</c:f>
          <c:strCache>
            <c:ptCount val="1"/>
            <c:pt idx="0">
              <c:v>#N/A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ja-JP"/>
        </a:p>
      </c:txPr>
    </c:title>
    <c:autoTitleDeleted val="0"/>
    <c:plotArea>
      <c:layout/>
      <c:lineChart>
        <c:grouping val="standard"/>
        <c:varyColors val="0"/>
        <c:ser>
          <c:idx val="2"/>
          <c:order val="0"/>
          <c:tx>
            <c:strRef>
              <c:f>calc!$G$1</c:f>
              <c:strCache>
                <c:ptCount val="1"/>
                <c:pt idx="0">
                  <c:v>最低気温</c:v>
                </c:pt>
              </c:strCache>
            </c:strRef>
          </c:tx>
          <c:spPr>
            <a:ln w="19050" cap="rnd">
              <a:solidFill>
                <a:schemeClr val="tx2"/>
              </a:solidFill>
              <a:round/>
            </a:ln>
            <a:effectLst/>
          </c:spPr>
          <c:marker>
            <c:symbol val="circle"/>
            <c:size val="6"/>
            <c:spPr>
              <a:solidFill>
                <a:schemeClr val="tx2"/>
              </a:solidFill>
              <a:ln w="9525">
                <a:solidFill>
                  <a:schemeClr val="tx2"/>
                </a:solidFill>
              </a:ln>
              <a:effectLst/>
            </c:spPr>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calc!$G$2:$G$14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5"/>
          <c:order val="1"/>
          <c:tx>
            <c:strRef>
              <c:f>calc!$J$1</c:f>
              <c:strCache>
                <c:ptCount val="1"/>
                <c:pt idx="0">
                  <c:v>最低気温（平年値）</c:v>
                </c:pt>
              </c:strCache>
            </c:strRef>
          </c:tx>
          <c:spPr>
            <a:ln w="28575" cap="rnd">
              <a:solidFill>
                <a:schemeClr val="tx2">
                  <a:lumMod val="60000"/>
                  <a:lumOff val="40000"/>
                </a:schemeClr>
              </a:solidFill>
              <a:round/>
            </a:ln>
            <a:effectLst/>
          </c:spPr>
          <c:marker>
            <c:symbol val="none"/>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calc!$J$2:$J$14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8"/>
          <c:order val="2"/>
          <c:tx>
            <c:strRef>
              <c:f>calc!$M$1</c:f>
              <c:strCache>
                <c:ptCount val="1"/>
                <c:pt idx="0">
                  <c:v>最低気温（過去10年）</c:v>
                </c:pt>
              </c:strCache>
            </c:strRef>
          </c:tx>
          <c:spPr>
            <a:ln w="12700" cap="rnd">
              <a:solidFill>
                <a:schemeClr val="tx2"/>
              </a:solidFill>
              <a:prstDash val="dash"/>
              <a:round/>
            </a:ln>
            <a:effectLst/>
          </c:spPr>
          <c:marker>
            <c:symbol val="none"/>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calc!$M$2:$M$14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11"/>
          <c:order val="3"/>
          <c:tx>
            <c:strRef>
              <c:f>calc!$P$1</c:f>
              <c:strCache>
                <c:ptCount val="1"/>
                <c:pt idx="0">
                  <c:v>最低気温（昨年）</c:v>
                </c:pt>
              </c:strCache>
            </c:strRef>
          </c:tx>
          <c:spPr>
            <a:ln w="9525" cap="rnd">
              <a:noFill/>
              <a:round/>
            </a:ln>
            <a:effectLst/>
          </c:spPr>
          <c:marker>
            <c:symbol val="circle"/>
            <c:size val="8"/>
            <c:spPr>
              <a:noFill/>
              <a:ln w="9525">
                <a:solidFill>
                  <a:schemeClr val="tx2">
                    <a:lumMod val="75000"/>
                  </a:schemeClr>
                </a:solidFill>
              </a:ln>
              <a:effectLst/>
            </c:spPr>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calc!$P$2:$P$14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366140840"/>
        <c:axId val="366140056"/>
      </c:lineChart>
      <c:catAx>
        <c:axId val="366140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366140056"/>
        <c:crossesAt val="-100"/>
        <c:auto val="1"/>
        <c:lblAlgn val="ctr"/>
        <c:lblOffset val="100"/>
        <c:noMultiLvlLbl val="0"/>
      </c:catAx>
      <c:valAx>
        <c:axId val="366140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ja-JP"/>
                  <a:t>気温℃（地域の場合は平年差）</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366140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グラフ!$A$44</c:f>
          <c:strCache>
            <c:ptCount val="1"/>
            <c:pt idx="0">
              <c:v>#N/A</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2"/>
          <c:order val="0"/>
          <c:tx>
            <c:strRef>
              <c:f>calc!$U$43</c:f>
              <c:strCache>
                <c:ptCount val="1"/>
                <c:pt idx="0">
                  <c:v>最低気温</c:v>
                </c:pt>
              </c:strCache>
            </c:strRef>
          </c:tx>
          <c:spPr>
            <a:solidFill>
              <a:schemeClr val="tx2">
                <a:lumMod val="40000"/>
                <a:lumOff val="60000"/>
              </a:schemeClr>
            </a:solidFill>
            <a:ln w="9525" cap="flat" cmpd="sng" algn="ctr">
              <a:solidFill>
                <a:schemeClr val="accent1"/>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calc!$U$44:$U$56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00"/>
        <c:axId val="366138096"/>
        <c:axId val="366138880"/>
      </c:barChart>
      <c:catAx>
        <c:axId val="36613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366138880"/>
        <c:crosses val="autoZero"/>
        <c:auto val="1"/>
        <c:lblAlgn val="ctr"/>
        <c:lblOffset val="100"/>
        <c:noMultiLvlLbl val="0"/>
      </c:catAx>
      <c:valAx>
        <c:axId val="366138880"/>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366138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グラフ!$A$91</c:f>
          <c:strCache>
            <c:ptCount val="1"/>
            <c:pt idx="0">
              <c:v>#N/A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smoothMarker"/>
        <c:varyColors val="0"/>
        <c:ser>
          <c:idx val="2"/>
          <c:order val="0"/>
          <c:tx>
            <c:strRef>
              <c:f>calc!$HM$46</c:f>
              <c:strCache>
                <c:ptCount val="1"/>
                <c:pt idx="0">
                  <c:v>最低気温</c:v>
                </c:pt>
              </c:strCache>
            </c:strRef>
          </c:tx>
          <c:spPr>
            <a:ln w="19050" cap="rnd">
              <a:solidFill>
                <a:schemeClr val="tx2"/>
              </a:solidFill>
              <a:round/>
            </a:ln>
            <a:effectLst/>
          </c:spPr>
          <c:marker>
            <c:symbol val="none"/>
          </c:marker>
          <c:xVal>
            <c:numRef>
              <c:f>calc!$HN$1:$TB$1</c:f>
              <c:numCache>
                <c:formatCode>General</c:formatCode>
                <c:ptCount val="301"/>
                <c:pt idx="0">
                  <c:v>-5</c:v>
                </c:pt>
                <c:pt idx="1">
                  <c:v>-4.9000000000000004</c:v>
                </c:pt>
                <c:pt idx="2">
                  <c:v>-4.8</c:v>
                </c:pt>
                <c:pt idx="3">
                  <c:v>-4.7</c:v>
                </c:pt>
                <c:pt idx="4">
                  <c:v>-4.5999999999999996</c:v>
                </c:pt>
                <c:pt idx="5">
                  <c:v>-4.5</c:v>
                </c:pt>
                <c:pt idx="6">
                  <c:v>-4.4000000000000004</c:v>
                </c:pt>
                <c:pt idx="7">
                  <c:v>-4.3</c:v>
                </c:pt>
                <c:pt idx="8">
                  <c:v>-4.2</c:v>
                </c:pt>
                <c:pt idx="9">
                  <c:v>-4.0999999999999996</c:v>
                </c:pt>
                <c:pt idx="10">
                  <c:v>-4</c:v>
                </c:pt>
                <c:pt idx="11">
                  <c:v>-3.9</c:v>
                </c:pt>
                <c:pt idx="12">
                  <c:v>-3.8</c:v>
                </c:pt>
                <c:pt idx="13">
                  <c:v>-3.7</c:v>
                </c:pt>
                <c:pt idx="14">
                  <c:v>-3.6</c:v>
                </c:pt>
                <c:pt idx="15">
                  <c:v>-3.5</c:v>
                </c:pt>
                <c:pt idx="16">
                  <c:v>-3.4</c:v>
                </c:pt>
                <c:pt idx="17">
                  <c:v>-3.3</c:v>
                </c:pt>
                <c:pt idx="18">
                  <c:v>-3.2</c:v>
                </c:pt>
                <c:pt idx="19">
                  <c:v>-3.1</c:v>
                </c:pt>
                <c:pt idx="20">
                  <c:v>-3</c:v>
                </c:pt>
                <c:pt idx="21">
                  <c:v>-2.9</c:v>
                </c:pt>
                <c:pt idx="22">
                  <c:v>-2.8</c:v>
                </c:pt>
                <c:pt idx="23">
                  <c:v>-2.7</c:v>
                </c:pt>
                <c:pt idx="24">
                  <c:v>-2.6</c:v>
                </c:pt>
                <c:pt idx="25">
                  <c:v>-2.5</c:v>
                </c:pt>
                <c:pt idx="26">
                  <c:v>-2.4</c:v>
                </c:pt>
                <c:pt idx="27">
                  <c:v>-2.2999999999999998</c:v>
                </c:pt>
                <c:pt idx="28">
                  <c:v>-2.2000000000000002</c:v>
                </c:pt>
                <c:pt idx="29">
                  <c:v>-2.1</c:v>
                </c:pt>
                <c:pt idx="30">
                  <c:v>-2</c:v>
                </c:pt>
                <c:pt idx="31">
                  <c:v>-1.9</c:v>
                </c:pt>
                <c:pt idx="32">
                  <c:v>-1.8</c:v>
                </c:pt>
                <c:pt idx="33">
                  <c:v>-1.7</c:v>
                </c:pt>
                <c:pt idx="34">
                  <c:v>-1.6</c:v>
                </c:pt>
                <c:pt idx="35">
                  <c:v>-1.5</c:v>
                </c:pt>
                <c:pt idx="36">
                  <c:v>-1.4</c:v>
                </c:pt>
                <c:pt idx="37">
                  <c:v>-1.3</c:v>
                </c:pt>
                <c:pt idx="38">
                  <c:v>-1.2</c:v>
                </c:pt>
                <c:pt idx="39">
                  <c:v>-1.1000000000000001</c:v>
                </c:pt>
                <c:pt idx="40">
                  <c:v>-1</c:v>
                </c:pt>
                <c:pt idx="41">
                  <c:v>-0.9</c:v>
                </c:pt>
                <c:pt idx="42">
                  <c:v>-0.8</c:v>
                </c:pt>
                <c:pt idx="43">
                  <c:v>-0.7</c:v>
                </c:pt>
                <c:pt idx="44">
                  <c:v>-0.6</c:v>
                </c:pt>
                <c:pt idx="45">
                  <c:v>-0.5</c:v>
                </c:pt>
                <c:pt idx="46">
                  <c:v>-0.4</c:v>
                </c:pt>
                <c:pt idx="47">
                  <c:v>-0.3</c:v>
                </c:pt>
                <c:pt idx="48">
                  <c:v>-0.2</c:v>
                </c:pt>
                <c:pt idx="49">
                  <c:v>-0.1</c:v>
                </c:pt>
                <c:pt idx="50">
                  <c:v>0</c:v>
                </c:pt>
                <c:pt idx="51">
                  <c:v>0.1</c:v>
                </c:pt>
                <c:pt idx="52">
                  <c:v>0.2</c:v>
                </c:pt>
                <c:pt idx="53">
                  <c:v>0.3</c:v>
                </c:pt>
                <c:pt idx="54">
                  <c:v>0.4</c:v>
                </c:pt>
                <c:pt idx="55">
                  <c:v>0.5</c:v>
                </c:pt>
                <c:pt idx="56">
                  <c:v>0.6</c:v>
                </c:pt>
                <c:pt idx="57">
                  <c:v>0.7</c:v>
                </c:pt>
                <c:pt idx="58">
                  <c:v>0.8</c:v>
                </c:pt>
                <c:pt idx="59">
                  <c:v>0.9</c:v>
                </c:pt>
                <c:pt idx="60">
                  <c:v>1</c:v>
                </c:pt>
                <c:pt idx="61">
                  <c:v>1.1000000000000001</c:v>
                </c:pt>
                <c:pt idx="62">
                  <c:v>1.2</c:v>
                </c:pt>
                <c:pt idx="63">
                  <c:v>1.3</c:v>
                </c:pt>
                <c:pt idx="64">
                  <c:v>1.4</c:v>
                </c:pt>
                <c:pt idx="65">
                  <c:v>1.5</c:v>
                </c:pt>
                <c:pt idx="66">
                  <c:v>1.6</c:v>
                </c:pt>
                <c:pt idx="67">
                  <c:v>1.7</c:v>
                </c:pt>
                <c:pt idx="68">
                  <c:v>1.8</c:v>
                </c:pt>
                <c:pt idx="69">
                  <c:v>1.9</c:v>
                </c:pt>
                <c:pt idx="70">
                  <c:v>2</c:v>
                </c:pt>
                <c:pt idx="71">
                  <c:v>2.1</c:v>
                </c:pt>
                <c:pt idx="72">
                  <c:v>2.2000000000000002</c:v>
                </c:pt>
                <c:pt idx="73">
                  <c:v>2.2999999999999998</c:v>
                </c:pt>
                <c:pt idx="74">
                  <c:v>2.4</c:v>
                </c:pt>
                <c:pt idx="75">
                  <c:v>2.5</c:v>
                </c:pt>
                <c:pt idx="76">
                  <c:v>2.6</c:v>
                </c:pt>
                <c:pt idx="77">
                  <c:v>2.7</c:v>
                </c:pt>
                <c:pt idx="78">
                  <c:v>2.8</c:v>
                </c:pt>
                <c:pt idx="79">
                  <c:v>2.9</c:v>
                </c:pt>
                <c:pt idx="80">
                  <c:v>3</c:v>
                </c:pt>
                <c:pt idx="81">
                  <c:v>3.1</c:v>
                </c:pt>
                <c:pt idx="82">
                  <c:v>3.2</c:v>
                </c:pt>
                <c:pt idx="83">
                  <c:v>3.3</c:v>
                </c:pt>
                <c:pt idx="84">
                  <c:v>3.4</c:v>
                </c:pt>
                <c:pt idx="85">
                  <c:v>3.5</c:v>
                </c:pt>
                <c:pt idx="86">
                  <c:v>3.6</c:v>
                </c:pt>
                <c:pt idx="87">
                  <c:v>3.7</c:v>
                </c:pt>
                <c:pt idx="88">
                  <c:v>3.8</c:v>
                </c:pt>
                <c:pt idx="89">
                  <c:v>3.9</c:v>
                </c:pt>
                <c:pt idx="90">
                  <c:v>4</c:v>
                </c:pt>
                <c:pt idx="91">
                  <c:v>4.0999999999999996</c:v>
                </c:pt>
                <c:pt idx="92">
                  <c:v>4.2</c:v>
                </c:pt>
                <c:pt idx="93">
                  <c:v>4.3</c:v>
                </c:pt>
                <c:pt idx="94">
                  <c:v>4.4000000000000004</c:v>
                </c:pt>
                <c:pt idx="95">
                  <c:v>4.5</c:v>
                </c:pt>
                <c:pt idx="96">
                  <c:v>4.5999999999999996</c:v>
                </c:pt>
                <c:pt idx="97">
                  <c:v>4.7</c:v>
                </c:pt>
                <c:pt idx="98">
                  <c:v>4.8</c:v>
                </c:pt>
                <c:pt idx="99">
                  <c:v>4.9000000000000004</c:v>
                </c:pt>
                <c:pt idx="100">
                  <c:v>5</c:v>
                </c:pt>
                <c:pt idx="101">
                  <c:v>5.0999999999999996</c:v>
                </c:pt>
                <c:pt idx="102">
                  <c:v>5.2</c:v>
                </c:pt>
                <c:pt idx="103">
                  <c:v>5.3</c:v>
                </c:pt>
                <c:pt idx="104">
                  <c:v>5.4</c:v>
                </c:pt>
                <c:pt idx="105">
                  <c:v>5.5</c:v>
                </c:pt>
                <c:pt idx="106">
                  <c:v>5.6</c:v>
                </c:pt>
                <c:pt idx="107">
                  <c:v>5.7</c:v>
                </c:pt>
                <c:pt idx="108">
                  <c:v>5.8</c:v>
                </c:pt>
                <c:pt idx="109">
                  <c:v>5.9</c:v>
                </c:pt>
                <c:pt idx="110">
                  <c:v>6</c:v>
                </c:pt>
                <c:pt idx="111">
                  <c:v>6.1</c:v>
                </c:pt>
                <c:pt idx="112">
                  <c:v>6.2</c:v>
                </c:pt>
                <c:pt idx="113">
                  <c:v>6.3</c:v>
                </c:pt>
                <c:pt idx="114">
                  <c:v>6.4</c:v>
                </c:pt>
                <c:pt idx="115">
                  <c:v>6.5</c:v>
                </c:pt>
                <c:pt idx="116">
                  <c:v>6.6</c:v>
                </c:pt>
                <c:pt idx="117">
                  <c:v>6.7</c:v>
                </c:pt>
                <c:pt idx="118">
                  <c:v>6.8</c:v>
                </c:pt>
                <c:pt idx="119">
                  <c:v>6.9</c:v>
                </c:pt>
                <c:pt idx="120">
                  <c:v>7</c:v>
                </c:pt>
                <c:pt idx="121">
                  <c:v>7.1</c:v>
                </c:pt>
                <c:pt idx="122">
                  <c:v>7.2</c:v>
                </c:pt>
                <c:pt idx="123">
                  <c:v>7.3</c:v>
                </c:pt>
                <c:pt idx="124">
                  <c:v>7.4</c:v>
                </c:pt>
                <c:pt idx="125">
                  <c:v>7.5</c:v>
                </c:pt>
                <c:pt idx="126">
                  <c:v>7.6</c:v>
                </c:pt>
                <c:pt idx="127">
                  <c:v>7.7</c:v>
                </c:pt>
                <c:pt idx="128">
                  <c:v>7.8</c:v>
                </c:pt>
                <c:pt idx="129">
                  <c:v>7.9</c:v>
                </c:pt>
                <c:pt idx="130">
                  <c:v>8</c:v>
                </c:pt>
                <c:pt idx="131">
                  <c:v>8.1</c:v>
                </c:pt>
                <c:pt idx="132">
                  <c:v>8.1999999999999993</c:v>
                </c:pt>
                <c:pt idx="133">
                  <c:v>8.3000000000000007</c:v>
                </c:pt>
                <c:pt idx="134">
                  <c:v>8.4</c:v>
                </c:pt>
                <c:pt idx="135">
                  <c:v>8.5</c:v>
                </c:pt>
                <c:pt idx="136">
                  <c:v>8.6</c:v>
                </c:pt>
                <c:pt idx="137">
                  <c:v>8.6999999999999993</c:v>
                </c:pt>
                <c:pt idx="138">
                  <c:v>8.8000000000000007</c:v>
                </c:pt>
                <c:pt idx="139">
                  <c:v>8.9</c:v>
                </c:pt>
                <c:pt idx="140">
                  <c:v>9</c:v>
                </c:pt>
                <c:pt idx="141">
                  <c:v>9.1</c:v>
                </c:pt>
                <c:pt idx="142">
                  <c:v>9.1999999999999993</c:v>
                </c:pt>
                <c:pt idx="143">
                  <c:v>9.3000000000000007</c:v>
                </c:pt>
                <c:pt idx="144">
                  <c:v>9.4</c:v>
                </c:pt>
                <c:pt idx="145">
                  <c:v>9.5</c:v>
                </c:pt>
                <c:pt idx="146">
                  <c:v>9.6</c:v>
                </c:pt>
                <c:pt idx="147">
                  <c:v>9.6999999999999993</c:v>
                </c:pt>
                <c:pt idx="148">
                  <c:v>9.8000000000000007</c:v>
                </c:pt>
                <c:pt idx="149">
                  <c:v>9.9</c:v>
                </c:pt>
                <c:pt idx="150">
                  <c:v>10</c:v>
                </c:pt>
                <c:pt idx="151">
                  <c:v>10.1</c:v>
                </c:pt>
                <c:pt idx="152">
                  <c:v>10.199999999999999</c:v>
                </c:pt>
                <c:pt idx="153">
                  <c:v>10.3</c:v>
                </c:pt>
                <c:pt idx="154">
                  <c:v>10.4</c:v>
                </c:pt>
                <c:pt idx="155">
                  <c:v>10.5</c:v>
                </c:pt>
                <c:pt idx="156">
                  <c:v>10.6</c:v>
                </c:pt>
                <c:pt idx="157">
                  <c:v>10.7</c:v>
                </c:pt>
                <c:pt idx="158">
                  <c:v>10.8</c:v>
                </c:pt>
                <c:pt idx="159">
                  <c:v>10.9</c:v>
                </c:pt>
                <c:pt idx="160">
                  <c:v>11</c:v>
                </c:pt>
                <c:pt idx="161">
                  <c:v>11.1</c:v>
                </c:pt>
                <c:pt idx="162">
                  <c:v>11.2</c:v>
                </c:pt>
                <c:pt idx="163">
                  <c:v>11.3</c:v>
                </c:pt>
                <c:pt idx="164">
                  <c:v>11.4</c:v>
                </c:pt>
                <c:pt idx="165">
                  <c:v>11.5</c:v>
                </c:pt>
                <c:pt idx="166">
                  <c:v>11.6</c:v>
                </c:pt>
                <c:pt idx="167">
                  <c:v>11.7</c:v>
                </c:pt>
                <c:pt idx="168">
                  <c:v>11.8</c:v>
                </c:pt>
                <c:pt idx="169">
                  <c:v>11.9</c:v>
                </c:pt>
                <c:pt idx="170">
                  <c:v>12</c:v>
                </c:pt>
                <c:pt idx="171">
                  <c:v>12.1</c:v>
                </c:pt>
                <c:pt idx="172">
                  <c:v>12.2</c:v>
                </c:pt>
                <c:pt idx="173">
                  <c:v>12.3</c:v>
                </c:pt>
                <c:pt idx="174">
                  <c:v>12.4</c:v>
                </c:pt>
                <c:pt idx="175">
                  <c:v>12.5</c:v>
                </c:pt>
                <c:pt idx="176">
                  <c:v>12.6</c:v>
                </c:pt>
                <c:pt idx="177">
                  <c:v>12.7</c:v>
                </c:pt>
                <c:pt idx="178">
                  <c:v>12.8</c:v>
                </c:pt>
                <c:pt idx="179">
                  <c:v>12.9</c:v>
                </c:pt>
                <c:pt idx="180">
                  <c:v>13</c:v>
                </c:pt>
                <c:pt idx="181">
                  <c:v>13.1</c:v>
                </c:pt>
                <c:pt idx="182">
                  <c:v>13.2</c:v>
                </c:pt>
                <c:pt idx="183">
                  <c:v>13.3</c:v>
                </c:pt>
                <c:pt idx="184">
                  <c:v>13.4</c:v>
                </c:pt>
                <c:pt idx="185">
                  <c:v>13.5</c:v>
                </c:pt>
                <c:pt idx="186">
                  <c:v>13.6</c:v>
                </c:pt>
                <c:pt idx="187">
                  <c:v>13.7</c:v>
                </c:pt>
                <c:pt idx="188">
                  <c:v>13.8</c:v>
                </c:pt>
                <c:pt idx="189">
                  <c:v>13.9</c:v>
                </c:pt>
                <c:pt idx="190">
                  <c:v>14</c:v>
                </c:pt>
                <c:pt idx="191">
                  <c:v>14.1</c:v>
                </c:pt>
                <c:pt idx="192">
                  <c:v>14.2</c:v>
                </c:pt>
                <c:pt idx="193">
                  <c:v>14.3</c:v>
                </c:pt>
                <c:pt idx="194">
                  <c:v>14.4</c:v>
                </c:pt>
                <c:pt idx="195">
                  <c:v>14.5</c:v>
                </c:pt>
                <c:pt idx="196">
                  <c:v>14.6</c:v>
                </c:pt>
                <c:pt idx="197">
                  <c:v>14.7</c:v>
                </c:pt>
                <c:pt idx="198">
                  <c:v>14.8</c:v>
                </c:pt>
                <c:pt idx="199">
                  <c:v>14.9</c:v>
                </c:pt>
                <c:pt idx="200">
                  <c:v>15</c:v>
                </c:pt>
                <c:pt idx="201">
                  <c:v>15.1</c:v>
                </c:pt>
                <c:pt idx="202">
                  <c:v>15.2</c:v>
                </c:pt>
                <c:pt idx="203">
                  <c:v>15.3</c:v>
                </c:pt>
                <c:pt idx="204">
                  <c:v>15.4</c:v>
                </c:pt>
                <c:pt idx="205">
                  <c:v>15.5</c:v>
                </c:pt>
                <c:pt idx="206">
                  <c:v>15.6</c:v>
                </c:pt>
                <c:pt idx="207">
                  <c:v>15.7</c:v>
                </c:pt>
                <c:pt idx="208">
                  <c:v>15.8</c:v>
                </c:pt>
                <c:pt idx="209">
                  <c:v>15.9</c:v>
                </c:pt>
                <c:pt idx="210">
                  <c:v>16</c:v>
                </c:pt>
                <c:pt idx="211">
                  <c:v>16.100000000000001</c:v>
                </c:pt>
                <c:pt idx="212">
                  <c:v>16.2</c:v>
                </c:pt>
                <c:pt idx="213">
                  <c:v>16.3</c:v>
                </c:pt>
                <c:pt idx="214">
                  <c:v>16.399999999999999</c:v>
                </c:pt>
                <c:pt idx="215">
                  <c:v>16.5</c:v>
                </c:pt>
                <c:pt idx="216">
                  <c:v>16.600000000000001</c:v>
                </c:pt>
                <c:pt idx="217">
                  <c:v>16.7</c:v>
                </c:pt>
                <c:pt idx="218">
                  <c:v>16.8</c:v>
                </c:pt>
                <c:pt idx="219">
                  <c:v>16.899999999999999</c:v>
                </c:pt>
                <c:pt idx="220">
                  <c:v>17</c:v>
                </c:pt>
                <c:pt idx="221">
                  <c:v>17.100000000000001</c:v>
                </c:pt>
                <c:pt idx="222">
                  <c:v>17.2</c:v>
                </c:pt>
                <c:pt idx="223">
                  <c:v>17.3</c:v>
                </c:pt>
                <c:pt idx="224">
                  <c:v>17.399999999999999</c:v>
                </c:pt>
                <c:pt idx="225">
                  <c:v>17.5</c:v>
                </c:pt>
                <c:pt idx="226">
                  <c:v>17.600000000000001</c:v>
                </c:pt>
                <c:pt idx="227">
                  <c:v>17.7</c:v>
                </c:pt>
                <c:pt idx="228">
                  <c:v>17.8</c:v>
                </c:pt>
                <c:pt idx="229">
                  <c:v>17.899999999999999</c:v>
                </c:pt>
                <c:pt idx="230">
                  <c:v>18</c:v>
                </c:pt>
                <c:pt idx="231">
                  <c:v>18.100000000000001</c:v>
                </c:pt>
                <c:pt idx="232">
                  <c:v>18.2</c:v>
                </c:pt>
                <c:pt idx="233">
                  <c:v>18.3</c:v>
                </c:pt>
                <c:pt idx="234">
                  <c:v>18.399999999999999</c:v>
                </c:pt>
                <c:pt idx="235">
                  <c:v>18.5</c:v>
                </c:pt>
                <c:pt idx="236">
                  <c:v>18.600000000000001</c:v>
                </c:pt>
                <c:pt idx="237">
                  <c:v>18.7</c:v>
                </c:pt>
                <c:pt idx="238">
                  <c:v>18.8</c:v>
                </c:pt>
                <c:pt idx="239">
                  <c:v>18.899999999999999</c:v>
                </c:pt>
                <c:pt idx="240">
                  <c:v>19</c:v>
                </c:pt>
                <c:pt idx="241">
                  <c:v>19.100000000000001</c:v>
                </c:pt>
                <c:pt idx="242">
                  <c:v>19.2</c:v>
                </c:pt>
                <c:pt idx="243">
                  <c:v>19.3</c:v>
                </c:pt>
                <c:pt idx="244">
                  <c:v>19.399999999999999</c:v>
                </c:pt>
                <c:pt idx="245">
                  <c:v>19.5</c:v>
                </c:pt>
                <c:pt idx="246">
                  <c:v>19.600000000000001</c:v>
                </c:pt>
                <c:pt idx="247">
                  <c:v>19.7</c:v>
                </c:pt>
                <c:pt idx="248">
                  <c:v>19.8</c:v>
                </c:pt>
                <c:pt idx="249">
                  <c:v>19.899999999999999</c:v>
                </c:pt>
                <c:pt idx="250">
                  <c:v>20</c:v>
                </c:pt>
                <c:pt idx="251">
                  <c:v>20.100000000000001</c:v>
                </c:pt>
                <c:pt idx="252">
                  <c:v>20.2</c:v>
                </c:pt>
                <c:pt idx="253">
                  <c:v>20.3</c:v>
                </c:pt>
                <c:pt idx="254">
                  <c:v>20.399999999999999</c:v>
                </c:pt>
                <c:pt idx="255">
                  <c:v>20.5</c:v>
                </c:pt>
                <c:pt idx="256">
                  <c:v>20.6</c:v>
                </c:pt>
                <c:pt idx="257">
                  <c:v>20.7</c:v>
                </c:pt>
                <c:pt idx="258">
                  <c:v>20.8</c:v>
                </c:pt>
                <c:pt idx="259">
                  <c:v>20.9</c:v>
                </c:pt>
                <c:pt idx="260">
                  <c:v>21</c:v>
                </c:pt>
                <c:pt idx="261">
                  <c:v>21.1</c:v>
                </c:pt>
                <c:pt idx="262">
                  <c:v>21.2</c:v>
                </c:pt>
                <c:pt idx="263">
                  <c:v>21.3</c:v>
                </c:pt>
                <c:pt idx="264">
                  <c:v>21.4</c:v>
                </c:pt>
                <c:pt idx="265">
                  <c:v>21.5</c:v>
                </c:pt>
                <c:pt idx="266">
                  <c:v>21.6</c:v>
                </c:pt>
                <c:pt idx="267">
                  <c:v>21.7</c:v>
                </c:pt>
                <c:pt idx="268">
                  <c:v>21.8</c:v>
                </c:pt>
                <c:pt idx="269">
                  <c:v>21.9</c:v>
                </c:pt>
                <c:pt idx="270">
                  <c:v>22</c:v>
                </c:pt>
                <c:pt idx="271">
                  <c:v>22.1</c:v>
                </c:pt>
                <c:pt idx="272">
                  <c:v>22.2</c:v>
                </c:pt>
                <c:pt idx="273">
                  <c:v>22.3</c:v>
                </c:pt>
                <c:pt idx="274">
                  <c:v>22.4</c:v>
                </c:pt>
                <c:pt idx="275">
                  <c:v>22.5</c:v>
                </c:pt>
                <c:pt idx="276">
                  <c:v>22.6</c:v>
                </c:pt>
                <c:pt idx="277">
                  <c:v>22.7</c:v>
                </c:pt>
                <c:pt idx="278">
                  <c:v>22.8</c:v>
                </c:pt>
                <c:pt idx="279">
                  <c:v>22.9</c:v>
                </c:pt>
                <c:pt idx="280">
                  <c:v>23</c:v>
                </c:pt>
                <c:pt idx="281">
                  <c:v>23.1</c:v>
                </c:pt>
                <c:pt idx="282">
                  <c:v>23.2</c:v>
                </c:pt>
                <c:pt idx="283">
                  <c:v>23.3</c:v>
                </c:pt>
                <c:pt idx="284">
                  <c:v>23.4</c:v>
                </c:pt>
                <c:pt idx="285">
                  <c:v>23.5</c:v>
                </c:pt>
                <c:pt idx="286">
                  <c:v>23.6</c:v>
                </c:pt>
                <c:pt idx="287">
                  <c:v>23.7</c:v>
                </c:pt>
                <c:pt idx="288">
                  <c:v>23.8</c:v>
                </c:pt>
                <c:pt idx="289">
                  <c:v>23.9</c:v>
                </c:pt>
                <c:pt idx="290">
                  <c:v>24</c:v>
                </c:pt>
                <c:pt idx="291">
                  <c:v>24.1</c:v>
                </c:pt>
                <c:pt idx="292">
                  <c:v>24.2</c:v>
                </c:pt>
                <c:pt idx="293">
                  <c:v>24.3</c:v>
                </c:pt>
                <c:pt idx="294">
                  <c:v>24.4</c:v>
                </c:pt>
                <c:pt idx="295">
                  <c:v>24.5</c:v>
                </c:pt>
                <c:pt idx="296">
                  <c:v>24.6</c:v>
                </c:pt>
                <c:pt idx="297">
                  <c:v>24.7</c:v>
                </c:pt>
                <c:pt idx="298">
                  <c:v>24.8</c:v>
                </c:pt>
                <c:pt idx="299">
                  <c:v>24.9</c:v>
                </c:pt>
                <c:pt idx="300">
                  <c:v>25</c:v>
                </c:pt>
              </c:numCache>
            </c:numRef>
          </c:xVal>
          <c:yVal>
            <c:numRef>
              <c:f>calc!$HN$46:$TB$46</c:f>
              <c:numCache>
                <c:formatCode>General</c:formatCode>
                <c:ptCount val="3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numCache>
            </c:numRef>
          </c:yVal>
          <c:smooth val="1"/>
        </c:ser>
        <c:ser>
          <c:idx val="0"/>
          <c:order val="1"/>
          <c:tx>
            <c:strRef>
              <c:f>calc!$HM$44</c:f>
              <c:strCache>
                <c:ptCount val="1"/>
                <c:pt idx="0">
                  <c:v>平均気温</c:v>
                </c:pt>
              </c:strCache>
            </c:strRef>
          </c:tx>
          <c:spPr>
            <a:ln w="19050" cap="rnd">
              <a:solidFill>
                <a:schemeClr val="accent3"/>
              </a:solidFill>
              <a:round/>
            </a:ln>
            <a:effectLst/>
          </c:spPr>
          <c:marker>
            <c:symbol val="none"/>
          </c:marker>
          <c:xVal>
            <c:numRef>
              <c:f>calc!$HN$1:$TB$1</c:f>
              <c:numCache>
                <c:formatCode>General</c:formatCode>
                <c:ptCount val="301"/>
                <c:pt idx="0">
                  <c:v>-5</c:v>
                </c:pt>
                <c:pt idx="1">
                  <c:v>-4.9000000000000004</c:v>
                </c:pt>
                <c:pt idx="2">
                  <c:v>-4.8</c:v>
                </c:pt>
                <c:pt idx="3">
                  <c:v>-4.7</c:v>
                </c:pt>
                <c:pt idx="4">
                  <c:v>-4.5999999999999996</c:v>
                </c:pt>
                <c:pt idx="5">
                  <c:v>-4.5</c:v>
                </c:pt>
                <c:pt idx="6">
                  <c:v>-4.4000000000000004</c:v>
                </c:pt>
                <c:pt idx="7">
                  <c:v>-4.3</c:v>
                </c:pt>
                <c:pt idx="8">
                  <c:v>-4.2</c:v>
                </c:pt>
                <c:pt idx="9">
                  <c:v>-4.0999999999999996</c:v>
                </c:pt>
                <c:pt idx="10">
                  <c:v>-4</c:v>
                </c:pt>
                <c:pt idx="11">
                  <c:v>-3.9</c:v>
                </c:pt>
                <c:pt idx="12">
                  <c:v>-3.8</c:v>
                </c:pt>
                <c:pt idx="13">
                  <c:v>-3.7</c:v>
                </c:pt>
                <c:pt idx="14">
                  <c:v>-3.6</c:v>
                </c:pt>
                <c:pt idx="15">
                  <c:v>-3.5</c:v>
                </c:pt>
                <c:pt idx="16">
                  <c:v>-3.4</c:v>
                </c:pt>
                <c:pt idx="17">
                  <c:v>-3.3</c:v>
                </c:pt>
                <c:pt idx="18">
                  <c:v>-3.2</c:v>
                </c:pt>
                <c:pt idx="19">
                  <c:v>-3.1</c:v>
                </c:pt>
                <c:pt idx="20">
                  <c:v>-3</c:v>
                </c:pt>
                <c:pt idx="21">
                  <c:v>-2.9</c:v>
                </c:pt>
                <c:pt idx="22">
                  <c:v>-2.8</c:v>
                </c:pt>
                <c:pt idx="23">
                  <c:v>-2.7</c:v>
                </c:pt>
                <c:pt idx="24">
                  <c:v>-2.6</c:v>
                </c:pt>
                <c:pt idx="25">
                  <c:v>-2.5</c:v>
                </c:pt>
                <c:pt idx="26">
                  <c:v>-2.4</c:v>
                </c:pt>
                <c:pt idx="27">
                  <c:v>-2.2999999999999998</c:v>
                </c:pt>
                <c:pt idx="28">
                  <c:v>-2.2000000000000002</c:v>
                </c:pt>
                <c:pt idx="29">
                  <c:v>-2.1</c:v>
                </c:pt>
                <c:pt idx="30">
                  <c:v>-2</c:v>
                </c:pt>
                <c:pt idx="31">
                  <c:v>-1.9</c:v>
                </c:pt>
                <c:pt idx="32">
                  <c:v>-1.8</c:v>
                </c:pt>
                <c:pt idx="33">
                  <c:v>-1.7</c:v>
                </c:pt>
                <c:pt idx="34">
                  <c:v>-1.6</c:v>
                </c:pt>
                <c:pt idx="35">
                  <c:v>-1.5</c:v>
                </c:pt>
                <c:pt idx="36">
                  <c:v>-1.4</c:v>
                </c:pt>
                <c:pt idx="37">
                  <c:v>-1.3</c:v>
                </c:pt>
                <c:pt idx="38">
                  <c:v>-1.2</c:v>
                </c:pt>
                <c:pt idx="39">
                  <c:v>-1.1000000000000001</c:v>
                </c:pt>
                <c:pt idx="40">
                  <c:v>-1</c:v>
                </c:pt>
                <c:pt idx="41">
                  <c:v>-0.9</c:v>
                </c:pt>
                <c:pt idx="42">
                  <c:v>-0.8</c:v>
                </c:pt>
                <c:pt idx="43">
                  <c:v>-0.7</c:v>
                </c:pt>
                <c:pt idx="44">
                  <c:v>-0.6</c:v>
                </c:pt>
                <c:pt idx="45">
                  <c:v>-0.5</c:v>
                </c:pt>
                <c:pt idx="46">
                  <c:v>-0.4</c:v>
                </c:pt>
                <c:pt idx="47">
                  <c:v>-0.3</c:v>
                </c:pt>
                <c:pt idx="48">
                  <c:v>-0.2</c:v>
                </c:pt>
                <c:pt idx="49">
                  <c:v>-0.1</c:v>
                </c:pt>
                <c:pt idx="50">
                  <c:v>0</c:v>
                </c:pt>
                <c:pt idx="51">
                  <c:v>0.1</c:v>
                </c:pt>
                <c:pt idx="52">
                  <c:v>0.2</c:v>
                </c:pt>
                <c:pt idx="53">
                  <c:v>0.3</c:v>
                </c:pt>
                <c:pt idx="54">
                  <c:v>0.4</c:v>
                </c:pt>
                <c:pt idx="55">
                  <c:v>0.5</c:v>
                </c:pt>
                <c:pt idx="56">
                  <c:v>0.6</c:v>
                </c:pt>
                <c:pt idx="57">
                  <c:v>0.7</c:v>
                </c:pt>
                <c:pt idx="58">
                  <c:v>0.8</c:v>
                </c:pt>
                <c:pt idx="59">
                  <c:v>0.9</c:v>
                </c:pt>
                <c:pt idx="60">
                  <c:v>1</c:v>
                </c:pt>
                <c:pt idx="61">
                  <c:v>1.1000000000000001</c:v>
                </c:pt>
                <c:pt idx="62">
                  <c:v>1.2</c:v>
                </c:pt>
                <c:pt idx="63">
                  <c:v>1.3</c:v>
                </c:pt>
                <c:pt idx="64">
                  <c:v>1.4</c:v>
                </c:pt>
                <c:pt idx="65">
                  <c:v>1.5</c:v>
                </c:pt>
                <c:pt idx="66">
                  <c:v>1.6</c:v>
                </c:pt>
                <c:pt idx="67">
                  <c:v>1.7</c:v>
                </c:pt>
                <c:pt idx="68">
                  <c:v>1.8</c:v>
                </c:pt>
                <c:pt idx="69">
                  <c:v>1.9</c:v>
                </c:pt>
                <c:pt idx="70">
                  <c:v>2</c:v>
                </c:pt>
                <c:pt idx="71">
                  <c:v>2.1</c:v>
                </c:pt>
                <c:pt idx="72">
                  <c:v>2.2000000000000002</c:v>
                </c:pt>
                <c:pt idx="73">
                  <c:v>2.2999999999999998</c:v>
                </c:pt>
                <c:pt idx="74">
                  <c:v>2.4</c:v>
                </c:pt>
                <c:pt idx="75">
                  <c:v>2.5</c:v>
                </c:pt>
                <c:pt idx="76">
                  <c:v>2.6</c:v>
                </c:pt>
                <c:pt idx="77">
                  <c:v>2.7</c:v>
                </c:pt>
                <c:pt idx="78">
                  <c:v>2.8</c:v>
                </c:pt>
                <c:pt idx="79">
                  <c:v>2.9</c:v>
                </c:pt>
                <c:pt idx="80">
                  <c:v>3</c:v>
                </c:pt>
                <c:pt idx="81">
                  <c:v>3.1</c:v>
                </c:pt>
                <c:pt idx="82">
                  <c:v>3.2</c:v>
                </c:pt>
                <c:pt idx="83">
                  <c:v>3.3</c:v>
                </c:pt>
                <c:pt idx="84">
                  <c:v>3.4</c:v>
                </c:pt>
                <c:pt idx="85">
                  <c:v>3.5</c:v>
                </c:pt>
                <c:pt idx="86">
                  <c:v>3.6</c:v>
                </c:pt>
                <c:pt idx="87">
                  <c:v>3.7</c:v>
                </c:pt>
                <c:pt idx="88">
                  <c:v>3.8</c:v>
                </c:pt>
                <c:pt idx="89">
                  <c:v>3.9</c:v>
                </c:pt>
                <c:pt idx="90">
                  <c:v>4</c:v>
                </c:pt>
                <c:pt idx="91">
                  <c:v>4.0999999999999996</c:v>
                </c:pt>
                <c:pt idx="92">
                  <c:v>4.2</c:v>
                </c:pt>
                <c:pt idx="93">
                  <c:v>4.3</c:v>
                </c:pt>
                <c:pt idx="94">
                  <c:v>4.4000000000000004</c:v>
                </c:pt>
                <c:pt idx="95">
                  <c:v>4.5</c:v>
                </c:pt>
                <c:pt idx="96">
                  <c:v>4.5999999999999996</c:v>
                </c:pt>
                <c:pt idx="97">
                  <c:v>4.7</c:v>
                </c:pt>
                <c:pt idx="98">
                  <c:v>4.8</c:v>
                </c:pt>
                <c:pt idx="99">
                  <c:v>4.9000000000000004</c:v>
                </c:pt>
                <c:pt idx="100">
                  <c:v>5</c:v>
                </c:pt>
                <c:pt idx="101">
                  <c:v>5.0999999999999996</c:v>
                </c:pt>
                <c:pt idx="102">
                  <c:v>5.2</c:v>
                </c:pt>
                <c:pt idx="103">
                  <c:v>5.3</c:v>
                </c:pt>
                <c:pt idx="104">
                  <c:v>5.4</c:v>
                </c:pt>
                <c:pt idx="105">
                  <c:v>5.5</c:v>
                </c:pt>
                <c:pt idx="106">
                  <c:v>5.6</c:v>
                </c:pt>
                <c:pt idx="107">
                  <c:v>5.7</c:v>
                </c:pt>
                <c:pt idx="108">
                  <c:v>5.8</c:v>
                </c:pt>
                <c:pt idx="109">
                  <c:v>5.9</c:v>
                </c:pt>
                <c:pt idx="110">
                  <c:v>6</c:v>
                </c:pt>
                <c:pt idx="111">
                  <c:v>6.1</c:v>
                </c:pt>
                <c:pt idx="112">
                  <c:v>6.2</c:v>
                </c:pt>
                <c:pt idx="113">
                  <c:v>6.3</c:v>
                </c:pt>
                <c:pt idx="114">
                  <c:v>6.4</c:v>
                </c:pt>
                <c:pt idx="115">
                  <c:v>6.5</c:v>
                </c:pt>
                <c:pt idx="116">
                  <c:v>6.6</c:v>
                </c:pt>
                <c:pt idx="117">
                  <c:v>6.7</c:v>
                </c:pt>
                <c:pt idx="118">
                  <c:v>6.8</c:v>
                </c:pt>
                <c:pt idx="119">
                  <c:v>6.9</c:v>
                </c:pt>
                <c:pt idx="120">
                  <c:v>7</c:v>
                </c:pt>
                <c:pt idx="121">
                  <c:v>7.1</c:v>
                </c:pt>
                <c:pt idx="122">
                  <c:v>7.2</c:v>
                </c:pt>
                <c:pt idx="123">
                  <c:v>7.3</c:v>
                </c:pt>
                <c:pt idx="124">
                  <c:v>7.4</c:v>
                </c:pt>
                <c:pt idx="125">
                  <c:v>7.5</c:v>
                </c:pt>
                <c:pt idx="126">
                  <c:v>7.6</c:v>
                </c:pt>
                <c:pt idx="127">
                  <c:v>7.7</c:v>
                </c:pt>
                <c:pt idx="128">
                  <c:v>7.8</c:v>
                </c:pt>
                <c:pt idx="129">
                  <c:v>7.9</c:v>
                </c:pt>
                <c:pt idx="130">
                  <c:v>8</c:v>
                </c:pt>
                <c:pt idx="131">
                  <c:v>8.1</c:v>
                </c:pt>
                <c:pt idx="132">
                  <c:v>8.1999999999999993</c:v>
                </c:pt>
                <c:pt idx="133">
                  <c:v>8.3000000000000007</c:v>
                </c:pt>
                <c:pt idx="134">
                  <c:v>8.4</c:v>
                </c:pt>
                <c:pt idx="135">
                  <c:v>8.5</c:v>
                </c:pt>
                <c:pt idx="136">
                  <c:v>8.6</c:v>
                </c:pt>
                <c:pt idx="137">
                  <c:v>8.6999999999999993</c:v>
                </c:pt>
                <c:pt idx="138">
                  <c:v>8.8000000000000007</c:v>
                </c:pt>
                <c:pt idx="139">
                  <c:v>8.9</c:v>
                </c:pt>
                <c:pt idx="140">
                  <c:v>9</c:v>
                </c:pt>
                <c:pt idx="141">
                  <c:v>9.1</c:v>
                </c:pt>
                <c:pt idx="142">
                  <c:v>9.1999999999999993</c:v>
                </c:pt>
                <c:pt idx="143">
                  <c:v>9.3000000000000007</c:v>
                </c:pt>
                <c:pt idx="144">
                  <c:v>9.4</c:v>
                </c:pt>
                <c:pt idx="145">
                  <c:v>9.5</c:v>
                </c:pt>
                <c:pt idx="146">
                  <c:v>9.6</c:v>
                </c:pt>
                <c:pt idx="147">
                  <c:v>9.6999999999999993</c:v>
                </c:pt>
                <c:pt idx="148">
                  <c:v>9.8000000000000007</c:v>
                </c:pt>
                <c:pt idx="149">
                  <c:v>9.9</c:v>
                </c:pt>
                <c:pt idx="150">
                  <c:v>10</c:v>
                </c:pt>
                <c:pt idx="151">
                  <c:v>10.1</c:v>
                </c:pt>
                <c:pt idx="152">
                  <c:v>10.199999999999999</c:v>
                </c:pt>
                <c:pt idx="153">
                  <c:v>10.3</c:v>
                </c:pt>
                <c:pt idx="154">
                  <c:v>10.4</c:v>
                </c:pt>
                <c:pt idx="155">
                  <c:v>10.5</c:v>
                </c:pt>
                <c:pt idx="156">
                  <c:v>10.6</c:v>
                </c:pt>
                <c:pt idx="157">
                  <c:v>10.7</c:v>
                </c:pt>
                <c:pt idx="158">
                  <c:v>10.8</c:v>
                </c:pt>
                <c:pt idx="159">
                  <c:v>10.9</c:v>
                </c:pt>
                <c:pt idx="160">
                  <c:v>11</c:v>
                </c:pt>
                <c:pt idx="161">
                  <c:v>11.1</c:v>
                </c:pt>
                <c:pt idx="162">
                  <c:v>11.2</c:v>
                </c:pt>
                <c:pt idx="163">
                  <c:v>11.3</c:v>
                </c:pt>
                <c:pt idx="164">
                  <c:v>11.4</c:v>
                </c:pt>
                <c:pt idx="165">
                  <c:v>11.5</c:v>
                </c:pt>
                <c:pt idx="166">
                  <c:v>11.6</c:v>
                </c:pt>
                <c:pt idx="167">
                  <c:v>11.7</c:v>
                </c:pt>
                <c:pt idx="168">
                  <c:v>11.8</c:v>
                </c:pt>
                <c:pt idx="169">
                  <c:v>11.9</c:v>
                </c:pt>
                <c:pt idx="170">
                  <c:v>12</c:v>
                </c:pt>
                <c:pt idx="171">
                  <c:v>12.1</c:v>
                </c:pt>
                <c:pt idx="172">
                  <c:v>12.2</c:v>
                </c:pt>
                <c:pt idx="173">
                  <c:v>12.3</c:v>
                </c:pt>
                <c:pt idx="174">
                  <c:v>12.4</c:v>
                </c:pt>
                <c:pt idx="175">
                  <c:v>12.5</c:v>
                </c:pt>
                <c:pt idx="176">
                  <c:v>12.6</c:v>
                </c:pt>
                <c:pt idx="177">
                  <c:v>12.7</c:v>
                </c:pt>
                <c:pt idx="178">
                  <c:v>12.8</c:v>
                </c:pt>
                <c:pt idx="179">
                  <c:v>12.9</c:v>
                </c:pt>
                <c:pt idx="180">
                  <c:v>13</c:v>
                </c:pt>
                <c:pt idx="181">
                  <c:v>13.1</c:v>
                </c:pt>
                <c:pt idx="182">
                  <c:v>13.2</c:v>
                </c:pt>
                <c:pt idx="183">
                  <c:v>13.3</c:v>
                </c:pt>
                <c:pt idx="184">
                  <c:v>13.4</c:v>
                </c:pt>
                <c:pt idx="185">
                  <c:v>13.5</c:v>
                </c:pt>
                <c:pt idx="186">
                  <c:v>13.6</c:v>
                </c:pt>
                <c:pt idx="187">
                  <c:v>13.7</c:v>
                </c:pt>
                <c:pt idx="188">
                  <c:v>13.8</c:v>
                </c:pt>
                <c:pt idx="189">
                  <c:v>13.9</c:v>
                </c:pt>
                <c:pt idx="190">
                  <c:v>14</c:v>
                </c:pt>
                <c:pt idx="191">
                  <c:v>14.1</c:v>
                </c:pt>
                <c:pt idx="192">
                  <c:v>14.2</c:v>
                </c:pt>
                <c:pt idx="193">
                  <c:v>14.3</c:v>
                </c:pt>
                <c:pt idx="194">
                  <c:v>14.4</c:v>
                </c:pt>
                <c:pt idx="195">
                  <c:v>14.5</c:v>
                </c:pt>
                <c:pt idx="196">
                  <c:v>14.6</c:v>
                </c:pt>
                <c:pt idx="197">
                  <c:v>14.7</c:v>
                </c:pt>
                <c:pt idx="198">
                  <c:v>14.8</c:v>
                </c:pt>
                <c:pt idx="199">
                  <c:v>14.9</c:v>
                </c:pt>
                <c:pt idx="200">
                  <c:v>15</c:v>
                </c:pt>
                <c:pt idx="201">
                  <c:v>15.1</c:v>
                </c:pt>
                <c:pt idx="202">
                  <c:v>15.2</c:v>
                </c:pt>
                <c:pt idx="203">
                  <c:v>15.3</c:v>
                </c:pt>
                <c:pt idx="204">
                  <c:v>15.4</c:v>
                </c:pt>
                <c:pt idx="205">
                  <c:v>15.5</c:v>
                </c:pt>
                <c:pt idx="206">
                  <c:v>15.6</c:v>
                </c:pt>
                <c:pt idx="207">
                  <c:v>15.7</c:v>
                </c:pt>
                <c:pt idx="208">
                  <c:v>15.8</c:v>
                </c:pt>
                <c:pt idx="209">
                  <c:v>15.9</c:v>
                </c:pt>
                <c:pt idx="210">
                  <c:v>16</c:v>
                </c:pt>
                <c:pt idx="211">
                  <c:v>16.100000000000001</c:v>
                </c:pt>
                <c:pt idx="212">
                  <c:v>16.2</c:v>
                </c:pt>
                <c:pt idx="213">
                  <c:v>16.3</c:v>
                </c:pt>
                <c:pt idx="214">
                  <c:v>16.399999999999999</c:v>
                </c:pt>
                <c:pt idx="215">
                  <c:v>16.5</c:v>
                </c:pt>
                <c:pt idx="216">
                  <c:v>16.600000000000001</c:v>
                </c:pt>
                <c:pt idx="217">
                  <c:v>16.7</c:v>
                </c:pt>
                <c:pt idx="218">
                  <c:v>16.8</c:v>
                </c:pt>
                <c:pt idx="219">
                  <c:v>16.899999999999999</c:v>
                </c:pt>
                <c:pt idx="220">
                  <c:v>17</c:v>
                </c:pt>
                <c:pt idx="221">
                  <c:v>17.100000000000001</c:v>
                </c:pt>
                <c:pt idx="222">
                  <c:v>17.2</c:v>
                </c:pt>
                <c:pt idx="223">
                  <c:v>17.3</c:v>
                </c:pt>
                <c:pt idx="224">
                  <c:v>17.399999999999999</c:v>
                </c:pt>
                <c:pt idx="225">
                  <c:v>17.5</c:v>
                </c:pt>
                <c:pt idx="226">
                  <c:v>17.600000000000001</c:v>
                </c:pt>
                <c:pt idx="227">
                  <c:v>17.7</c:v>
                </c:pt>
                <c:pt idx="228">
                  <c:v>17.8</c:v>
                </c:pt>
                <c:pt idx="229">
                  <c:v>17.899999999999999</c:v>
                </c:pt>
                <c:pt idx="230">
                  <c:v>18</c:v>
                </c:pt>
                <c:pt idx="231">
                  <c:v>18.100000000000001</c:v>
                </c:pt>
                <c:pt idx="232">
                  <c:v>18.2</c:v>
                </c:pt>
                <c:pt idx="233">
                  <c:v>18.3</c:v>
                </c:pt>
                <c:pt idx="234">
                  <c:v>18.399999999999999</c:v>
                </c:pt>
                <c:pt idx="235">
                  <c:v>18.5</c:v>
                </c:pt>
                <c:pt idx="236">
                  <c:v>18.600000000000001</c:v>
                </c:pt>
                <c:pt idx="237">
                  <c:v>18.7</c:v>
                </c:pt>
                <c:pt idx="238">
                  <c:v>18.8</c:v>
                </c:pt>
                <c:pt idx="239">
                  <c:v>18.899999999999999</c:v>
                </c:pt>
                <c:pt idx="240">
                  <c:v>19</c:v>
                </c:pt>
                <c:pt idx="241">
                  <c:v>19.100000000000001</c:v>
                </c:pt>
                <c:pt idx="242">
                  <c:v>19.2</c:v>
                </c:pt>
                <c:pt idx="243">
                  <c:v>19.3</c:v>
                </c:pt>
                <c:pt idx="244">
                  <c:v>19.399999999999999</c:v>
                </c:pt>
                <c:pt idx="245">
                  <c:v>19.5</c:v>
                </c:pt>
                <c:pt idx="246">
                  <c:v>19.600000000000001</c:v>
                </c:pt>
                <c:pt idx="247">
                  <c:v>19.7</c:v>
                </c:pt>
                <c:pt idx="248">
                  <c:v>19.8</c:v>
                </c:pt>
                <c:pt idx="249">
                  <c:v>19.899999999999999</c:v>
                </c:pt>
                <c:pt idx="250">
                  <c:v>20</c:v>
                </c:pt>
                <c:pt idx="251">
                  <c:v>20.100000000000001</c:v>
                </c:pt>
                <c:pt idx="252">
                  <c:v>20.2</c:v>
                </c:pt>
                <c:pt idx="253">
                  <c:v>20.3</c:v>
                </c:pt>
                <c:pt idx="254">
                  <c:v>20.399999999999999</c:v>
                </c:pt>
                <c:pt idx="255">
                  <c:v>20.5</c:v>
                </c:pt>
                <c:pt idx="256">
                  <c:v>20.6</c:v>
                </c:pt>
                <c:pt idx="257">
                  <c:v>20.7</c:v>
                </c:pt>
                <c:pt idx="258">
                  <c:v>20.8</c:v>
                </c:pt>
                <c:pt idx="259">
                  <c:v>20.9</c:v>
                </c:pt>
                <c:pt idx="260">
                  <c:v>21</c:v>
                </c:pt>
                <c:pt idx="261">
                  <c:v>21.1</c:v>
                </c:pt>
                <c:pt idx="262">
                  <c:v>21.2</c:v>
                </c:pt>
                <c:pt idx="263">
                  <c:v>21.3</c:v>
                </c:pt>
                <c:pt idx="264">
                  <c:v>21.4</c:v>
                </c:pt>
                <c:pt idx="265">
                  <c:v>21.5</c:v>
                </c:pt>
                <c:pt idx="266">
                  <c:v>21.6</c:v>
                </c:pt>
                <c:pt idx="267">
                  <c:v>21.7</c:v>
                </c:pt>
                <c:pt idx="268">
                  <c:v>21.8</c:v>
                </c:pt>
                <c:pt idx="269">
                  <c:v>21.9</c:v>
                </c:pt>
                <c:pt idx="270">
                  <c:v>22</c:v>
                </c:pt>
                <c:pt idx="271">
                  <c:v>22.1</c:v>
                </c:pt>
                <c:pt idx="272">
                  <c:v>22.2</c:v>
                </c:pt>
                <c:pt idx="273">
                  <c:v>22.3</c:v>
                </c:pt>
                <c:pt idx="274">
                  <c:v>22.4</c:v>
                </c:pt>
                <c:pt idx="275">
                  <c:v>22.5</c:v>
                </c:pt>
                <c:pt idx="276">
                  <c:v>22.6</c:v>
                </c:pt>
                <c:pt idx="277">
                  <c:v>22.7</c:v>
                </c:pt>
                <c:pt idx="278">
                  <c:v>22.8</c:v>
                </c:pt>
                <c:pt idx="279">
                  <c:v>22.9</c:v>
                </c:pt>
                <c:pt idx="280">
                  <c:v>23</c:v>
                </c:pt>
                <c:pt idx="281">
                  <c:v>23.1</c:v>
                </c:pt>
                <c:pt idx="282">
                  <c:v>23.2</c:v>
                </c:pt>
                <c:pt idx="283">
                  <c:v>23.3</c:v>
                </c:pt>
                <c:pt idx="284">
                  <c:v>23.4</c:v>
                </c:pt>
                <c:pt idx="285">
                  <c:v>23.5</c:v>
                </c:pt>
                <c:pt idx="286">
                  <c:v>23.6</c:v>
                </c:pt>
                <c:pt idx="287">
                  <c:v>23.7</c:v>
                </c:pt>
                <c:pt idx="288">
                  <c:v>23.8</c:v>
                </c:pt>
                <c:pt idx="289">
                  <c:v>23.9</c:v>
                </c:pt>
                <c:pt idx="290">
                  <c:v>24</c:v>
                </c:pt>
                <c:pt idx="291">
                  <c:v>24.1</c:v>
                </c:pt>
                <c:pt idx="292">
                  <c:v>24.2</c:v>
                </c:pt>
                <c:pt idx="293">
                  <c:v>24.3</c:v>
                </c:pt>
                <c:pt idx="294">
                  <c:v>24.4</c:v>
                </c:pt>
                <c:pt idx="295">
                  <c:v>24.5</c:v>
                </c:pt>
                <c:pt idx="296">
                  <c:v>24.6</c:v>
                </c:pt>
                <c:pt idx="297">
                  <c:v>24.7</c:v>
                </c:pt>
                <c:pt idx="298">
                  <c:v>24.8</c:v>
                </c:pt>
                <c:pt idx="299">
                  <c:v>24.9</c:v>
                </c:pt>
                <c:pt idx="300">
                  <c:v>25</c:v>
                </c:pt>
              </c:numCache>
            </c:numRef>
          </c:xVal>
          <c:yVal>
            <c:numRef>
              <c:f>calc!$HN$44:$TB$44</c:f>
              <c:numCache>
                <c:formatCode>General</c:formatCode>
                <c:ptCount val="3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numCache>
            </c:numRef>
          </c:yVal>
          <c:smooth val="1"/>
        </c:ser>
        <c:ser>
          <c:idx val="1"/>
          <c:order val="2"/>
          <c:tx>
            <c:strRef>
              <c:f>calc!$HM$45</c:f>
              <c:strCache>
                <c:ptCount val="1"/>
                <c:pt idx="0">
                  <c:v>最高気温</c:v>
                </c:pt>
              </c:strCache>
            </c:strRef>
          </c:tx>
          <c:spPr>
            <a:ln w="19050" cap="rnd">
              <a:solidFill>
                <a:schemeClr val="accent2"/>
              </a:solidFill>
              <a:round/>
            </a:ln>
            <a:effectLst/>
          </c:spPr>
          <c:marker>
            <c:symbol val="none"/>
          </c:marker>
          <c:xVal>
            <c:numRef>
              <c:f>calc!$HN$1:$TB$1</c:f>
              <c:numCache>
                <c:formatCode>General</c:formatCode>
                <c:ptCount val="301"/>
                <c:pt idx="0">
                  <c:v>-5</c:v>
                </c:pt>
                <c:pt idx="1">
                  <c:v>-4.9000000000000004</c:v>
                </c:pt>
                <c:pt idx="2">
                  <c:v>-4.8</c:v>
                </c:pt>
                <c:pt idx="3">
                  <c:v>-4.7</c:v>
                </c:pt>
                <c:pt idx="4">
                  <c:v>-4.5999999999999996</c:v>
                </c:pt>
                <c:pt idx="5">
                  <c:v>-4.5</c:v>
                </c:pt>
                <c:pt idx="6">
                  <c:v>-4.4000000000000004</c:v>
                </c:pt>
                <c:pt idx="7">
                  <c:v>-4.3</c:v>
                </c:pt>
                <c:pt idx="8">
                  <c:v>-4.2</c:v>
                </c:pt>
                <c:pt idx="9">
                  <c:v>-4.0999999999999996</c:v>
                </c:pt>
                <c:pt idx="10">
                  <c:v>-4</c:v>
                </c:pt>
                <c:pt idx="11">
                  <c:v>-3.9</c:v>
                </c:pt>
                <c:pt idx="12">
                  <c:v>-3.8</c:v>
                </c:pt>
                <c:pt idx="13">
                  <c:v>-3.7</c:v>
                </c:pt>
                <c:pt idx="14">
                  <c:v>-3.6</c:v>
                </c:pt>
                <c:pt idx="15">
                  <c:v>-3.5</c:v>
                </c:pt>
                <c:pt idx="16">
                  <c:v>-3.4</c:v>
                </c:pt>
                <c:pt idx="17">
                  <c:v>-3.3</c:v>
                </c:pt>
                <c:pt idx="18">
                  <c:v>-3.2</c:v>
                </c:pt>
                <c:pt idx="19">
                  <c:v>-3.1</c:v>
                </c:pt>
                <c:pt idx="20">
                  <c:v>-3</c:v>
                </c:pt>
                <c:pt idx="21">
                  <c:v>-2.9</c:v>
                </c:pt>
                <c:pt idx="22">
                  <c:v>-2.8</c:v>
                </c:pt>
                <c:pt idx="23">
                  <c:v>-2.7</c:v>
                </c:pt>
                <c:pt idx="24">
                  <c:v>-2.6</c:v>
                </c:pt>
                <c:pt idx="25">
                  <c:v>-2.5</c:v>
                </c:pt>
                <c:pt idx="26">
                  <c:v>-2.4</c:v>
                </c:pt>
                <c:pt idx="27">
                  <c:v>-2.2999999999999998</c:v>
                </c:pt>
                <c:pt idx="28">
                  <c:v>-2.2000000000000002</c:v>
                </c:pt>
                <c:pt idx="29">
                  <c:v>-2.1</c:v>
                </c:pt>
                <c:pt idx="30">
                  <c:v>-2</c:v>
                </c:pt>
                <c:pt idx="31">
                  <c:v>-1.9</c:v>
                </c:pt>
                <c:pt idx="32">
                  <c:v>-1.8</c:v>
                </c:pt>
                <c:pt idx="33">
                  <c:v>-1.7</c:v>
                </c:pt>
                <c:pt idx="34">
                  <c:v>-1.6</c:v>
                </c:pt>
                <c:pt idx="35">
                  <c:v>-1.5</c:v>
                </c:pt>
                <c:pt idx="36">
                  <c:v>-1.4</c:v>
                </c:pt>
                <c:pt idx="37">
                  <c:v>-1.3</c:v>
                </c:pt>
                <c:pt idx="38">
                  <c:v>-1.2</c:v>
                </c:pt>
                <c:pt idx="39">
                  <c:v>-1.1000000000000001</c:v>
                </c:pt>
                <c:pt idx="40">
                  <c:v>-1</c:v>
                </c:pt>
                <c:pt idx="41">
                  <c:v>-0.9</c:v>
                </c:pt>
                <c:pt idx="42">
                  <c:v>-0.8</c:v>
                </c:pt>
                <c:pt idx="43">
                  <c:v>-0.7</c:v>
                </c:pt>
                <c:pt idx="44">
                  <c:v>-0.6</c:v>
                </c:pt>
                <c:pt idx="45">
                  <c:v>-0.5</c:v>
                </c:pt>
                <c:pt idx="46">
                  <c:v>-0.4</c:v>
                </c:pt>
                <c:pt idx="47">
                  <c:v>-0.3</c:v>
                </c:pt>
                <c:pt idx="48">
                  <c:v>-0.2</c:v>
                </c:pt>
                <c:pt idx="49">
                  <c:v>-0.1</c:v>
                </c:pt>
                <c:pt idx="50">
                  <c:v>0</c:v>
                </c:pt>
                <c:pt idx="51">
                  <c:v>0.1</c:v>
                </c:pt>
                <c:pt idx="52">
                  <c:v>0.2</c:v>
                </c:pt>
                <c:pt idx="53">
                  <c:v>0.3</c:v>
                </c:pt>
                <c:pt idx="54">
                  <c:v>0.4</c:v>
                </c:pt>
                <c:pt idx="55">
                  <c:v>0.5</c:v>
                </c:pt>
                <c:pt idx="56">
                  <c:v>0.6</c:v>
                </c:pt>
                <c:pt idx="57">
                  <c:v>0.7</c:v>
                </c:pt>
                <c:pt idx="58">
                  <c:v>0.8</c:v>
                </c:pt>
                <c:pt idx="59">
                  <c:v>0.9</c:v>
                </c:pt>
                <c:pt idx="60">
                  <c:v>1</c:v>
                </c:pt>
                <c:pt idx="61">
                  <c:v>1.1000000000000001</c:v>
                </c:pt>
                <c:pt idx="62">
                  <c:v>1.2</c:v>
                </c:pt>
                <c:pt idx="63">
                  <c:v>1.3</c:v>
                </c:pt>
                <c:pt idx="64">
                  <c:v>1.4</c:v>
                </c:pt>
                <c:pt idx="65">
                  <c:v>1.5</c:v>
                </c:pt>
                <c:pt idx="66">
                  <c:v>1.6</c:v>
                </c:pt>
                <c:pt idx="67">
                  <c:v>1.7</c:v>
                </c:pt>
                <c:pt idx="68">
                  <c:v>1.8</c:v>
                </c:pt>
                <c:pt idx="69">
                  <c:v>1.9</c:v>
                </c:pt>
                <c:pt idx="70">
                  <c:v>2</c:v>
                </c:pt>
                <c:pt idx="71">
                  <c:v>2.1</c:v>
                </c:pt>
                <c:pt idx="72">
                  <c:v>2.2000000000000002</c:v>
                </c:pt>
                <c:pt idx="73">
                  <c:v>2.2999999999999998</c:v>
                </c:pt>
                <c:pt idx="74">
                  <c:v>2.4</c:v>
                </c:pt>
                <c:pt idx="75">
                  <c:v>2.5</c:v>
                </c:pt>
                <c:pt idx="76">
                  <c:v>2.6</c:v>
                </c:pt>
                <c:pt idx="77">
                  <c:v>2.7</c:v>
                </c:pt>
                <c:pt idx="78">
                  <c:v>2.8</c:v>
                </c:pt>
                <c:pt idx="79">
                  <c:v>2.9</c:v>
                </c:pt>
                <c:pt idx="80">
                  <c:v>3</c:v>
                </c:pt>
                <c:pt idx="81">
                  <c:v>3.1</c:v>
                </c:pt>
                <c:pt idx="82">
                  <c:v>3.2</c:v>
                </c:pt>
                <c:pt idx="83">
                  <c:v>3.3</c:v>
                </c:pt>
                <c:pt idx="84">
                  <c:v>3.4</c:v>
                </c:pt>
                <c:pt idx="85">
                  <c:v>3.5</c:v>
                </c:pt>
                <c:pt idx="86">
                  <c:v>3.6</c:v>
                </c:pt>
                <c:pt idx="87">
                  <c:v>3.7</c:v>
                </c:pt>
                <c:pt idx="88">
                  <c:v>3.8</c:v>
                </c:pt>
                <c:pt idx="89">
                  <c:v>3.9</c:v>
                </c:pt>
                <c:pt idx="90">
                  <c:v>4</c:v>
                </c:pt>
                <c:pt idx="91">
                  <c:v>4.0999999999999996</c:v>
                </c:pt>
                <c:pt idx="92">
                  <c:v>4.2</c:v>
                </c:pt>
                <c:pt idx="93">
                  <c:v>4.3</c:v>
                </c:pt>
                <c:pt idx="94">
                  <c:v>4.4000000000000004</c:v>
                </c:pt>
                <c:pt idx="95">
                  <c:v>4.5</c:v>
                </c:pt>
                <c:pt idx="96">
                  <c:v>4.5999999999999996</c:v>
                </c:pt>
                <c:pt idx="97">
                  <c:v>4.7</c:v>
                </c:pt>
                <c:pt idx="98">
                  <c:v>4.8</c:v>
                </c:pt>
                <c:pt idx="99">
                  <c:v>4.9000000000000004</c:v>
                </c:pt>
                <c:pt idx="100">
                  <c:v>5</c:v>
                </c:pt>
                <c:pt idx="101">
                  <c:v>5.0999999999999996</c:v>
                </c:pt>
                <c:pt idx="102">
                  <c:v>5.2</c:v>
                </c:pt>
                <c:pt idx="103">
                  <c:v>5.3</c:v>
                </c:pt>
                <c:pt idx="104">
                  <c:v>5.4</c:v>
                </c:pt>
                <c:pt idx="105">
                  <c:v>5.5</c:v>
                </c:pt>
                <c:pt idx="106">
                  <c:v>5.6</c:v>
                </c:pt>
                <c:pt idx="107">
                  <c:v>5.7</c:v>
                </c:pt>
                <c:pt idx="108">
                  <c:v>5.8</c:v>
                </c:pt>
                <c:pt idx="109">
                  <c:v>5.9</c:v>
                </c:pt>
                <c:pt idx="110">
                  <c:v>6</c:v>
                </c:pt>
                <c:pt idx="111">
                  <c:v>6.1</c:v>
                </c:pt>
                <c:pt idx="112">
                  <c:v>6.2</c:v>
                </c:pt>
                <c:pt idx="113">
                  <c:v>6.3</c:v>
                </c:pt>
                <c:pt idx="114">
                  <c:v>6.4</c:v>
                </c:pt>
                <c:pt idx="115">
                  <c:v>6.5</c:v>
                </c:pt>
                <c:pt idx="116">
                  <c:v>6.6</c:v>
                </c:pt>
                <c:pt idx="117">
                  <c:v>6.7</c:v>
                </c:pt>
                <c:pt idx="118">
                  <c:v>6.8</c:v>
                </c:pt>
                <c:pt idx="119">
                  <c:v>6.9</c:v>
                </c:pt>
                <c:pt idx="120">
                  <c:v>7</c:v>
                </c:pt>
                <c:pt idx="121">
                  <c:v>7.1</c:v>
                </c:pt>
                <c:pt idx="122">
                  <c:v>7.2</c:v>
                </c:pt>
                <c:pt idx="123">
                  <c:v>7.3</c:v>
                </c:pt>
                <c:pt idx="124">
                  <c:v>7.4</c:v>
                </c:pt>
                <c:pt idx="125">
                  <c:v>7.5</c:v>
                </c:pt>
                <c:pt idx="126">
                  <c:v>7.6</c:v>
                </c:pt>
                <c:pt idx="127">
                  <c:v>7.7</c:v>
                </c:pt>
                <c:pt idx="128">
                  <c:v>7.8</c:v>
                </c:pt>
                <c:pt idx="129">
                  <c:v>7.9</c:v>
                </c:pt>
                <c:pt idx="130">
                  <c:v>8</c:v>
                </c:pt>
                <c:pt idx="131">
                  <c:v>8.1</c:v>
                </c:pt>
                <c:pt idx="132">
                  <c:v>8.1999999999999993</c:v>
                </c:pt>
                <c:pt idx="133">
                  <c:v>8.3000000000000007</c:v>
                </c:pt>
                <c:pt idx="134">
                  <c:v>8.4</c:v>
                </c:pt>
                <c:pt idx="135">
                  <c:v>8.5</c:v>
                </c:pt>
                <c:pt idx="136">
                  <c:v>8.6</c:v>
                </c:pt>
                <c:pt idx="137">
                  <c:v>8.6999999999999993</c:v>
                </c:pt>
                <c:pt idx="138">
                  <c:v>8.8000000000000007</c:v>
                </c:pt>
                <c:pt idx="139">
                  <c:v>8.9</c:v>
                </c:pt>
                <c:pt idx="140">
                  <c:v>9</c:v>
                </c:pt>
                <c:pt idx="141">
                  <c:v>9.1</c:v>
                </c:pt>
                <c:pt idx="142">
                  <c:v>9.1999999999999993</c:v>
                </c:pt>
                <c:pt idx="143">
                  <c:v>9.3000000000000007</c:v>
                </c:pt>
                <c:pt idx="144">
                  <c:v>9.4</c:v>
                </c:pt>
                <c:pt idx="145">
                  <c:v>9.5</c:v>
                </c:pt>
                <c:pt idx="146">
                  <c:v>9.6</c:v>
                </c:pt>
                <c:pt idx="147">
                  <c:v>9.6999999999999993</c:v>
                </c:pt>
                <c:pt idx="148">
                  <c:v>9.8000000000000007</c:v>
                </c:pt>
                <c:pt idx="149">
                  <c:v>9.9</c:v>
                </c:pt>
                <c:pt idx="150">
                  <c:v>10</c:v>
                </c:pt>
                <c:pt idx="151">
                  <c:v>10.1</c:v>
                </c:pt>
                <c:pt idx="152">
                  <c:v>10.199999999999999</c:v>
                </c:pt>
                <c:pt idx="153">
                  <c:v>10.3</c:v>
                </c:pt>
                <c:pt idx="154">
                  <c:v>10.4</c:v>
                </c:pt>
                <c:pt idx="155">
                  <c:v>10.5</c:v>
                </c:pt>
                <c:pt idx="156">
                  <c:v>10.6</c:v>
                </c:pt>
                <c:pt idx="157">
                  <c:v>10.7</c:v>
                </c:pt>
                <c:pt idx="158">
                  <c:v>10.8</c:v>
                </c:pt>
                <c:pt idx="159">
                  <c:v>10.9</c:v>
                </c:pt>
                <c:pt idx="160">
                  <c:v>11</c:v>
                </c:pt>
                <c:pt idx="161">
                  <c:v>11.1</c:v>
                </c:pt>
                <c:pt idx="162">
                  <c:v>11.2</c:v>
                </c:pt>
                <c:pt idx="163">
                  <c:v>11.3</c:v>
                </c:pt>
                <c:pt idx="164">
                  <c:v>11.4</c:v>
                </c:pt>
                <c:pt idx="165">
                  <c:v>11.5</c:v>
                </c:pt>
                <c:pt idx="166">
                  <c:v>11.6</c:v>
                </c:pt>
                <c:pt idx="167">
                  <c:v>11.7</c:v>
                </c:pt>
                <c:pt idx="168">
                  <c:v>11.8</c:v>
                </c:pt>
                <c:pt idx="169">
                  <c:v>11.9</c:v>
                </c:pt>
                <c:pt idx="170">
                  <c:v>12</c:v>
                </c:pt>
                <c:pt idx="171">
                  <c:v>12.1</c:v>
                </c:pt>
                <c:pt idx="172">
                  <c:v>12.2</c:v>
                </c:pt>
                <c:pt idx="173">
                  <c:v>12.3</c:v>
                </c:pt>
                <c:pt idx="174">
                  <c:v>12.4</c:v>
                </c:pt>
                <c:pt idx="175">
                  <c:v>12.5</c:v>
                </c:pt>
                <c:pt idx="176">
                  <c:v>12.6</c:v>
                </c:pt>
                <c:pt idx="177">
                  <c:v>12.7</c:v>
                </c:pt>
                <c:pt idx="178">
                  <c:v>12.8</c:v>
                </c:pt>
                <c:pt idx="179">
                  <c:v>12.9</c:v>
                </c:pt>
                <c:pt idx="180">
                  <c:v>13</c:v>
                </c:pt>
                <c:pt idx="181">
                  <c:v>13.1</c:v>
                </c:pt>
                <c:pt idx="182">
                  <c:v>13.2</c:v>
                </c:pt>
                <c:pt idx="183">
                  <c:v>13.3</c:v>
                </c:pt>
                <c:pt idx="184">
                  <c:v>13.4</c:v>
                </c:pt>
                <c:pt idx="185">
                  <c:v>13.5</c:v>
                </c:pt>
                <c:pt idx="186">
                  <c:v>13.6</c:v>
                </c:pt>
                <c:pt idx="187">
                  <c:v>13.7</c:v>
                </c:pt>
                <c:pt idx="188">
                  <c:v>13.8</c:v>
                </c:pt>
                <c:pt idx="189">
                  <c:v>13.9</c:v>
                </c:pt>
                <c:pt idx="190">
                  <c:v>14</c:v>
                </c:pt>
                <c:pt idx="191">
                  <c:v>14.1</c:v>
                </c:pt>
                <c:pt idx="192">
                  <c:v>14.2</c:v>
                </c:pt>
                <c:pt idx="193">
                  <c:v>14.3</c:v>
                </c:pt>
                <c:pt idx="194">
                  <c:v>14.4</c:v>
                </c:pt>
                <c:pt idx="195">
                  <c:v>14.5</c:v>
                </c:pt>
                <c:pt idx="196">
                  <c:v>14.6</c:v>
                </c:pt>
                <c:pt idx="197">
                  <c:v>14.7</c:v>
                </c:pt>
                <c:pt idx="198">
                  <c:v>14.8</c:v>
                </c:pt>
                <c:pt idx="199">
                  <c:v>14.9</c:v>
                </c:pt>
                <c:pt idx="200">
                  <c:v>15</c:v>
                </c:pt>
                <c:pt idx="201">
                  <c:v>15.1</c:v>
                </c:pt>
                <c:pt idx="202">
                  <c:v>15.2</c:v>
                </c:pt>
                <c:pt idx="203">
                  <c:v>15.3</c:v>
                </c:pt>
                <c:pt idx="204">
                  <c:v>15.4</c:v>
                </c:pt>
                <c:pt idx="205">
                  <c:v>15.5</c:v>
                </c:pt>
                <c:pt idx="206">
                  <c:v>15.6</c:v>
                </c:pt>
                <c:pt idx="207">
                  <c:v>15.7</c:v>
                </c:pt>
                <c:pt idx="208">
                  <c:v>15.8</c:v>
                </c:pt>
                <c:pt idx="209">
                  <c:v>15.9</c:v>
                </c:pt>
                <c:pt idx="210">
                  <c:v>16</c:v>
                </c:pt>
                <c:pt idx="211">
                  <c:v>16.100000000000001</c:v>
                </c:pt>
                <c:pt idx="212">
                  <c:v>16.2</c:v>
                </c:pt>
                <c:pt idx="213">
                  <c:v>16.3</c:v>
                </c:pt>
                <c:pt idx="214">
                  <c:v>16.399999999999999</c:v>
                </c:pt>
                <c:pt idx="215">
                  <c:v>16.5</c:v>
                </c:pt>
                <c:pt idx="216">
                  <c:v>16.600000000000001</c:v>
                </c:pt>
                <c:pt idx="217">
                  <c:v>16.7</c:v>
                </c:pt>
                <c:pt idx="218">
                  <c:v>16.8</c:v>
                </c:pt>
                <c:pt idx="219">
                  <c:v>16.899999999999999</c:v>
                </c:pt>
                <c:pt idx="220">
                  <c:v>17</c:v>
                </c:pt>
                <c:pt idx="221">
                  <c:v>17.100000000000001</c:v>
                </c:pt>
                <c:pt idx="222">
                  <c:v>17.2</c:v>
                </c:pt>
                <c:pt idx="223">
                  <c:v>17.3</c:v>
                </c:pt>
                <c:pt idx="224">
                  <c:v>17.399999999999999</c:v>
                </c:pt>
                <c:pt idx="225">
                  <c:v>17.5</c:v>
                </c:pt>
                <c:pt idx="226">
                  <c:v>17.600000000000001</c:v>
                </c:pt>
                <c:pt idx="227">
                  <c:v>17.7</c:v>
                </c:pt>
                <c:pt idx="228">
                  <c:v>17.8</c:v>
                </c:pt>
                <c:pt idx="229">
                  <c:v>17.899999999999999</c:v>
                </c:pt>
                <c:pt idx="230">
                  <c:v>18</c:v>
                </c:pt>
                <c:pt idx="231">
                  <c:v>18.100000000000001</c:v>
                </c:pt>
                <c:pt idx="232">
                  <c:v>18.2</c:v>
                </c:pt>
                <c:pt idx="233">
                  <c:v>18.3</c:v>
                </c:pt>
                <c:pt idx="234">
                  <c:v>18.399999999999999</c:v>
                </c:pt>
                <c:pt idx="235">
                  <c:v>18.5</c:v>
                </c:pt>
                <c:pt idx="236">
                  <c:v>18.600000000000001</c:v>
                </c:pt>
                <c:pt idx="237">
                  <c:v>18.7</c:v>
                </c:pt>
                <c:pt idx="238">
                  <c:v>18.8</c:v>
                </c:pt>
                <c:pt idx="239">
                  <c:v>18.899999999999999</c:v>
                </c:pt>
                <c:pt idx="240">
                  <c:v>19</c:v>
                </c:pt>
                <c:pt idx="241">
                  <c:v>19.100000000000001</c:v>
                </c:pt>
                <c:pt idx="242">
                  <c:v>19.2</c:v>
                </c:pt>
                <c:pt idx="243">
                  <c:v>19.3</c:v>
                </c:pt>
                <c:pt idx="244">
                  <c:v>19.399999999999999</c:v>
                </c:pt>
                <c:pt idx="245">
                  <c:v>19.5</c:v>
                </c:pt>
                <c:pt idx="246">
                  <c:v>19.600000000000001</c:v>
                </c:pt>
                <c:pt idx="247">
                  <c:v>19.7</c:v>
                </c:pt>
                <c:pt idx="248">
                  <c:v>19.8</c:v>
                </c:pt>
                <c:pt idx="249">
                  <c:v>19.899999999999999</c:v>
                </c:pt>
                <c:pt idx="250">
                  <c:v>20</c:v>
                </c:pt>
                <c:pt idx="251">
                  <c:v>20.100000000000001</c:v>
                </c:pt>
                <c:pt idx="252">
                  <c:v>20.2</c:v>
                </c:pt>
                <c:pt idx="253">
                  <c:v>20.3</c:v>
                </c:pt>
                <c:pt idx="254">
                  <c:v>20.399999999999999</c:v>
                </c:pt>
                <c:pt idx="255">
                  <c:v>20.5</c:v>
                </c:pt>
                <c:pt idx="256">
                  <c:v>20.6</c:v>
                </c:pt>
                <c:pt idx="257">
                  <c:v>20.7</c:v>
                </c:pt>
                <c:pt idx="258">
                  <c:v>20.8</c:v>
                </c:pt>
                <c:pt idx="259">
                  <c:v>20.9</c:v>
                </c:pt>
                <c:pt idx="260">
                  <c:v>21</c:v>
                </c:pt>
                <c:pt idx="261">
                  <c:v>21.1</c:v>
                </c:pt>
                <c:pt idx="262">
                  <c:v>21.2</c:v>
                </c:pt>
                <c:pt idx="263">
                  <c:v>21.3</c:v>
                </c:pt>
                <c:pt idx="264">
                  <c:v>21.4</c:v>
                </c:pt>
                <c:pt idx="265">
                  <c:v>21.5</c:v>
                </c:pt>
                <c:pt idx="266">
                  <c:v>21.6</c:v>
                </c:pt>
                <c:pt idx="267">
                  <c:v>21.7</c:v>
                </c:pt>
                <c:pt idx="268">
                  <c:v>21.8</c:v>
                </c:pt>
                <c:pt idx="269">
                  <c:v>21.9</c:v>
                </c:pt>
                <c:pt idx="270">
                  <c:v>22</c:v>
                </c:pt>
                <c:pt idx="271">
                  <c:v>22.1</c:v>
                </c:pt>
                <c:pt idx="272">
                  <c:v>22.2</c:v>
                </c:pt>
                <c:pt idx="273">
                  <c:v>22.3</c:v>
                </c:pt>
                <c:pt idx="274">
                  <c:v>22.4</c:v>
                </c:pt>
                <c:pt idx="275">
                  <c:v>22.5</c:v>
                </c:pt>
                <c:pt idx="276">
                  <c:v>22.6</c:v>
                </c:pt>
                <c:pt idx="277">
                  <c:v>22.7</c:v>
                </c:pt>
                <c:pt idx="278">
                  <c:v>22.8</c:v>
                </c:pt>
                <c:pt idx="279">
                  <c:v>22.9</c:v>
                </c:pt>
                <c:pt idx="280">
                  <c:v>23</c:v>
                </c:pt>
                <c:pt idx="281">
                  <c:v>23.1</c:v>
                </c:pt>
                <c:pt idx="282">
                  <c:v>23.2</c:v>
                </c:pt>
                <c:pt idx="283">
                  <c:v>23.3</c:v>
                </c:pt>
                <c:pt idx="284">
                  <c:v>23.4</c:v>
                </c:pt>
                <c:pt idx="285">
                  <c:v>23.5</c:v>
                </c:pt>
                <c:pt idx="286">
                  <c:v>23.6</c:v>
                </c:pt>
                <c:pt idx="287">
                  <c:v>23.7</c:v>
                </c:pt>
                <c:pt idx="288">
                  <c:v>23.8</c:v>
                </c:pt>
                <c:pt idx="289">
                  <c:v>23.9</c:v>
                </c:pt>
                <c:pt idx="290">
                  <c:v>24</c:v>
                </c:pt>
                <c:pt idx="291">
                  <c:v>24.1</c:v>
                </c:pt>
                <c:pt idx="292">
                  <c:v>24.2</c:v>
                </c:pt>
                <c:pt idx="293">
                  <c:v>24.3</c:v>
                </c:pt>
                <c:pt idx="294">
                  <c:v>24.4</c:v>
                </c:pt>
                <c:pt idx="295">
                  <c:v>24.5</c:v>
                </c:pt>
                <c:pt idx="296">
                  <c:v>24.6</c:v>
                </c:pt>
                <c:pt idx="297">
                  <c:v>24.7</c:v>
                </c:pt>
                <c:pt idx="298">
                  <c:v>24.8</c:v>
                </c:pt>
                <c:pt idx="299">
                  <c:v>24.9</c:v>
                </c:pt>
                <c:pt idx="300">
                  <c:v>25</c:v>
                </c:pt>
              </c:numCache>
            </c:numRef>
          </c:xVal>
          <c:yVal>
            <c:numRef>
              <c:f>calc!$HN$45:$TB$45</c:f>
              <c:numCache>
                <c:formatCode>General</c:formatCode>
                <c:ptCount val="3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numCache>
            </c:numRef>
          </c:yVal>
          <c:smooth val="1"/>
        </c:ser>
        <c:ser>
          <c:idx val="5"/>
          <c:order val="3"/>
          <c:tx>
            <c:strRef>
              <c:f>calc!$HM$46</c:f>
              <c:strCache>
                <c:ptCount val="1"/>
                <c:pt idx="0">
                  <c:v>最低気温</c:v>
                </c:pt>
              </c:strCache>
            </c:strRef>
          </c:tx>
          <c:spPr>
            <a:ln w="25400" cap="rnd">
              <a:solidFill>
                <a:schemeClr val="tx2">
                  <a:lumMod val="60000"/>
                  <a:lumOff val="40000"/>
                  <a:alpha val="50000"/>
                </a:schemeClr>
              </a:solidFill>
              <a:round/>
            </a:ln>
            <a:effectLst/>
          </c:spPr>
          <c:marker>
            <c:symbol val="none"/>
          </c:marker>
          <c:xVal>
            <c:numRef>
              <c:f>calc!$HN$1:$TB$1</c:f>
              <c:numCache>
                <c:formatCode>General</c:formatCode>
                <c:ptCount val="301"/>
                <c:pt idx="0">
                  <c:v>-5</c:v>
                </c:pt>
                <c:pt idx="1">
                  <c:v>-4.9000000000000004</c:v>
                </c:pt>
                <c:pt idx="2">
                  <c:v>-4.8</c:v>
                </c:pt>
                <c:pt idx="3">
                  <c:v>-4.7</c:v>
                </c:pt>
                <c:pt idx="4">
                  <c:v>-4.5999999999999996</c:v>
                </c:pt>
                <c:pt idx="5">
                  <c:v>-4.5</c:v>
                </c:pt>
                <c:pt idx="6">
                  <c:v>-4.4000000000000004</c:v>
                </c:pt>
                <c:pt idx="7">
                  <c:v>-4.3</c:v>
                </c:pt>
                <c:pt idx="8">
                  <c:v>-4.2</c:v>
                </c:pt>
                <c:pt idx="9">
                  <c:v>-4.0999999999999996</c:v>
                </c:pt>
                <c:pt idx="10">
                  <c:v>-4</c:v>
                </c:pt>
                <c:pt idx="11">
                  <c:v>-3.9</c:v>
                </c:pt>
                <c:pt idx="12">
                  <c:v>-3.8</c:v>
                </c:pt>
                <c:pt idx="13">
                  <c:v>-3.7</c:v>
                </c:pt>
                <c:pt idx="14">
                  <c:v>-3.6</c:v>
                </c:pt>
                <c:pt idx="15">
                  <c:v>-3.5</c:v>
                </c:pt>
                <c:pt idx="16">
                  <c:v>-3.4</c:v>
                </c:pt>
                <c:pt idx="17">
                  <c:v>-3.3</c:v>
                </c:pt>
                <c:pt idx="18">
                  <c:v>-3.2</c:v>
                </c:pt>
                <c:pt idx="19">
                  <c:v>-3.1</c:v>
                </c:pt>
                <c:pt idx="20">
                  <c:v>-3</c:v>
                </c:pt>
                <c:pt idx="21">
                  <c:v>-2.9</c:v>
                </c:pt>
                <c:pt idx="22">
                  <c:v>-2.8</c:v>
                </c:pt>
                <c:pt idx="23">
                  <c:v>-2.7</c:v>
                </c:pt>
                <c:pt idx="24">
                  <c:v>-2.6</c:v>
                </c:pt>
                <c:pt idx="25">
                  <c:v>-2.5</c:v>
                </c:pt>
                <c:pt idx="26">
                  <c:v>-2.4</c:v>
                </c:pt>
                <c:pt idx="27">
                  <c:v>-2.2999999999999998</c:v>
                </c:pt>
                <c:pt idx="28">
                  <c:v>-2.2000000000000002</c:v>
                </c:pt>
                <c:pt idx="29">
                  <c:v>-2.1</c:v>
                </c:pt>
                <c:pt idx="30">
                  <c:v>-2</c:v>
                </c:pt>
                <c:pt idx="31">
                  <c:v>-1.9</c:v>
                </c:pt>
                <c:pt idx="32">
                  <c:v>-1.8</c:v>
                </c:pt>
                <c:pt idx="33">
                  <c:v>-1.7</c:v>
                </c:pt>
                <c:pt idx="34">
                  <c:v>-1.6</c:v>
                </c:pt>
                <c:pt idx="35">
                  <c:v>-1.5</c:v>
                </c:pt>
                <c:pt idx="36">
                  <c:v>-1.4</c:v>
                </c:pt>
                <c:pt idx="37">
                  <c:v>-1.3</c:v>
                </c:pt>
                <c:pt idx="38">
                  <c:v>-1.2</c:v>
                </c:pt>
                <c:pt idx="39">
                  <c:v>-1.1000000000000001</c:v>
                </c:pt>
                <c:pt idx="40">
                  <c:v>-1</c:v>
                </c:pt>
                <c:pt idx="41">
                  <c:v>-0.9</c:v>
                </c:pt>
                <c:pt idx="42">
                  <c:v>-0.8</c:v>
                </c:pt>
                <c:pt idx="43">
                  <c:v>-0.7</c:v>
                </c:pt>
                <c:pt idx="44">
                  <c:v>-0.6</c:v>
                </c:pt>
                <c:pt idx="45">
                  <c:v>-0.5</c:v>
                </c:pt>
                <c:pt idx="46">
                  <c:v>-0.4</c:v>
                </c:pt>
                <c:pt idx="47">
                  <c:v>-0.3</c:v>
                </c:pt>
                <c:pt idx="48">
                  <c:v>-0.2</c:v>
                </c:pt>
                <c:pt idx="49">
                  <c:v>-0.1</c:v>
                </c:pt>
                <c:pt idx="50">
                  <c:v>0</c:v>
                </c:pt>
                <c:pt idx="51">
                  <c:v>0.1</c:v>
                </c:pt>
                <c:pt idx="52">
                  <c:v>0.2</c:v>
                </c:pt>
                <c:pt idx="53">
                  <c:v>0.3</c:v>
                </c:pt>
                <c:pt idx="54">
                  <c:v>0.4</c:v>
                </c:pt>
                <c:pt idx="55">
                  <c:v>0.5</c:v>
                </c:pt>
                <c:pt idx="56">
                  <c:v>0.6</c:v>
                </c:pt>
                <c:pt idx="57">
                  <c:v>0.7</c:v>
                </c:pt>
                <c:pt idx="58">
                  <c:v>0.8</c:v>
                </c:pt>
                <c:pt idx="59">
                  <c:v>0.9</c:v>
                </c:pt>
                <c:pt idx="60">
                  <c:v>1</c:v>
                </c:pt>
                <c:pt idx="61">
                  <c:v>1.1000000000000001</c:v>
                </c:pt>
                <c:pt idx="62">
                  <c:v>1.2</c:v>
                </c:pt>
                <c:pt idx="63">
                  <c:v>1.3</c:v>
                </c:pt>
                <c:pt idx="64">
                  <c:v>1.4</c:v>
                </c:pt>
                <c:pt idx="65">
                  <c:v>1.5</c:v>
                </c:pt>
                <c:pt idx="66">
                  <c:v>1.6</c:v>
                </c:pt>
                <c:pt idx="67">
                  <c:v>1.7</c:v>
                </c:pt>
                <c:pt idx="68">
                  <c:v>1.8</c:v>
                </c:pt>
                <c:pt idx="69">
                  <c:v>1.9</c:v>
                </c:pt>
                <c:pt idx="70">
                  <c:v>2</c:v>
                </c:pt>
                <c:pt idx="71">
                  <c:v>2.1</c:v>
                </c:pt>
                <c:pt idx="72">
                  <c:v>2.2000000000000002</c:v>
                </c:pt>
                <c:pt idx="73">
                  <c:v>2.2999999999999998</c:v>
                </c:pt>
                <c:pt idx="74">
                  <c:v>2.4</c:v>
                </c:pt>
                <c:pt idx="75">
                  <c:v>2.5</c:v>
                </c:pt>
                <c:pt idx="76">
                  <c:v>2.6</c:v>
                </c:pt>
                <c:pt idx="77">
                  <c:v>2.7</c:v>
                </c:pt>
                <c:pt idx="78">
                  <c:v>2.8</c:v>
                </c:pt>
                <c:pt idx="79">
                  <c:v>2.9</c:v>
                </c:pt>
                <c:pt idx="80">
                  <c:v>3</c:v>
                </c:pt>
                <c:pt idx="81">
                  <c:v>3.1</c:v>
                </c:pt>
                <c:pt idx="82">
                  <c:v>3.2</c:v>
                </c:pt>
                <c:pt idx="83">
                  <c:v>3.3</c:v>
                </c:pt>
                <c:pt idx="84">
                  <c:v>3.4</c:v>
                </c:pt>
                <c:pt idx="85">
                  <c:v>3.5</c:v>
                </c:pt>
                <c:pt idx="86">
                  <c:v>3.6</c:v>
                </c:pt>
                <c:pt idx="87">
                  <c:v>3.7</c:v>
                </c:pt>
                <c:pt idx="88">
                  <c:v>3.8</c:v>
                </c:pt>
                <c:pt idx="89">
                  <c:v>3.9</c:v>
                </c:pt>
                <c:pt idx="90">
                  <c:v>4</c:v>
                </c:pt>
                <c:pt idx="91">
                  <c:v>4.0999999999999996</c:v>
                </c:pt>
                <c:pt idx="92">
                  <c:v>4.2</c:v>
                </c:pt>
                <c:pt idx="93">
                  <c:v>4.3</c:v>
                </c:pt>
                <c:pt idx="94">
                  <c:v>4.4000000000000004</c:v>
                </c:pt>
                <c:pt idx="95">
                  <c:v>4.5</c:v>
                </c:pt>
                <c:pt idx="96">
                  <c:v>4.5999999999999996</c:v>
                </c:pt>
                <c:pt idx="97">
                  <c:v>4.7</c:v>
                </c:pt>
                <c:pt idx="98">
                  <c:v>4.8</c:v>
                </c:pt>
                <c:pt idx="99">
                  <c:v>4.9000000000000004</c:v>
                </c:pt>
                <c:pt idx="100">
                  <c:v>5</c:v>
                </c:pt>
                <c:pt idx="101">
                  <c:v>5.0999999999999996</c:v>
                </c:pt>
                <c:pt idx="102">
                  <c:v>5.2</c:v>
                </c:pt>
                <c:pt idx="103">
                  <c:v>5.3</c:v>
                </c:pt>
                <c:pt idx="104">
                  <c:v>5.4</c:v>
                </c:pt>
                <c:pt idx="105">
                  <c:v>5.5</c:v>
                </c:pt>
                <c:pt idx="106">
                  <c:v>5.6</c:v>
                </c:pt>
                <c:pt idx="107">
                  <c:v>5.7</c:v>
                </c:pt>
                <c:pt idx="108">
                  <c:v>5.8</c:v>
                </c:pt>
                <c:pt idx="109">
                  <c:v>5.9</c:v>
                </c:pt>
                <c:pt idx="110">
                  <c:v>6</c:v>
                </c:pt>
                <c:pt idx="111">
                  <c:v>6.1</c:v>
                </c:pt>
                <c:pt idx="112">
                  <c:v>6.2</c:v>
                </c:pt>
                <c:pt idx="113">
                  <c:v>6.3</c:v>
                </c:pt>
                <c:pt idx="114">
                  <c:v>6.4</c:v>
                </c:pt>
                <c:pt idx="115">
                  <c:v>6.5</c:v>
                </c:pt>
                <c:pt idx="116">
                  <c:v>6.6</c:v>
                </c:pt>
                <c:pt idx="117">
                  <c:v>6.7</c:v>
                </c:pt>
                <c:pt idx="118">
                  <c:v>6.8</c:v>
                </c:pt>
                <c:pt idx="119">
                  <c:v>6.9</c:v>
                </c:pt>
                <c:pt idx="120">
                  <c:v>7</c:v>
                </c:pt>
                <c:pt idx="121">
                  <c:v>7.1</c:v>
                </c:pt>
                <c:pt idx="122">
                  <c:v>7.2</c:v>
                </c:pt>
                <c:pt idx="123">
                  <c:v>7.3</c:v>
                </c:pt>
                <c:pt idx="124">
                  <c:v>7.4</c:v>
                </c:pt>
                <c:pt idx="125">
                  <c:v>7.5</c:v>
                </c:pt>
                <c:pt idx="126">
                  <c:v>7.6</c:v>
                </c:pt>
                <c:pt idx="127">
                  <c:v>7.7</c:v>
                </c:pt>
                <c:pt idx="128">
                  <c:v>7.8</c:v>
                </c:pt>
                <c:pt idx="129">
                  <c:v>7.9</c:v>
                </c:pt>
                <c:pt idx="130">
                  <c:v>8</c:v>
                </c:pt>
                <c:pt idx="131">
                  <c:v>8.1</c:v>
                </c:pt>
                <c:pt idx="132">
                  <c:v>8.1999999999999993</c:v>
                </c:pt>
                <c:pt idx="133">
                  <c:v>8.3000000000000007</c:v>
                </c:pt>
                <c:pt idx="134">
                  <c:v>8.4</c:v>
                </c:pt>
                <c:pt idx="135">
                  <c:v>8.5</c:v>
                </c:pt>
                <c:pt idx="136">
                  <c:v>8.6</c:v>
                </c:pt>
                <c:pt idx="137">
                  <c:v>8.6999999999999993</c:v>
                </c:pt>
                <c:pt idx="138">
                  <c:v>8.8000000000000007</c:v>
                </c:pt>
                <c:pt idx="139">
                  <c:v>8.9</c:v>
                </c:pt>
                <c:pt idx="140">
                  <c:v>9</c:v>
                </c:pt>
                <c:pt idx="141">
                  <c:v>9.1</c:v>
                </c:pt>
                <c:pt idx="142">
                  <c:v>9.1999999999999993</c:v>
                </c:pt>
                <c:pt idx="143">
                  <c:v>9.3000000000000007</c:v>
                </c:pt>
                <c:pt idx="144">
                  <c:v>9.4</c:v>
                </c:pt>
                <c:pt idx="145">
                  <c:v>9.5</c:v>
                </c:pt>
                <c:pt idx="146">
                  <c:v>9.6</c:v>
                </c:pt>
                <c:pt idx="147">
                  <c:v>9.6999999999999993</c:v>
                </c:pt>
                <c:pt idx="148">
                  <c:v>9.8000000000000007</c:v>
                </c:pt>
                <c:pt idx="149">
                  <c:v>9.9</c:v>
                </c:pt>
                <c:pt idx="150">
                  <c:v>10</c:v>
                </c:pt>
                <c:pt idx="151">
                  <c:v>10.1</c:v>
                </c:pt>
                <c:pt idx="152">
                  <c:v>10.199999999999999</c:v>
                </c:pt>
                <c:pt idx="153">
                  <c:v>10.3</c:v>
                </c:pt>
                <c:pt idx="154">
                  <c:v>10.4</c:v>
                </c:pt>
                <c:pt idx="155">
                  <c:v>10.5</c:v>
                </c:pt>
                <c:pt idx="156">
                  <c:v>10.6</c:v>
                </c:pt>
                <c:pt idx="157">
                  <c:v>10.7</c:v>
                </c:pt>
                <c:pt idx="158">
                  <c:v>10.8</c:v>
                </c:pt>
                <c:pt idx="159">
                  <c:v>10.9</c:v>
                </c:pt>
                <c:pt idx="160">
                  <c:v>11</c:v>
                </c:pt>
                <c:pt idx="161">
                  <c:v>11.1</c:v>
                </c:pt>
                <c:pt idx="162">
                  <c:v>11.2</c:v>
                </c:pt>
                <c:pt idx="163">
                  <c:v>11.3</c:v>
                </c:pt>
                <c:pt idx="164">
                  <c:v>11.4</c:v>
                </c:pt>
                <c:pt idx="165">
                  <c:v>11.5</c:v>
                </c:pt>
                <c:pt idx="166">
                  <c:v>11.6</c:v>
                </c:pt>
                <c:pt idx="167">
                  <c:v>11.7</c:v>
                </c:pt>
                <c:pt idx="168">
                  <c:v>11.8</c:v>
                </c:pt>
                <c:pt idx="169">
                  <c:v>11.9</c:v>
                </c:pt>
                <c:pt idx="170">
                  <c:v>12</c:v>
                </c:pt>
                <c:pt idx="171">
                  <c:v>12.1</c:v>
                </c:pt>
                <c:pt idx="172">
                  <c:v>12.2</c:v>
                </c:pt>
                <c:pt idx="173">
                  <c:v>12.3</c:v>
                </c:pt>
                <c:pt idx="174">
                  <c:v>12.4</c:v>
                </c:pt>
                <c:pt idx="175">
                  <c:v>12.5</c:v>
                </c:pt>
                <c:pt idx="176">
                  <c:v>12.6</c:v>
                </c:pt>
                <c:pt idx="177">
                  <c:v>12.7</c:v>
                </c:pt>
                <c:pt idx="178">
                  <c:v>12.8</c:v>
                </c:pt>
                <c:pt idx="179">
                  <c:v>12.9</c:v>
                </c:pt>
                <c:pt idx="180">
                  <c:v>13</c:v>
                </c:pt>
                <c:pt idx="181">
                  <c:v>13.1</c:v>
                </c:pt>
                <c:pt idx="182">
                  <c:v>13.2</c:v>
                </c:pt>
                <c:pt idx="183">
                  <c:v>13.3</c:v>
                </c:pt>
                <c:pt idx="184">
                  <c:v>13.4</c:v>
                </c:pt>
                <c:pt idx="185">
                  <c:v>13.5</c:v>
                </c:pt>
                <c:pt idx="186">
                  <c:v>13.6</c:v>
                </c:pt>
                <c:pt idx="187">
                  <c:v>13.7</c:v>
                </c:pt>
                <c:pt idx="188">
                  <c:v>13.8</c:v>
                </c:pt>
                <c:pt idx="189">
                  <c:v>13.9</c:v>
                </c:pt>
                <c:pt idx="190">
                  <c:v>14</c:v>
                </c:pt>
                <c:pt idx="191">
                  <c:v>14.1</c:v>
                </c:pt>
                <c:pt idx="192">
                  <c:v>14.2</c:v>
                </c:pt>
                <c:pt idx="193">
                  <c:v>14.3</c:v>
                </c:pt>
                <c:pt idx="194">
                  <c:v>14.4</c:v>
                </c:pt>
                <c:pt idx="195">
                  <c:v>14.5</c:v>
                </c:pt>
                <c:pt idx="196">
                  <c:v>14.6</c:v>
                </c:pt>
                <c:pt idx="197">
                  <c:v>14.7</c:v>
                </c:pt>
                <c:pt idx="198">
                  <c:v>14.8</c:v>
                </c:pt>
                <c:pt idx="199">
                  <c:v>14.9</c:v>
                </c:pt>
                <c:pt idx="200">
                  <c:v>15</c:v>
                </c:pt>
                <c:pt idx="201">
                  <c:v>15.1</c:v>
                </c:pt>
                <c:pt idx="202">
                  <c:v>15.2</c:v>
                </c:pt>
                <c:pt idx="203">
                  <c:v>15.3</c:v>
                </c:pt>
                <c:pt idx="204">
                  <c:v>15.4</c:v>
                </c:pt>
                <c:pt idx="205">
                  <c:v>15.5</c:v>
                </c:pt>
                <c:pt idx="206">
                  <c:v>15.6</c:v>
                </c:pt>
                <c:pt idx="207">
                  <c:v>15.7</c:v>
                </c:pt>
                <c:pt idx="208">
                  <c:v>15.8</c:v>
                </c:pt>
                <c:pt idx="209">
                  <c:v>15.9</c:v>
                </c:pt>
                <c:pt idx="210">
                  <c:v>16</c:v>
                </c:pt>
                <c:pt idx="211">
                  <c:v>16.100000000000001</c:v>
                </c:pt>
                <c:pt idx="212">
                  <c:v>16.2</c:v>
                </c:pt>
                <c:pt idx="213">
                  <c:v>16.3</c:v>
                </c:pt>
                <c:pt idx="214">
                  <c:v>16.399999999999999</c:v>
                </c:pt>
                <c:pt idx="215">
                  <c:v>16.5</c:v>
                </c:pt>
                <c:pt idx="216">
                  <c:v>16.600000000000001</c:v>
                </c:pt>
                <c:pt idx="217">
                  <c:v>16.7</c:v>
                </c:pt>
                <c:pt idx="218">
                  <c:v>16.8</c:v>
                </c:pt>
                <c:pt idx="219">
                  <c:v>16.899999999999999</c:v>
                </c:pt>
                <c:pt idx="220">
                  <c:v>17</c:v>
                </c:pt>
                <c:pt idx="221">
                  <c:v>17.100000000000001</c:v>
                </c:pt>
                <c:pt idx="222">
                  <c:v>17.2</c:v>
                </c:pt>
                <c:pt idx="223">
                  <c:v>17.3</c:v>
                </c:pt>
                <c:pt idx="224">
                  <c:v>17.399999999999999</c:v>
                </c:pt>
                <c:pt idx="225">
                  <c:v>17.5</c:v>
                </c:pt>
                <c:pt idx="226">
                  <c:v>17.600000000000001</c:v>
                </c:pt>
                <c:pt idx="227">
                  <c:v>17.7</c:v>
                </c:pt>
                <c:pt idx="228">
                  <c:v>17.8</c:v>
                </c:pt>
                <c:pt idx="229">
                  <c:v>17.899999999999999</c:v>
                </c:pt>
                <c:pt idx="230">
                  <c:v>18</c:v>
                </c:pt>
                <c:pt idx="231">
                  <c:v>18.100000000000001</c:v>
                </c:pt>
                <c:pt idx="232">
                  <c:v>18.2</c:v>
                </c:pt>
                <c:pt idx="233">
                  <c:v>18.3</c:v>
                </c:pt>
                <c:pt idx="234">
                  <c:v>18.399999999999999</c:v>
                </c:pt>
                <c:pt idx="235">
                  <c:v>18.5</c:v>
                </c:pt>
                <c:pt idx="236">
                  <c:v>18.600000000000001</c:v>
                </c:pt>
                <c:pt idx="237">
                  <c:v>18.7</c:v>
                </c:pt>
                <c:pt idx="238">
                  <c:v>18.8</c:v>
                </c:pt>
                <c:pt idx="239">
                  <c:v>18.899999999999999</c:v>
                </c:pt>
                <c:pt idx="240">
                  <c:v>19</c:v>
                </c:pt>
                <c:pt idx="241">
                  <c:v>19.100000000000001</c:v>
                </c:pt>
                <c:pt idx="242">
                  <c:v>19.2</c:v>
                </c:pt>
                <c:pt idx="243">
                  <c:v>19.3</c:v>
                </c:pt>
                <c:pt idx="244">
                  <c:v>19.399999999999999</c:v>
                </c:pt>
                <c:pt idx="245">
                  <c:v>19.5</c:v>
                </c:pt>
                <c:pt idx="246">
                  <c:v>19.600000000000001</c:v>
                </c:pt>
                <c:pt idx="247">
                  <c:v>19.7</c:v>
                </c:pt>
                <c:pt idx="248">
                  <c:v>19.8</c:v>
                </c:pt>
                <c:pt idx="249">
                  <c:v>19.899999999999999</c:v>
                </c:pt>
                <c:pt idx="250">
                  <c:v>20</c:v>
                </c:pt>
                <c:pt idx="251">
                  <c:v>20.100000000000001</c:v>
                </c:pt>
                <c:pt idx="252">
                  <c:v>20.2</c:v>
                </c:pt>
                <c:pt idx="253">
                  <c:v>20.3</c:v>
                </c:pt>
                <c:pt idx="254">
                  <c:v>20.399999999999999</c:v>
                </c:pt>
                <c:pt idx="255">
                  <c:v>20.5</c:v>
                </c:pt>
                <c:pt idx="256">
                  <c:v>20.6</c:v>
                </c:pt>
                <c:pt idx="257">
                  <c:v>20.7</c:v>
                </c:pt>
                <c:pt idx="258">
                  <c:v>20.8</c:v>
                </c:pt>
                <c:pt idx="259">
                  <c:v>20.9</c:v>
                </c:pt>
                <c:pt idx="260">
                  <c:v>21</c:v>
                </c:pt>
                <c:pt idx="261">
                  <c:v>21.1</c:v>
                </c:pt>
                <c:pt idx="262">
                  <c:v>21.2</c:v>
                </c:pt>
                <c:pt idx="263">
                  <c:v>21.3</c:v>
                </c:pt>
                <c:pt idx="264">
                  <c:v>21.4</c:v>
                </c:pt>
                <c:pt idx="265">
                  <c:v>21.5</c:v>
                </c:pt>
                <c:pt idx="266">
                  <c:v>21.6</c:v>
                </c:pt>
                <c:pt idx="267">
                  <c:v>21.7</c:v>
                </c:pt>
                <c:pt idx="268">
                  <c:v>21.8</c:v>
                </c:pt>
                <c:pt idx="269">
                  <c:v>21.9</c:v>
                </c:pt>
                <c:pt idx="270">
                  <c:v>22</c:v>
                </c:pt>
                <c:pt idx="271">
                  <c:v>22.1</c:v>
                </c:pt>
                <c:pt idx="272">
                  <c:v>22.2</c:v>
                </c:pt>
                <c:pt idx="273">
                  <c:v>22.3</c:v>
                </c:pt>
                <c:pt idx="274">
                  <c:v>22.4</c:v>
                </c:pt>
                <c:pt idx="275">
                  <c:v>22.5</c:v>
                </c:pt>
                <c:pt idx="276">
                  <c:v>22.6</c:v>
                </c:pt>
                <c:pt idx="277">
                  <c:v>22.7</c:v>
                </c:pt>
                <c:pt idx="278">
                  <c:v>22.8</c:v>
                </c:pt>
                <c:pt idx="279">
                  <c:v>22.9</c:v>
                </c:pt>
                <c:pt idx="280">
                  <c:v>23</c:v>
                </c:pt>
                <c:pt idx="281">
                  <c:v>23.1</c:v>
                </c:pt>
                <c:pt idx="282">
                  <c:v>23.2</c:v>
                </c:pt>
                <c:pt idx="283">
                  <c:v>23.3</c:v>
                </c:pt>
                <c:pt idx="284">
                  <c:v>23.4</c:v>
                </c:pt>
                <c:pt idx="285">
                  <c:v>23.5</c:v>
                </c:pt>
                <c:pt idx="286">
                  <c:v>23.6</c:v>
                </c:pt>
                <c:pt idx="287">
                  <c:v>23.7</c:v>
                </c:pt>
                <c:pt idx="288">
                  <c:v>23.8</c:v>
                </c:pt>
                <c:pt idx="289">
                  <c:v>23.9</c:v>
                </c:pt>
                <c:pt idx="290">
                  <c:v>24</c:v>
                </c:pt>
                <c:pt idx="291">
                  <c:v>24.1</c:v>
                </c:pt>
                <c:pt idx="292">
                  <c:v>24.2</c:v>
                </c:pt>
                <c:pt idx="293">
                  <c:v>24.3</c:v>
                </c:pt>
                <c:pt idx="294">
                  <c:v>24.4</c:v>
                </c:pt>
                <c:pt idx="295">
                  <c:v>24.5</c:v>
                </c:pt>
                <c:pt idx="296">
                  <c:v>24.6</c:v>
                </c:pt>
                <c:pt idx="297">
                  <c:v>24.7</c:v>
                </c:pt>
                <c:pt idx="298">
                  <c:v>24.8</c:v>
                </c:pt>
                <c:pt idx="299">
                  <c:v>24.9</c:v>
                </c:pt>
                <c:pt idx="300">
                  <c:v>25</c:v>
                </c:pt>
              </c:numCache>
            </c:numRef>
          </c:xVal>
          <c:yVal>
            <c:numRef>
              <c:f>calc!$HN$58:$TB$58</c:f>
              <c:numCache>
                <c:formatCode>General</c:formatCode>
                <c:ptCount val="301"/>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numCache>
            </c:numRef>
          </c:yVal>
          <c:smooth val="1"/>
        </c:ser>
        <c:ser>
          <c:idx val="3"/>
          <c:order val="4"/>
          <c:tx>
            <c:strRef>
              <c:f>calc!$HM$44</c:f>
              <c:strCache>
                <c:ptCount val="1"/>
                <c:pt idx="0">
                  <c:v>平均気温</c:v>
                </c:pt>
              </c:strCache>
            </c:strRef>
          </c:tx>
          <c:spPr>
            <a:ln w="25400" cap="rnd">
              <a:solidFill>
                <a:schemeClr val="accent3">
                  <a:lumMod val="60000"/>
                  <a:lumOff val="40000"/>
                  <a:alpha val="50000"/>
                </a:schemeClr>
              </a:solidFill>
              <a:round/>
            </a:ln>
            <a:effectLst/>
          </c:spPr>
          <c:marker>
            <c:symbol val="none"/>
          </c:marker>
          <c:xVal>
            <c:numRef>
              <c:f>calc!$HN$1:$TB$1</c:f>
              <c:numCache>
                <c:formatCode>General</c:formatCode>
                <c:ptCount val="301"/>
                <c:pt idx="0">
                  <c:v>-5</c:v>
                </c:pt>
                <c:pt idx="1">
                  <c:v>-4.9000000000000004</c:v>
                </c:pt>
                <c:pt idx="2">
                  <c:v>-4.8</c:v>
                </c:pt>
                <c:pt idx="3">
                  <c:v>-4.7</c:v>
                </c:pt>
                <c:pt idx="4">
                  <c:v>-4.5999999999999996</c:v>
                </c:pt>
                <c:pt idx="5">
                  <c:v>-4.5</c:v>
                </c:pt>
                <c:pt idx="6">
                  <c:v>-4.4000000000000004</c:v>
                </c:pt>
                <c:pt idx="7">
                  <c:v>-4.3</c:v>
                </c:pt>
                <c:pt idx="8">
                  <c:v>-4.2</c:v>
                </c:pt>
                <c:pt idx="9">
                  <c:v>-4.0999999999999996</c:v>
                </c:pt>
                <c:pt idx="10">
                  <c:v>-4</c:v>
                </c:pt>
                <c:pt idx="11">
                  <c:v>-3.9</c:v>
                </c:pt>
                <c:pt idx="12">
                  <c:v>-3.8</c:v>
                </c:pt>
                <c:pt idx="13">
                  <c:v>-3.7</c:v>
                </c:pt>
                <c:pt idx="14">
                  <c:v>-3.6</c:v>
                </c:pt>
                <c:pt idx="15">
                  <c:v>-3.5</c:v>
                </c:pt>
                <c:pt idx="16">
                  <c:v>-3.4</c:v>
                </c:pt>
                <c:pt idx="17">
                  <c:v>-3.3</c:v>
                </c:pt>
                <c:pt idx="18">
                  <c:v>-3.2</c:v>
                </c:pt>
                <c:pt idx="19">
                  <c:v>-3.1</c:v>
                </c:pt>
                <c:pt idx="20">
                  <c:v>-3</c:v>
                </c:pt>
                <c:pt idx="21">
                  <c:v>-2.9</c:v>
                </c:pt>
                <c:pt idx="22">
                  <c:v>-2.8</c:v>
                </c:pt>
                <c:pt idx="23">
                  <c:v>-2.7</c:v>
                </c:pt>
                <c:pt idx="24">
                  <c:v>-2.6</c:v>
                </c:pt>
                <c:pt idx="25">
                  <c:v>-2.5</c:v>
                </c:pt>
                <c:pt idx="26">
                  <c:v>-2.4</c:v>
                </c:pt>
                <c:pt idx="27">
                  <c:v>-2.2999999999999998</c:v>
                </c:pt>
                <c:pt idx="28">
                  <c:v>-2.2000000000000002</c:v>
                </c:pt>
                <c:pt idx="29">
                  <c:v>-2.1</c:v>
                </c:pt>
                <c:pt idx="30">
                  <c:v>-2</c:v>
                </c:pt>
                <c:pt idx="31">
                  <c:v>-1.9</c:v>
                </c:pt>
                <c:pt idx="32">
                  <c:v>-1.8</c:v>
                </c:pt>
                <c:pt idx="33">
                  <c:v>-1.7</c:v>
                </c:pt>
                <c:pt idx="34">
                  <c:v>-1.6</c:v>
                </c:pt>
                <c:pt idx="35">
                  <c:v>-1.5</c:v>
                </c:pt>
                <c:pt idx="36">
                  <c:v>-1.4</c:v>
                </c:pt>
                <c:pt idx="37">
                  <c:v>-1.3</c:v>
                </c:pt>
                <c:pt idx="38">
                  <c:v>-1.2</c:v>
                </c:pt>
                <c:pt idx="39">
                  <c:v>-1.1000000000000001</c:v>
                </c:pt>
                <c:pt idx="40">
                  <c:v>-1</c:v>
                </c:pt>
                <c:pt idx="41">
                  <c:v>-0.9</c:v>
                </c:pt>
                <c:pt idx="42">
                  <c:v>-0.8</c:v>
                </c:pt>
                <c:pt idx="43">
                  <c:v>-0.7</c:v>
                </c:pt>
                <c:pt idx="44">
                  <c:v>-0.6</c:v>
                </c:pt>
                <c:pt idx="45">
                  <c:v>-0.5</c:v>
                </c:pt>
                <c:pt idx="46">
                  <c:v>-0.4</c:v>
                </c:pt>
                <c:pt idx="47">
                  <c:v>-0.3</c:v>
                </c:pt>
                <c:pt idx="48">
                  <c:v>-0.2</c:v>
                </c:pt>
                <c:pt idx="49">
                  <c:v>-0.1</c:v>
                </c:pt>
                <c:pt idx="50">
                  <c:v>0</c:v>
                </c:pt>
                <c:pt idx="51">
                  <c:v>0.1</c:v>
                </c:pt>
                <c:pt idx="52">
                  <c:v>0.2</c:v>
                </c:pt>
                <c:pt idx="53">
                  <c:v>0.3</c:v>
                </c:pt>
                <c:pt idx="54">
                  <c:v>0.4</c:v>
                </c:pt>
                <c:pt idx="55">
                  <c:v>0.5</c:v>
                </c:pt>
                <c:pt idx="56">
                  <c:v>0.6</c:v>
                </c:pt>
                <c:pt idx="57">
                  <c:v>0.7</c:v>
                </c:pt>
                <c:pt idx="58">
                  <c:v>0.8</c:v>
                </c:pt>
                <c:pt idx="59">
                  <c:v>0.9</c:v>
                </c:pt>
                <c:pt idx="60">
                  <c:v>1</c:v>
                </c:pt>
                <c:pt idx="61">
                  <c:v>1.1000000000000001</c:v>
                </c:pt>
                <c:pt idx="62">
                  <c:v>1.2</c:v>
                </c:pt>
                <c:pt idx="63">
                  <c:v>1.3</c:v>
                </c:pt>
                <c:pt idx="64">
                  <c:v>1.4</c:v>
                </c:pt>
                <c:pt idx="65">
                  <c:v>1.5</c:v>
                </c:pt>
                <c:pt idx="66">
                  <c:v>1.6</c:v>
                </c:pt>
                <c:pt idx="67">
                  <c:v>1.7</c:v>
                </c:pt>
                <c:pt idx="68">
                  <c:v>1.8</c:v>
                </c:pt>
                <c:pt idx="69">
                  <c:v>1.9</c:v>
                </c:pt>
                <c:pt idx="70">
                  <c:v>2</c:v>
                </c:pt>
                <c:pt idx="71">
                  <c:v>2.1</c:v>
                </c:pt>
                <c:pt idx="72">
                  <c:v>2.2000000000000002</c:v>
                </c:pt>
                <c:pt idx="73">
                  <c:v>2.2999999999999998</c:v>
                </c:pt>
                <c:pt idx="74">
                  <c:v>2.4</c:v>
                </c:pt>
                <c:pt idx="75">
                  <c:v>2.5</c:v>
                </c:pt>
                <c:pt idx="76">
                  <c:v>2.6</c:v>
                </c:pt>
                <c:pt idx="77">
                  <c:v>2.7</c:v>
                </c:pt>
                <c:pt idx="78">
                  <c:v>2.8</c:v>
                </c:pt>
                <c:pt idx="79">
                  <c:v>2.9</c:v>
                </c:pt>
                <c:pt idx="80">
                  <c:v>3</c:v>
                </c:pt>
                <c:pt idx="81">
                  <c:v>3.1</c:v>
                </c:pt>
                <c:pt idx="82">
                  <c:v>3.2</c:v>
                </c:pt>
                <c:pt idx="83">
                  <c:v>3.3</c:v>
                </c:pt>
                <c:pt idx="84">
                  <c:v>3.4</c:v>
                </c:pt>
                <c:pt idx="85">
                  <c:v>3.5</c:v>
                </c:pt>
                <c:pt idx="86">
                  <c:v>3.6</c:v>
                </c:pt>
                <c:pt idx="87">
                  <c:v>3.7</c:v>
                </c:pt>
                <c:pt idx="88">
                  <c:v>3.8</c:v>
                </c:pt>
                <c:pt idx="89">
                  <c:v>3.9</c:v>
                </c:pt>
                <c:pt idx="90">
                  <c:v>4</c:v>
                </c:pt>
                <c:pt idx="91">
                  <c:v>4.0999999999999996</c:v>
                </c:pt>
                <c:pt idx="92">
                  <c:v>4.2</c:v>
                </c:pt>
                <c:pt idx="93">
                  <c:v>4.3</c:v>
                </c:pt>
                <c:pt idx="94">
                  <c:v>4.4000000000000004</c:v>
                </c:pt>
                <c:pt idx="95">
                  <c:v>4.5</c:v>
                </c:pt>
                <c:pt idx="96">
                  <c:v>4.5999999999999996</c:v>
                </c:pt>
                <c:pt idx="97">
                  <c:v>4.7</c:v>
                </c:pt>
                <c:pt idx="98">
                  <c:v>4.8</c:v>
                </c:pt>
                <c:pt idx="99">
                  <c:v>4.9000000000000004</c:v>
                </c:pt>
                <c:pt idx="100">
                  <c:v>5</c:v>
                </c:pt>
                <c:pt idx="101">
                  <c:v>5.0999999999999996</c:v>
                </c:pt>
                <c:pt idx="102">
                  <c:v>5.2</c:v>
                </c:pt>
                <c:pt idx="103">
                  <c:v>5.3</c:v>
                </c:pt>
                <c:pt idx="104">
                  <c:v>5.4</c:v>
                </c:pt>
                <c:pt idx="105">
                  <c:v>5.5</c:v>
                </c:pt>
                <c:pt idx="106">
                  <c:v>5.6</c:v>
                </c:pt>
                <c:pt idx="107">
                  <c:v>5.7</c:v>
                </c:pt>
                <c:pt idx="108">
                  <c:v>5.8</c:v>
                </c:pt>
                <c:pt idx="109">
                  <c:v>5.9</c:v>
                </c:pt>
                <c:pt idx="110">
                  <c:v>6</c:v>
                </c:pt>
                <c:pt idx="111">
                  <c:v>6.1</c:v>
                </c:pt>
                <c:pt idx="112">
                  <c:v>6.2</c:v>
                </c:pt>
                <c:pt idx="113">
                  <c:v>6.3</c:v>
                </c:pt>
                <c:pt idx="114">
                  <c:v>6.4</c:v>
                </c:pt>
                <c:pt idx="115">
                  <c:v>6.5</c:v>
                </c:pt>
                <c:pt idx="116">
                  <c:v>6.6</c:v>
                </c:pt>
                <c:pt idx="117">
                  <c:v>6.7</c:v>
                </c:pt>
                <c:pt idx="118">
                  <c:v>6.8</c:v>
                </c:pt>
                <c:pt idx="119">
                  <c:v>6.9</c:v>
                </c:pt>
                <c:pt idx="120">
                  <c:v>7</c:v>
                </c:pt>
                <c:pt idx="121">
                  <c:v>7.1</c:v>
                </c:pt>
                <c:pt idx="122">
                  <c:v>7.2</c:v>
                </c:pt>
                <c:pt idx="123">
                  <c:v>7.3</c:v>
                </c:pt>
                <c:pt idx="124">
                  <c:v>7.4</c:v>
                </c:pt>
                <c:pt idx="125">
                  <c:v>7.5</c:v>
                </c:pt>
                <c:pt idx="126">
                  <c:v>7.6</c:v>
                </c:pt>
                <c:pt idx="127">
                  <c:v>7.7</c:v>
                </c:pt>
                <c:pt idx="128">
                  <c:v>7.8</c:v>
                </c:pt>
                <c:pt idx="129">
                  <c:v>7.9</c:v>
                </c:pt>
                <c:pt idx="130">
                  <c:v>8</c:v>
                </c:pt>
                <c:pt idx="131">
                  <c:v>8.1</c:v>
                </c:pt>
                <c:pt idx="132">
                  <c:v>8.1999999999999993</c:v>
                </c:pt>
                <c:pt idx="133">
                  <c:v>8.3000000000000007</c:v>
                </c:pt>
                <c:pt idx="134">
                  <c:v>8.4</c:v>
                </c:pt>
                <c:pt idx="135">
                  <c:v>8.5</c:v>
                </c:pt>
                <c:pt idx="136">
                  <c:v>8.6</c:v>
                </c:pt>
                <c:pt idx="137">
                  <c:v>8.6999999999999993</c:v>
                </c:pt>
                <c:pt idx="138">
                  <c:v>8.8000000000000007</c:v>
                </c:pt>
                <c:pt idx="139">
                  <c:v>8.9</c:v>
                </c:pt>
                <c:pt idx="140">
                  <c:v>9</c:v>
                </c:pt>
                <c:pt idx="141">
                  <c:v>9.1</c:v>
                </c:pt>
                <c:pt idx="142">
                  <c:v>9.1999999999999993</c:v>
                </c:pt>
                <c:pt idx="143">
                  <c:v>9.3000000000000007</c:v>
                </c:pt>
                <c:pt idx="144">
                  <c:v>9.4</c:v>
                </c:pt>
                <c:pt idx="145">
                  <c:v>9.5</c:v>
                </c:pt>
                <c:pt idx="146">
                  <c:v>9.6</c:v>
                </c:pt>
                <c:pt idx="147">
                  <c:v>9.6999999999999993</c:v>
                </c:pt>
                <c:pt idx="148">
                  <c:v>9.8000000000000007</c:v>
                </c:pt>
                <c:pt idx="149">
                  <c:v>9.9</c:v>
                </c:pt>
                <c:pt idx="150">
                  <c:v>10</c:v>
                </c:pt>
                <c:pt idx="151">
                  <c:v>10.1</c:v>
                </c:pt>
                <c:pt idx="152">
                  <c:v>10.199999999999999</c:v>
                </c:pt>
                <c:pt idx="153">
                  <c:v>10.3</c:v>
                </c:pt>
                <c:pt idx="154">
                  <c:v>10.4</c:v>
                </c:pt>
                <c:pt idx="155">
                  <c:v>10.5</c:v>
                </c:pt>
                <c:pt idx="156">
                  <c:v>10.6</c:v>
                </c:pt>
                <c:pt idx="157">
                  <c:v>10.7</c:v>
                </c:pt>
                <c:pt idx="158">
                  <c:v>10.8</c:v>
                </c:pt>
                <c:pt idx="159">
                  <c:v>10.9</c:v>
                </c:pt>
                <c:pt idx="160">
                  <c:v>11</c:v>
                </c:pt>
                <c:pt idx="161">
                  <c:v>11.1</c:v>
                </c:pt>
                <c:pt idx="162">
                  <c:v>11.2</c:v>
                </c:pt>
                <c:pt idx="163">
                  <c:v>11.3</c:v>
                </c:pt>
                <c:pt idx="164">
                  <c:v>11.4</c:v>
                </c:pt>
                <c:pt idx="165">
                  <c:v>11.5</c:v>
                </c:pt>
                <c:pt idx="166">
                  <c:v>11.6</c:v>
                </c:pt>
                <c:pt idx="167">
                  <c:v>11.7</c:v>
                </c:pt>
                <c:pt idx="168">
                  <c:v>11.8</c:v>
                </c:pt>
                <c:pt idx="169">
                  <c:v>11.9</c:v>
                </c:pt>
                <c:pt idx="170">
                  <c:v>12</c:v>
                </c:pt>
                <c:pt idx="171">
                  <c:v>12.1</c:v>
                </c:pt>
                <c:pt idx="172">
                  <c:v>12.2</c:v>
                </c:pt>
                <c:pt idx="173">
                  <c:v>12.3</c:v>
                </c:pt>
                <c:pt idx="174">
                  <c:v>12.4</c:v>
                </c:pt>
                <c:pt idx="175">
                  <c:v>12.5</c:v>
                </c:pt>
                <c:pt idx="176">
                  <c:v>12.6</c:v>
                </c:pt>
                <c:pt idx="177">
                  <c:v>12.7</c:v>
                </c:pt>
                <c:pt idx="178">
                  <c:v>12.8</c:v>
                </c:pt>
                <c:pt idx="179">
                  <c:v>12.9</c:v>
                </c:pt>
                <c:pt idx="180">
                  <c:v>13</c:v>
                </c:pt>
                <c:pt idx="181">
                  <c:v>13.1</c:v>
                </c:pt>
                <c:pt idx="182">
                  <c:v>13.2</c:v>
                </c:pt>
                <c:pt idx="183">
                  <c:v>13.3</c:v>
                </c:pt>
                <c:pt idx="184">
                  <c:v>13.4</c:v>
                </c:pt>
                <c:pt idx="185">
                  <c:v>13.5</c:v>
                </c:pt>
                <c:pt idx="186">
                  <c:v>13.6</c:v>
                </c:pt>
                <c:pt idx="187">
                  <c:v>13.7</c:v>
                </c:pt>
                <c:pt idx="188">
                  <c:v>13.8</c:v>
                </c:pt>
                <c:pt idx="189">
                  <c:v>13.9</c:v>
                </c:pt>
                <c:pt idx="190">
                  <c:v>14</c:v>
                </c:pt>
                <c:pt idx="191">
                  <c:v>14.1</c:v>
                </c:pt>
                <c:pt idx="192">
                  <c:v>14.2</c:v>
                </c:pt>
                <c:pt idx="193">
                  <c:v>14.3</c:v>
                </c:pt>
                <c:pt idx="194">
                  <c:v>14.4</c:v>
                </c:pt>
                <c:pt idx="195">
                  <c:v>14.5</c:v>
                </c:pt>
                <c:pt idx="196">
                  <c:v>14.6</c:v>
                </c:pt>
                <c:pt idx="197">
                  <c:v>14.7</c:v>
                </c:pt>
                <c:pt idx="198">
                  <c:v>14.8</c:v>
                </c:pt>
                <c:pt idx="199">
                  <c:v>14.9</c:v>
                </c:pt>
                <c:pt idx="200">
                  <c:v>15</c:v>
                </c:pt>
                <c:pt idx="201">
                  <c:v>15.1</c:v>
                </c:pt>
                <c:pt idx="202">
                  <c:v>15.2</c:v>
                </c:pt>
                <c:pt idx="203">
                  <c:v>15.3</c:v>
                </c:pt>
                <c:pt idx="204">
                  <c:v>15.4</c:v>
                </c:pt>
                <c:pt idx="205">
                  <c:v>15.5</c:v>
                </c:pt>
                <c:pt idx="206">
                  <c:v>15.6</c:v>
                </c:pt>
                <c:pt idx="207">
                  <c:v>15.7</c:v>
                </c:pt>
                <c:pt idx="208">
                  <c:v>15.8</c:v>
                </c:pt>
                <c:pt idx="209">
                  <c:v>15.9</c:v>
                </c:pt>
                <c:pt idx="210">
                  <c:v>16</c:v>
                </c:pt>
                <c:pt idx="211">
                  <c:v>16.100000000000001</c:v>
                </c:pt>
                <c:pt idx="212">
                  <c:v>16.2</c:v>
                </c:pt>
                <c:pt idx="213">
                  <c:v>16.3</c:v>
                </c:pt>
                <c:pt idx="214">
                  <c:v>16.399999999999999</c:v>
                </c:pt>
                <c:pt idx="215">
                  <c:v>16.5</c:v>
                </c:pt>
                <c:pt idx="216">
                  <c:v>16.600000000000001</c:v>
                </c:pt>
                <c:pt idx="217">
                  <c:v>16.7</c:v>
                </c:pt>
                <c:pt idx="218">
                  <c:v>16.8</c:v>
                </c:pt>
                <c:pt idx="219">
                  <c:v>16.899999999999999</c:v>
                </c:pt>
                <c:pt idx="220">
                  <c:v>17</c:v>
                </c:pt>
                <c:pt idx="221">
                  <c:v>17.100000000000001</c:v>
                </c:pt>
                <c:pt idx="222">
                  <c:v>17.2</c:v>
                </c:pt>
                <c:pt idx="223">
                  <c:v>17.3</c:v>
                </c:pt>
                <c:pt idx="224">
                  <c:v>17.399999999999999</c:v>
                </c:pt>
                <c:pt idx="225">
                  <c:v>17.5</c:v>
                </c:pt>
                <c:pt idx="226">
                  <c:v>17.600000000000001</c:v>
                </c:pt>
                <c:pt idx="227">
                  <c:v>17.7</c:v>
                </c:pt>
                <c:pt idx="228">
                  <c:v>17.8</c:v>
                </c:pt>
                <c:pt idx="229">
                  <c:v>17.899999999999999</c:v>
                </c:pt>
                <c:pt idx="230">
                  <c:v>18</c:v>
                </c:pt>
                <c:pt idx="231">
                  <c:v>18.100000000000001</c:v>
                </c:pt>
                <c:pt idx="232">
                  <c:v>18.2</c:v>
                </c:pt>
                <c:pt idx="233">
                  <c:v>18.3</c:v>
                </c:pt>
                <c:pt idx="234">
                  <c:v>18.399999999999999</c:v>
                </c:pt>
                <c:pt idx="235">
                  <c:v>18.5</c:v>
                </c:pt>
                <c:pt idx="236">
                  <c:v>18.600000000000001</c:v>
                </c:pt>
                <c:pt idx="237">
                  <c:v>18.7</c:v>
                </c:pt>
                <c:pt idx="238">
                  <c:v>18.8</c:v>
                </c:pt>
                <c:pt idx="239">
                  <c:v>18.899999999999999</c:v>
                </c:pt>
                <c:pt idx="240">
                  <c:v>19</c:v>
                </c:pt>
                <c:pt idx="241">
                  <c:v>19.100000000000001</c:v>
                </c:pt>
                <c:pt idx="242">
                  <c:v>19.2</c:v>
                </c:pt>
                <c:pt idx="243">
                  <c:v>19.3</c:v>
                </c:pt>
                <c:pt idx="244">
                  <c:v>19.399999999999999</c:v>
                </c:pt>
                <c:pt idx="245">
                  <c:v>19.5</c:v>
                </c:pt>
                <c:pt idx="246">
                  <c:v>19.600000000000001</c:v>
                </c:pt>
                <c:pt idx="247">
                  <c:v>19.7</c:v>
                </c:pt>
                <c:pt idx="248">
                  <c:v>19.8</c:v>
                </c:pt>
                <c:pt idx="249">
                  <c:v>19.899999999999999</c:v>
                </c:pt>
                <c:pt idx="250">
                  <c:v>20</c:v>
                </c:pt>
                <c:pt idx="251">
                  <c:v>20.100000000000001</c:v>
                </c:pt>
                <c:pt idx="252">
                  <c:v>20.2</c:v>
                </c:pt>
                <c:pt idx="253">
                  <c:v>20.3</c:v>
                </c:pt>
                <c:pt idx="254">
                  <c:v>20.399999999999999</c:v>
                </c:pt>
                <c:pt idx="255">
                  <c:v>20.5</c:v>
                </c:pt>
                <c:pt idx="256">
                  <c:v>20.6</c:v>
                </c:pt>
                <c:pt idx="257">
                  <c:v>20.7</c:v>
                </c:pt>
                <c:pt idx="258">
                  <c:v>20.8</c:v>
                </c:pt>
                <c:pt idx="259">
                  <c:v>20.9</c:v>
                </c:pt>
                <c:pt idx="260">
                  <c:v>21</c:v>
                </c:pt>
                <c:pt idx="261">
                  <c:v>21.1</c:v>
                </c:pt>
                <c:pt idx="262">
                  <c:v>21.2</c:v>
                </c:pt>
                <c:pt idx="263">
                  <c:v>21.3</c:v>
                </c:pt>
                <c:pt idx="264">
                  <c:v>21.4</c:v>
                </c:pt>
                <c:pt idx="265">
                  <c:v>21.5</c:v>
                </c:pt>
                <c:pt idx="266">
                  <c:v>21.6</c:v>
                </c:pt>
                <c:pt idx="267">
                  <c:v>21.7</c:v>
                </c:pt>
                <c:pt idx="268">
                  <c:v>21.8</c:v>
                </c:pt>
                <c:pt idx="269">
                  <c:v>21.9</c:v>
                </c:pt>
                <c:pt idx="270">
                  <c:v>22</c:v>
                </c:pt>
                <c:pt idx="271">
                  <c:v>22.1</c:v>
                </c:pt>
                <c:pt idx="272">
                  <c:v>22.2</c:v>
                </c:pt>
                <c:pt idx="273">
                  <c:v>22.3</c:v>
                </c:pt>
                <c:pt idx="274">
                  <c:v>22.4</c:v>
                </c:pt>
                <c:pt idx="275">
                  <c:v>22.5</c:v>
                </c:pt>
                <c:pt idx="276">
                  <c:v>22.6</c:v>
                </c:pt>
                <c:pt idx="277">
                  <c:v>22.7</c:v>
                </c:pt>
                <c:pt idx="278">
                  <c:v>22.8</c:v>
                </c:pt>
                <c:pt idx="279">
                  <c:v>22.9</c:v>
                </c:pt>
                <c:pt idx="280">
                  <c:v>23</c:v>
                </c:pt>
                <c:pt idx="281">
                  <c:v>23.1</c:v>
                </c:pt>
                <c:pt idx="282">
                  <c:v>23.2</c:v>
                </c:pt>
                <c:pt idx="283">
                  <c:v>23.3</c:v>
                </c:pt>
                <c:pt idx="284">
                  <c:v>23.4</c:v>
                </c:pt>
                <c:pt idx="285">
                  <c:v>23.5</c:v>
                </c:pt>
                <c:pt idx="286">
                  <c:v>23.6</c:v>
                </c:pt>
                <c:pt idx="287">
                  <c:v>23.7</c:v>
                </c:pt>
                <c:pt idx="288">
                  <c:v>23.8</c:v>
                </c:pt>
                <c:pt idx="289">
                  <c:v>23.9</c:v>
                </c:pt>
                <c:pt idx="290">
                  <c:v>24</c:v>
                </c:pt>
                <c:pt idx="291">
                  <c:v>24.1</c:v>
                </c:pt>
                <c:pt idx="292">
                  <c:v>24.2</c:v>
                </c:pt>
                <c:pt idx="293">
                  <c:v>24.3</c:v>
                </c:pt>
                <c:pt idx="294">
                  <c:v>24.4</c:v>
                </c:pt>
                <c:pt idx="295">
                  <c:v>24.5</c:v>
                </c:pt>
                <c:pt idx="296">
                  <c:v>24.6</c:v>
                </c:pt>
                <c:pt idx="297">
                  <c:v>24.7</c:v>
                </c:pt>
                <c:pt idx="298">
                  <c:v>24.8</c:v>
                </c:pt>
                <c:pt idx="299">
                  <c:v>24.9</c:v>
                </c:pt>
                <c:pt idx="300">
                  <c:v>25</c:v>
                </c:pt>
              </c:numCache>
            </c:numRef>
          </c:xVal>
          <c:yVal>
            <c:numRef>
              <c:f>calc!$HN$56:$TB$56</c:f>
              <c:numCache>
                <c:formatCode>General</c:formatCode>
                <c:ptCount val="301"/>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numCache>
            </c:numRef>
          </c:yVal>
          <c:smooth val="1"/>
        </c:ser>
        <c:ser>
          <c:idx val="4"/>
          <c:order val="5"/>
          <c:tx>
            <c:strRef>
              <c:f>calc!$HM$45</c:f>
              <c:strCache>
                <c:ptCount val="1"/>
                <c:pt idx="0">
                  <c:v>最高気温</c:v>
                </c:pt>
              </c:strCache>
            </c:strRef>
          </c:tx>
          <c:spPr>
            <a:ln w="25400" cap="rnd">
              <a:solidFill>
                <a:schemeClr val="accent2">
                  <a:lumMod val="40000"/>
                  <a:lumOff val="60000"/>
                  <a:alpha val="50000"/>
                </a:schemeClr>
              </a:solidFill>
              <a:round/>
            </a:ln>
            <a:effectLst/>
          </c:spPr>
          <c:marker>
            <c:symbol val="none"/>
          </c:marker>
          <c:xVal>
            <c:numRef>
              <c:f>calc!$HN$1:$TB$1</c:f>
              <c:numCache>
                <c:formatCode>General</c:formatCode>
                <c:ptCount val="301"/>
                <c:pt idx="0">
                  <c:v>-5</c:v>
                </c:pt>
                <c:pt idx="1">
                  <c:v>-4.9000000000000004</c:v>
                </c:pt>
                <c:pt idx="2">
                  <c:v>-4.8</c:v>
                </c:pt>
                <c:pt idx="3">
                  <c:v>-4.7</c:v>
                </c:pt>
                <c:pt idx="4">
                  <c:v>-4.5999999999999996</c:v>
                </c:pt>
                <c:pt idx="5">
                  <c:v>-4.5</c:v>
                </c:pt>
                <c:pt idx="6">
                  <c:v>-4.4000000000000004</c:v>
                </c:pt>
                <c:pt idx="7">
                  <c:v>-4.3</c:v>
                </c:pt>
                <c:pt idx="8">
                  <c:v>-4.2</c:v>
                </c:pt>
                <c:pt idx="9">
                  <c:v>-4.0999999999999996</c:v>
                </c:pt>
                <c:pt idx="10">
                  <c:v>-4</c:v>
                </c:pt>
                <c:pt idx="11">
                  <c:v>-3.9</c:v>
                </c:pt>
                <c:pt idx="12">
                  <c:v>-3.8</c:v>
                </c:pt>
                <c:pt idx="13">
                  <c:v>-3.7</c:v>
                </c:pt>
                <c:pt idx="14">
                  <c:v>-3.6</c:v>
                </c:pt>
                <c:pt idx="15">
                  <c:v>-3.5</c:v>
                </c:pt>
                <c:pt idx="16">
                  <c:v>-3.4</c:v>
                </c:pt>
                <c:pt idx="17">
                  <c:v>-3.3</c:v>
                </c:pt>
                <c:pt idx="18">
                  <c:v>-3.2</c:v>
                </c:pt>
                <c:pt idx="19">
                  <c:v>-3.1</c:v>
                </c:pt>
                <c:pt idx="20">
                  <c:v>-3</c:v>
                </c:pt>
                <c:pt idx="21">
                  <c:v>-2.9</c:v>
                </c:pt>
                <c:pt idx="22">
                  <c:v>-2.8</c:v>
                </c:pt>
                <c:pt idx="23">
                  <c:v>-2.7</c:v>
                </c:pt>
                <c:pt idx="24">
                  <c:v>-2.6</c:v>
                </c:pt>
                <c:pt idx="25">
                  <c:v>-2.5</c:v>
                </c:pt>
                <c:pt idx="26">
                  <c:v>-2.4</c:v>
                </c:pt>
                <c:pt idx="27">
                  <c:v>-2.2999999999999998</c:v>
                </c:pt>
                <c:pt idx="28">
                  <c:v>-2.2000000000000002</c:v>
                </c:pt>
                <c:pt idx="29">
                  <c:v>-2.1</c:v>
                </c:pt>
                <c:pt idx="30">
                  <c:v>-2</c:v>
                </c:pt>
                <c:pt idx="31">
                  <c:v>-1.9</c:v>
                </c:pt>
                <c:pt idx="32">
                  <c:v>-1.8</c:v>
                </c:pt>
                <c:pt idx="33">
                  <c:v>-1.7</c:v>
                </c:pt>
                <c:pt idx="34">
                  <c:v>-1.6</c:v>
                </c:pt>
                <c:pt idx="35">
                  <c:v>-1.5</c:v>
                </c:pt>
                <c:pt idx="36">
                  <c:v>-1.4</c:v>
                </c:pt>
                <c:pt idx="37">
                  <c:v>-1.3</c:v>
                </c:pt>
                <c:pt idx="38">
                  <c:v>-1.2</c:v>
                </c:pt>
                <c:pt idx="39">
                  <c:v>-1.1000000000000001</c:v>
                </c:pt>
                <c:pt idx="40">
                  <c:v>-1</c:v>
                </c:pt>
                <c:pt idx="41">
                  <c:v>-0.9</c:v>
                </c:pt>
                <c:pt idx="42">
                  <c:v>-0.8</c:v>
                </c:pt>
                <c:pt idx="43">
                  <c:v>-0.7</c:v>
                </c:pt>
                <c:pt idx="44">
                  <c:v>-0.6</c:v>
                </c:pt>
                <c:pt idx="45">
                  <c:v>-0.5</c:v>
                </c:pt>
                <c:pt idx="46">
                  <c:v>-0.4</c:v>
                </c:pt>
                <c:pt idx="47">
                  <c:v>-0.3</c:v>
                </c:pt>
                <c:pt idx="48">
                  <c:v>-0.2</c:v>
                </c:pt>
                <c:pt idx="49">
                  <c:v>-0.1</c:v>
                </c:pt>
                <c:pt idx="50">
                  <c:v>0</c:v>
                </c:pt>
                <c:pt idx="51">
                  <c:v>0.1</c:v>
                </c:pt>
                <c:pt idx="52">
                  <c:v>0.2</c:v>
                </c:pt>
                <c:pt idx="53">
                  <c:v>0.3</c:v>
                </c:pt>
                <c:pt idx="54">
                  <c:v>0.4</c:v>
                </c:pt>
                <c:pt idx="55">
                  <c:v>0.5</c:v>
                </c:pt>
                <c:pt idx="56">
                  <c:v>0.6</c:v>
                </c:pt>
                <c:pt idx="57">
                  <c:v>0.7</c:v>
                </c:pt>
                <c:pt idx="58">
                  <c:v>0.8</c:v>
                </c:pt>
                <c:pt idx="59">
                  <c:v>0.9</c:v>
                </c:pt>
                <c:pt idx="60">
                  <c:v>1</c:v>
                </c:pt>
                <c:pt idx="61">
                  <c:v>1.1000000000000001</c:v>
                </c:pt>
                <c:pt idx="62">
                  <c:v>1.2</c:v>
                </c:pt>
                <c:pt idx="63">
                  <c:v>1.3</c:v>
                </c:pt>
                <c:pt idx="64">
                  <c:v>1.4</c:v>
                </c:pt>
                <c:pt idx="65">
                  <c:v>1.5</c:v>
                </c:pt>
                <c:pt idx="66">
                  <c:v>1.6</c:v>
                </c:pt>
                <c:pt idx="67">
                  <c:v>1.7</c:v>
                </c:pt>
                <c:pt idx="68">
                  <c:v>1.8</c:v>
                </c:pt>
                <c:pt idx="69">
                  <c:v>1.9</c:v>
                </c:pt>
                <c:pt idx="70">
                  <c:v>2</c:v>
                </c:pt>
                <c:pt idx="71">
                  <c:v>2.1</c:v>
                </c:pt>
                <c:pt idx="72">
                  <c:v>2.2000000000000002</c:v>
                </c:pt>
                <c:pt idx="73">
                  <c:v>2.2999999999999998</c:v>
                </c:pt>
                <c:pt idx="74">
                  <c:v>2.4</c:v>
                </c:pt>
                <c:pt idx="75">
                  <c:v>2.5</c:v>
                </c:pt>
                <c:pt idx="76">
                  <c:v>2.6</c:v>
                </c:pt>
                <c:pt idx="77">
                  <c:v>2.7</c:v>
                </c:pt>
                <c:pt idx="78">
                  <c:v>2.8</c:v>
                </c:pt>
                <c:pt idx="79">
                  <c:v>2.9</c:v>
                </c:pt>
                <c:pt idx="80">
                  <c:v>3</c:v>
                </c:pt>
                <c:pt idx="81">
                  <c:v>3.1</c:v>
                </c:pt>
                <c:pt idx="82">
                  <c:v>3.2</c:v>
                </c:pt>
                <c:pt idx="83">
                  <c:v>3.3</c:v>
                </c:pt>
                <c:pt idx="84">
                  <c:v>3.4</c:v>
                </c:pt>
                <c:pt idx="85">
                  <c:v>3.5</c:v>
                </c:pt>
                <c:pt idx="86">
                  <c:v>3.6</c:v>
                </c:pt>
                <c:pt idx="87">
                  <c:v>3.7</c:v>
                </c:pt>
                <c:pt idx="88">
                  <c:v>3.8</c:v>
                </c:pt>
                <c:pt idx="89">
                  <c:v>3.9</c:v>
                </c:pt>
                <c:pt idx="90">
                  <c:v>4</c:v>
                </c:pt>
                <c:pt idx="91">
                  <c:v>4.0999999999999996</c:v>
                </c:pt>
                <c:pt idx="92">
                  <c:v>4.2</c:v>
                </c:pt>
                <c:pt idx="93">
                  <c:v>4.3</c:v>
                </c:pt>
                <c:pt idx="94">
                  <c:v>4.4000000000000004</c:v>
                </c:pt>
                <c:pt idx="95">
                  <c:v>4.5</c:v>
                </c:pt>
                <c:pt idx="96">
                  <c:v>4.5999999999999996</c:v>
                </c:pt>
                <c:pt idx="97">
                  <c:v>4.7</c:v>
                </c:pt>
                <c:pt idx="98">
                  <c:v>4.8</c:v>
                </c:pt>
                <c:pt idx="99">
                  <c:v>4.9000000000000004</c:v>
                </c:pt>
                <c:pt idx="100">
                  <c:v>5</c:v>
                </c:pt>
                <c:pt idx="101">
                  <c:v>5.0999999999999996</c:v>
                </c:pt>
                <c:pt idx="102">
                  <c:v>5.2</c:v>
                </c:pt>
                <c:pt idx="103">
                  <c:v>5.3</c:v>
                </c:pt>
                <c:pt idx="104">
                  <c:v>5.4</c:v>
                </c:pt>
                <c:pt idx="105">
                  <c:v>5.5</c:v>
                </c:pt>
                <c:pt idx="106">
                  <c:v>5.6</c:v>
                </c:pt>
                <c:pt idx="107">
                  <c:v>5.7</c:v>
                </c:pt>
                <c:pt idx="108">
                  <c:v>5.8</c:v>
                </c:pt>
                <c:pt idx="109">
                  <c:v>5.9</c:v>
                </c:pt>
                <c:pt idx="110">
                  <c:v>6</c:v>
                </c:pt>
                <c:pt idx="111">
                  <c:v>6.1</c:v>
                </c:pt>
                <c:pt idx="112">
                  <c:v>6.2</c:v>
                </c:pt>
                <c:pt idx="113">
                  <c:v>6.3</c:v>
                </c:pt>
                <c:pt idx="114">
                  <c:v>6.4</c:v>
                </c:pt>
                <c:pt idx="115">
                  <c:v>6.5</c:v>
                </c:pt>
                <c:pt idx="116">
                  <c:v>6.6</c:v>
                </c:pt>
                <c:pt idx="117">
                  <c:v>6.7</c:v>
                </c:pt>
                <c:pt idx="118">
                  <c:v>6.8</c:v>
                </c:pt>
                <c:pt idx="119">
                  <c:v>6.9</c:v>
                </c:pt>
                <c:pt idx="120">
                  <c:v>7</c:v>
                </c:pt>
                <c:pt idx="121">
                  <c:v>7.1</c:v>
                </c:pt>
                <c:pt idx="122">
                  <c:v>7.2</c:v>
                </c:pt>
                <c:pt idx="123">
                  <c:v>7.3</c:v>
                </c:pt>
                <c:pt idx="124">
                  <c:v>7.4</c:v>
                </c:pt>
                <c:pt idx="125">
                  <c:v>7.5</c:v>
                </c:pt>
                <c:pt idx="126">
                  <c:v>7.6</c:v>
                </c:pt>
                <c:pt idx="127">
                  <c:v>7.7</c:v>
                </c:pt>
                <c:pt idx="128">
                  <c:v>7.8</c:v>
                </c:pt>
                <c:pt idx="129">
                  <c:v>7.9</c:v>
                </c:pt>
                <c:pt idx="130">
                  <c:v>8</c:v>
                </c:pt>
                <c:pt idx="131">
                  <c:v>8.1</c:v>
                </c:pt>
                <c:pt idx="132">
                  <c:v>8.1999999999999993</c:v>
                </c:pt>
                <c:pt idx="133">
                  <c:v>8.3000000000000007</c:v>
                </c:pt>
                <c:pt idx="134">
                  <c:v>8.4</c:v>
                </c:pt>
                <c:pt idx="135">
                  <c:v>8.5</c:v>
                </c:pt>
                <c:pt idx="136">
                  <c:v>8.6</c:v>
                </c:pt>
                <c:pt idx="137">
                  <c:v>8.6999999999999993</c:v>
                </c:pt>
                <c:pt idx="138">
                  <c:v>8.8000000000000007</c:v>
                </c:pt>
                <c:pt idx="139">
                  <c:v>8.9</c:v>
                </c:pt>
                <c:pt idx="140">
                  <c:v>9</c:v>
                </c:pt>
                <c:pt idx="141">
                  <c:v>9.1</c:v>
                </c:pt>
                <c:pt idx="142">
                  <c:v>9.1999999999999993</c:v>
                </c:pt>
                <c:pt idx="143">
                  <c:v>9.3000000000000007</c:v>
                </c:pt>
                <c:pt idx="144">
                  <c:v>9.4</c:v>
                </c:pt>
                <c:pt idx="145">
                  <c:v>9.5</c:v>
                </c:pt>
                <c:pt idx="146">
                  <c:v>9.6</c:v>
                </c:pt>
                <c:pt idx="147">
                  <c:v>9.6999999999999993</c:v>
                </c:pt>
                <c:pt idx="148">
                  <c:v>9.8000000000000007</c:v>
                </c:pt>
                <c:pt idx="149">
                  <c:v>9.9</c:v>
                </c:pt>
                <c:pt idx="150">
                  <c:v>10</c:v>
                </c:pt>
                <c:pt idx="151">
                  <c:v>10.1</c:v>
                </c:pt>
                <c:pt idx="152">
                  <c:v>10.199999999999999</c:v>
                </c:pt>
                <c:pt idx="153">
                  <c:v>10.3</c:v>
                </c:pt>
                <c:pt idx="154">
                  <c:v>10.4</c:v>
                </c:pt>
                <c:pt idx="155">
                  <c:v>10.5</c:v>
                </c:pt>
                <c:pt idx="156">
                  <c:v>10.6</c:v>
                </c:pt>
                <c:pt idx="157">
                  <c:v>10.7</c:v>
                </c:pt>
                <c:pt idx="158">
                  <c:v>10.8</c:v>
                </c:pt>
                <c:pt idx="159">
                  <c:v>10.9</c:v>
                </c:pt>
                <c:pt idx="160">
                  <c:v>11</c:v>
                </c:pt>
                <c:pt idx="161">
                  <c:v>11.1</c:v>
                </c:pt>
                <c:pt idx="162">
                  <c:v>11.2</c:v>
                </c:pt>
                <c:pt idx="163">
                  <c:v>11.3</c:v>
                </c:pt>
                <c:pt idx="164">
                  <c:v>11.4</c:v>
                </c:pt>
                <c:pt idx="165">
                  <c:v>11.5</c:v>
                </c:pt>
                <c:pt idx="166">
                  <c:v>11.6</c:v>
                </c:pt>
                <c:pt idx="167">
                  <c:v>11.7</c:v>
                </c:pt>
                <c:pt idx="168">
                  <c:v>11.8</c:v>
                </c:pt>
                <c:pt idx="169">
                  <c:v>11.9</c:v>
                </c:pt>
                <c:pt idx="170">
                  <c:v>12</c:v>
                </c:pt>
                <c:pt idx="171">
                  <c:v>12.1</c:v>
                </c:pt>
                <c:pt idx="172">
                  <c:v>12.2</c:v>
                </c:pt>
                <c:pt idx="173">
                  <c:v>12.3</c:v>
                </c:pt>
                <c:pt idx="174">
                  <c:v>12.4</c:v>
                </c:pt>
                <c:pt idx="175">
                  <c:v>12.5</c:v>
                </c:pt>
                <c:pt idx="176">
                  <c:v>12.6</c:v>
                </c:pt>
                <c:pt idx="177">
                  <c:v>12.7</c:v>
                </c:pt>
                <c:pt idx="178">
                  <c:v>12.8</c:v>
                </c:pt>
                <c:pt idx="179">
                  <c:v>12.9</c:v>
                </c:pt>
                <c:pt idx="180">
                  <c:v>13</c:v>
                </c:pt>
                <c:pt idx="181">
                  <c:v>13.1</c:v>
                </c:pt>
                <c:pt idx="182">
                  <c:v>13.2</c:v>
                </c:pt>
                <c:pt idx="183">
                  <c:v>13.3</c:v>
                </c:pt>
                <c:pt idx="184">
                  <c:v>13.4</c:v>
                </c:pt>
                <c:pt idx="185">
                  <c:v>13.5</c:v>
                </c:pt>
                <c:pt idx="186">
                  <c:v>13.6</c:v>
                </c:pt>
                <c:pt idx="187">
                  <c:v>13.7</c:v>
                </c:pt>
                <c:pt idx="188">
                  <c:v>13.8</c:v>
                </c:pt>
                <c:pt idx="189">
                  <c:v>13.9</c:v>
                </c:pt>
                <c:pt idx="190">
                  <c:v>14</c:v>
                </c:pt>
                <c:pt idx="191">
                  <c:v>14.1</c:v>
                </c:pt>
                <c:pt idx="192">
                  <c:v>14.2</c:v>
                </c:pt>
                <c:pt idx="193">
                  <c:v>14.3</c:v>
                </c:pt>
                <c:pt idx="194">
                  <c:v>14.4</c:v>
                </c:pt>
                <c:pt idx="195">
                  <c:v>14.5</c:v>
                </c:pt>
                <c:pt idx="196">
                  <c:v>14.6</c:v>
                </c:pt>
                <c:pt idx="197">
                  <c:v>14.7</c:v>
                </c:pt>
                <c:pt idx="198">
                  <c:v>14.8</c:v>
                </c:pt>
                <c:pt idx="199">
                  <c:v>14.9</c:v>
                </c:pt>
                <c:pt idx="200">
                  <c:v>15</c:v>
                </c:pt>
                <c:pt idx="201">
                  <c:v>15.1</c:v>
                </c:pt>
                <c:pt idx="202">
                  <c:v>15.2</c:v>
                </c:pt>
                <c:pt idx="203">
                  <c:v>15.3</c:v>
                </c:pt>
                <c:pt idx="204">
                  <c:v>15.4</c:v>
                </c:pt>
                <c:pt idx="205">
                  <c:v>15.5</c:v>
                </c:pt>
                <c:pt idx="206">
                  <c:v>15.6</c:v>
                </c:pt>
                <c:pt idx="207">
                  <c:v>15.7</c:v>
                </c:pt>
                <c:pt idx="208">
                  <c:v>15.8</c:v>
                </c:pt>
                <c:pt idx="209">
                  <c:v>15.9</c:v>
                </c:pt>
                <c:pt idx="210">
                  <c:v>16</c:v>
                </c:pt>
                <c:pt idx="211">
                  <c:v>16.100000000000001</c:v>
                </c:pt>
                <c:pt idx="212">
                  <c:v>16.2</c:v>
                </c:pt>
                <c:pt idx="213">
                  <c:v>16.3</c:v>
                </c:pt>
                <c:pt idx="214">
                  <c:v>16.399999999999999</c:v>
                </c:pt>
                <c:pt idx="215">
                  <c:v>16.5</c:v>
                </c:pt>
                <c:pt idx="216">
                  <c:v>16.600000000000001</c:v>
                </c:pt>
                <c:pt idx="217">
                  <c:v>16.7</c:v>
                </c:pt>
                <c:pt idx="218">
                  <c:v>16.8</c:v>
                </c:pt>
                <c:pt idx="219">
                  <c:v>16.899999999999999</c:v>
                </c:pt>
                <c:pt idx="220">
                  <c:v>17</c:v>
                </c:pt>
                <c:pt idx="221">
                  <c:v>17.100000000000001</c:v>
                </c:pt>
                <c:pt idx="222">
                  <c:v>17.2</c:v>
                </c:pt>
                <c:pt idx="223">
                  <c:v>17.3</c:v>
                </c:pt>
                <c:pt idx="224">
                  <c:v>17.399999999999999</c:v>
                </c:pt>
                <c:pt idx="225">
                  <c:v>17.5</c:v>
                </c:pt>
                <c:pt idx="226">
                  <c:v>17.600000000000001</c:v>
                </c:pt>
                <c:pt idx="227">
                  <c:v>17.7</c:v>
                </c:pt>
                <c:pt idx="228">
                  <c:v>17.8</c:v>
                </c:pt>
                <c:pt idx="229">
                  <c:v>17.899999999999999</c:v>
                </c:pt>
                <c:pt idx="230">
                  <c:v>18</c:v>
                </c:pt>
                <c:pt idx="231">
                  <c:v>18.100000000000001</c:v>
                </c:pt>
                <c:pt idx="232">
                  <c:v>18.2</c:v>
                </c:pt>
                <c:pt idx="233">
                  <c:v>18.3</c:v>
                </c:pt>
                <c:pt idx="234">
                  <c:v>18.399999999999999</c:v>
                </c:pt>
                <c:pt idx="235">
                  <c:v>18.5</c:v>
                </c:pt>
                <c:pt idx="236">
                  <c:v>18.600000000000001</c:v>
                </c:pt>
                <c:pt idx="237">
                  <c:v>18.7</c:v>
                </c:pt>
                <c:pt idx="238">
                  <c:v>18.8</c:v>
                </c:pt>
                <c:pt idx="239">
                  <c:v>18.899999999999999</c:v>
                </c:pt>
                <c:pt idx="240">
                  <c:v>19</c:v>
                </c:pt>
                <c:pt idx="241">
                  <c:v>19.100000000000001</c:v>
                </c:pt>
                <c:pt idx="242">
                  <c:v>19.2</c:v>
                </c:pt>
                <c:pt idx="243">
                  <c:v>19.3</c:v>
                </c:pt>
                <c:pt idx="244">
                  <c:v>19.399999999999999</c:v>
                </c:pt>
                <c:pt idx="245">
                  <c:v>19.5</c:v>
                </c:pt>
                <c:pt idx="246">
                  <c:v>19.600000000000001</c:v>
                </c:pt>
                <c:pt idx="247">
                  <c:v>19.7</c:v>
                </c:pt>
                <c:pt idx="248">
                  <c:v>19.8</c:v>
                </c:pt>
                <c:pt idx="249">
                  <c:v>19.899999999999999</c:v>
                </c:pt>
                <c:pt idx="250">
                  <c:v>20</c:v>
                </c:pt>
                <c:pt idx="251">
                  <c:v>20.100000000000001</c:v>
                </c:pt>
                <c:pt idx="252">
                  <c:v>20.2</c:v>
                </c:pt>
                <c:pt idx="253">
                  <c:v>20.3</c:v>
                </c:pt>
                <c:pt idx="254">
                  <c:v>20.399999999999999</c:v>
                </c:pt>
                <c:pt idx="255">
                  <c:v>20.5</c:v>
                </c:pt>
                <c:pt idx="256">
                  <c:v>20.6</c:v>
                </c:pt>
                <c:pt idx="257">
                  <c:v>20.7</c:v>
                </c:pt>
                <c:pt idx="258">
                  <c:v>20.8</c:v>
                </c:pt>
                <c:pt idx="259">
                  <c:v>20.9</c:v>
                </c:pt>
                <c:pt idx="260">
                  <c:v>21</c:v>
                </c:pt>
                <c:pt idx="261">
                  <c:v>21.1</c:v>
                </c:pt>
                <c:pt idx="262">
                  <c:v>21.2</c:v>
                </c:pt>
                <c:pt idx="263">
                  <c:v>21.3</c:v>
                </c:pt>
                <c:pt idx="264">
                  <c:v>21.4</c:v>
                </c:pt>
                <c:pt idx="265">
                  <c:v>21.5</c:v>
                </c:pt>
                <c:pt idx="266">
                  <c:v>21.6</c:v>
                </c:pt>
                <c:pt idx="267">
                  <c:v>21.7</c:v>
                </c:pt>
                <c:pt idx="268">
                  <c:v>21.8</c:v>
                </c:pt>
                <c:pt idx="269">
                  <c:v>21.9</c:v>
                </c:pt>
                <c:pt idx="270">
                  <c:v>22</c:v>
                </c:pt>
                <c:pt idx="271">
                  <c:v>22.1</c:v>
                </c:pt>
                <c:pt idx="272">
                  <c:v>22.2</c:v>
                </c:pt>
                <c:pt idx="273">
                  <c:v>22.3</c:v>
                </c:pt>
                <c:pt idx="274">
                  <c:v>22.4</c:v>
                </c:pt>
                <c:pt idx="275">
                  <c:v>22.5</c:v>
                </c:pt>
                <c:pt idx="276">
                  <c:v>22.6</c:v>
                </c:pt>
                <c:pt idx="277">
                  <c:v>22.7</c:v>
                </c:pt>
                <c:pt idx="278">
                  <c:v>22.8</c:v>
                </c:pt>
                <c:pt idx="279">
                  <c:v>22.9</c:v>
                </c:pt>
                <c:pt idx="280">
                  <c:v>23</c:v>
                </c:pt>
                <c:pt idx="281">
                  <c:v>23.1</c:v>
                </c:pt>
                <c:pt idx="282">
                  <c:v>23.2</c:v>
                </c:pt>
                <c:pt idx="283">
                  <c:v>23.3</c:v>
                </c:pt>
                <c:pt idx="284">
                  <c:v>23.4</c:v>
                </c:pt>
                <c:pt idx="285">
                  <c:v>23.5</c:v>
                </c:pt>
                <c:pt idx="286">
                  <c:v>23.6</c:v>
                </c:pt>
                <c:pt idx="287">
                  <c:v>23.7</c:v>
                </c:pt>
                <c:pt idx="288">
                  <c:v>23.8</c:v>
                </c:pt>
                <c:pt idx="289">
                  <c:v>23.9</c:v>
                </c:pt>
                <c:pt idx="290">
                  <c:v>24</c:v>
                </c:pt>
                <c:pt idx="291">
                  <c:v>24.1</c:v>
                </c:pt>
                <c:pt idx="292">
                  <c:v>24.2</c:v>
                </c:pt>
                <c:pt idx="293">
                  <c:v>24.3</c:v>
                </c:pt>
                <c:pt idx="294">
                  <c:v>24.4</c:v>
                </c:pt>
                <c:pt idx="295">
                  <c:v>24.5</c:v>
                </c:pt>
                <c:pt idx="296">
                  <c:v>24.6</c:v>
                </c:pt>
                <c:pt idx="297">
                  <c:v>24.7</c:v>
                </c:pt>
                <c:pt idx="298">
                  <c:v>24.8</c:v>
                </c:pt>
                <c:pt idx="299">
                  <c:v>24.9</c:v>
                </c:pt>
                <c:pt idx="300">
                  <c:v>25</c:v>
                </c:pt>
              </c:numCache>
            </c:numRef>
          </c:xVal>
          <c:yVal>
            <c:numRef>
              <c:f>calc!$HN$57:$TB$57</c:f>
              <c:numCache>
                <c:formatCode>General</c:formatCode>
                <c:ptCount val="301"/>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numCache>
            </c:numRef>
          </c:yVal>
          <c:smooth val="1"/>
        </c:ser>
        <c:ser>
          <c:idx val="8"/>
          <c:order val="6"/>
          <c:tx>
            <c:strRef>
              <c:f>calc!$HM$46</c:f>
              <c:strCache>
                <c:ptCount val="1"/>
                <c:pt idx="0">
                  <c:v>最低気温</c:v>
                </c:pt>
              </c:strCache>
            </c:strRef>
          </c:tx>
          <c:spPr>
            <a:ln w="19050" cap="rnd">
              <a:solidFill>
                <a:schemeClr val="accent3">
                  <a:lumMod val="60000"/>
                </a:schemeClr>
              </a:solidFill>
              <a:round/>
            </a:ln>
            <a:effectLst/>
          </c:spPr>
          <c:marker>
            <c:symbol val="none"/>
          </c:marker>
          <c:dPt>
            <c:idx val="1"/>
            <c:marker>
              <c:symbol val="none"/>
            </c:marker>
            <c:bubble3D val="0"/>
            <c:spPr>
              <a:ln w="19050" cap="rnd">
                <a:solidFill>
                  <a:schemeClr val="tx2">
                    <a:lumMod val="60000"/>
                    <a:lumOff val="40000"/>
                  </a:schemeClr>
                </a:solidFill>
                <a:prstDash val="sysDash"/>
                <a:round/>
              </a:ln>
              <a:effectLst/>
            </c:spPr>
          </c:dPt>
          <c:xVal>
            <c:numRef>
              <c:f>calc!$TD$46:$TE$46</c:f>
              <c:numCache>
                <c:formatCode>General</c:formatCode>
                <c:ptCount val="2"/>
                <c:pt idx="0">
                  <c:v>#N/A</c:v>
                </c:pt>
                <c:pt idx="1">
                  <c:v>#N/A</c:v>
                </c:pt>
              </c:numCache>
            </c:numRef>
          </c:xVal>
          <c:yVal>
            <c:numRef>
              <c:f>calc!$TD$43:$TE$43</c:f>
              <c:numCache>
                <c:formatCode>General</c:formatCode>
                <c:ptCount val="2"/>
                <c:pt idx="0">
                  <c:v>0</c:v>
                </c:pt>
                <c:pt idx="1">
                  <c:v>100</c:v>
                </c:pt>
              </c:numCache>
            </c:numRef>
          </c:yVal>
          <c:smooth val="1"/>
        </c:ser>
        <c:ser>
          <c:idx val="6"/>
          <c:order val="7"/>
          <c:tx>
            <c:strRef>
              <c:f>calc!$HM$44</c:f>
              <c:strCache>
                <c:ptCount val="1"/>
                <c:pt idx="0">
                  <c:v>平均気温</c:v>
                </c:pt>
              </c:strCache>
            </c:strRef>
          </c:tx>
          <c:spPr>
            <a:ln w="19050" cap="rnd">
              <a:solidFill>
                <a:schemeClr val="accent3">
                  <a:lumMod val="60000"/>
                  <a:lumOff val="40000"/>
                </a:schemeClr>
              </a:solidFill>
              <a:prstDash val="sysDash"/>
              <a:round/>
            </a:ln>
            <a:effectLst/>
          </c:spPr>
          <c:marker>
            <c:symbol val="none"/>
          </c:marker>
          <c:xVal>
            <c:numRef>
              <c:f>calc!$TD$44:$TE$44</c:f>
              <c:numCache>
                <c:formatCode>General</c:formatCode>
                <c:ptCount val="2"/>
                <c:pt idx="0">
                  <c:v>#N/A</c:v>
                </c:pt>
                <c:pt idx="1">
                  <c:v>#N/A</c:v>
                </c:pt>
              </c:numCache>
            </c:numRef>
          </c:xVal>
          <c:yVal>
            <c:numRef>
              <c:f>calc!$TD$43:$TE$43</c:f>
              <c:numCache>
                <c:formatCode>General</c:formatCode>
                <c:ptCount val="2"/>
                <c:pt idx="0">
                  <c:v>0</c:v>
                </c:pt>
                <c:pt idx="1">
                  <c:v>100</c:v>
                </c:pt>
              </c:numCache>
            </c:numRef>
          </c:yVal>
          <c:smooth val="1"/>
        </c:ser>
        <c:ser>
          <c:idx val="7"/>
          <c:order val="8"/>
          <c:tx>
            <c:strRef>
              <c:f>calc!$HM$45</c:f>
              <c:strCache>
                <c:ptCount val="1"/>
                <c:pt idx="0">
                  <c:v>最高気温</c:v>
                </c:pt>
              </c:strCache>
            </c:strRef>
          </c:tx>
          <c:spPr>
            <a:ln w="19050" cap="rnd">
              <a:solidFill>
                <a:schemeClr val="accent2">
                  <a:lumMod val="60000"/>
                  <a:lumOff val="40000"/>
                </a:schemeClr>
              </a:solidFill>
              <a:prstDash val="sysDash"/>
              <a:round/>
            </a:ln>
            <a:effectLst/>
          </c:spPr>
          <c:marker>
            <c:symbol val="none"/>
          </c:marker>
          <c:xVal>
            <c:numRef>
              <c:f>calc!$TD$45:$TE$45</c:f>
              <c:numCache>
                <c:formatCode>General</c:formatCode>
                <c:ptCount val="2"/>
                <c:pt idx="0">
                  <c:v>#N/A</c:v>
                </c:pt>
                <c:pt idx="1">
                  <c:v>#N/A</c:v>
                </c:pt>
              </c:numCache>
            </c:numRef>
          </c:xVal>
          <c:yVal>
            <c:numRef>
              <c:f>calc!$TD$43:$TE$43</c:f>
              <c:numCache>
                <c:formatCode>General</c:formatCode>
                <c:ptCount val="2"/>
                <c:pt idx="0">
                  <c:v>0</c:v>
                </c:pt>
                <c:pt idx="1">
                  <c:v>100</c:v>
                </c:pt>
              </c:numCache>
            </c:numRef>
          </c:yVal>
          <c:smooth val="1"/>
        </c:ser>
        <c:dLbls>
          <c:showLegendKey val="0"/>
          <c:showVal val="0"/>
          <c:showCatName val="0"/>
          <c:showSerName val="0"/>
          <c:showPercent val="0"/>
          <c:showBubbleSize val="0"/>
        </c:dLbls>
        <c:axId val="571632976"/>
        <c:axId val="571638464"/>
      </c:scatterChart>
      <c:valAx>
        <c:axId val="57163297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ja-JP" altLang="en-US" sz="1200"/>
                  <a:t>気温℃（地域の場合は平年差）</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ja-JP"/>
          </a:p>
        </c:txPr>
        <c:crossAx val="571638464"/>
        <c:crosses val="autoZero"/>
        <c:crossBetween val="midCat"/>
      </c:valAx>
      <c:valAx>
        <c:axId val="571638464"/>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ja-JP" altLang="en-US" sz="1200"/>
                  <a:t>確率％</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crossAx val="571632976"/>
        <c:crossesAt val="-100"/>
        <c:crossBetween val="midCat"/>
      </c:valAx>
      <c:spPr>
        <a:noFill/>
        <a:ln>
          <a:noFill/>
        </a:ln>
        <a:effectLst/>
      </c:spPr>
    </c:plotArea>
    <c:legend>
      <c:legendPos val="b"/>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グラフ!$I$11</c:f>
          <c:strCache>
            <c:ptCount val="1"/>
            <c:pt idx="0">
              <c:v>#N/A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ja-JP"/>
        </a:p>
      </c:txPr>
    </c:title>
    <c:autoTitleDeleted val="0"/>
    <c:plotArea>
      <c:layout/>
      <c:lineChart>
        <c:grouping val="standard"/>
        <c:varyColors val="0"/>
        <c:ser>
          <c:idx val="0"/>
          <c:order val="0"/>
          <c:tx>
            <c:strRef>
              <c:f>calc!$E$1</c:f>
              <c:strCache>
                <c:ptCount val="1"/>
                <c:pt idx="0">
                  <c:v>平均気温</c:v>
                </c:pt>
              </c:strCache>
            </c:strRef>
          </c:tx>
          <c:spPr>
            <a:ln w="19050" cap="rnd">
              <a:solidFill>
                <a:schemeClr val="accent3"/>
              </a:solidFill>
              <a:round/>
            </a:ln>
            <a:effectLst/>
          </c:spPr>
          <c:marker>
            <c:symbol val="circle"/>
            <c:size val="6"/>
            <c:spPr>
              <a:solidFill>
                <a:schemeClr val="accent3"/>
              </a:solidFill>
              <a:ln w="19050">
                <a:noFill/>
              </a:ln>
              <a:effectLst/>
            </c:spPr>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calc!$E$2:$E$14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1"/>
          <c:tx>
            <c:strRef>
              <c:f>calc!$H$1</c:f>
              <c:strCache>
                <c:ptCount val="1"/>
                <c:pt idx="0">
                  <c:v>平均気温（平年値）</c:v>
                </c:pt>
              </c:strCache>
            </c:strRef>
          </c:tx>
          <c:spPr>
            <a:ln w="28575" cap="rnd">
              <a:solidFill>
                <a:schemeClr val="accent3">
                  <a:lumMod val="60000"/>
                  <a:lumOff val="40000"/>
                </a:schemeClr>
              </a:solidFill>
              <a:round/>
            </a:ln>
            <a:effectLst/>
          </c:spPr>
          <c:marker>
            <c:symbol val="none"/>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calc!$H$2:$H$14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6"/>
          <c:order val="2"/>
          <c:tx>
            <c:strRef>
              <c:f>calc!$K$1</c:f>
              <c:strCache>
                <c:ptCount val="1"/>
                <c:pt idx="0">
                  <c:v>平均気温（過去10年）</c:v>
                </c:pt>
              </c:strCache>
            </c:strRef>
          </c:tx>
          <c:spPr>
            <a:ln w="12700" cap="rnd">
              <a:solidFill>
                <a:schemeClr val="accent3"/>
              </a:solidFill>
              <a:prstDash val="dash"/>
              <a:round/>
            </a:ln>
            <a:effectLst/>
          </c:spPr>
          <c:marker>
            <c:symbol val="none"/>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calc!$K$2:$K$14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9"/>
          <c:order val="3"/>
          <c:tx>
            <c:strRef>
              <c:f>calc!$N$1</c:f>
              <c:strCache>
                <c:ptCount val="1"/>
                <c:pt idx="0">
                  <c:v>平均気温（昨年）</c:v>
                </c:pt>
              </c:strCache>
            </c:strRef>
          </c:tx>
          <c:spPr>
            <a:ln w="28575" cap="rnd">
              <a:noFill/>
              <a:round/>
            </a:ln>
            <a:effectLst/>
          </c:spPr>
          <c:marker>
            <c:symbol val="circle"/>
            <c:size val="8"/>
            <c:spPr>
              <a:noFill/>
              <a:ln w="9525">
                <a:solidFill>
                  <a:schemeClr val="accent3">
                    <a:lumMod val="75000"/>
                  </a:schemeClr>
                </a:solidFill>
              </a:ln>
              <a:effectLst/>
            </c:spPr>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calc!$N$2:$N$14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571638856"/>
        <c:axId val="571635720"/>
      </c:lineChart>
      <c:catAx>
        <c:axId val="571638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571635720"/>
        <c:crossesAt val="-100"/>
        <c:auto val="1"/>
        <c:lblAlgn val="ctr"/>
        <c:lblOffset val="100"/>
        <c:noMultiLvlLbl val="0"/>
      </c:catAx>
      <c:valAx>
        <c:axId val="571635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ja-JP"/>
                  <a:t>気温℃（地域の場合は平年差）</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57163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グラフ!$Q$11</c:f>
          <c:strCache>
            <c:ptCount val="1"/>
            <c:pt idx="0">
              <c:v>#N/A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ja-JP"/>
        </a:p>
      </c:txPr>
    </c:title>
    <c:autoTitleDeleted val="0"/>
    <c:plotArea>
      <c:layout/>
      <c:lineChart>
        <c:grouping val="standard"/>
        <c:varyColors val="0"/>
        <c:ser>
          <c:idx val="1"/>
          <c:order val="0"/>
          <c:tx>
            <c:strRef>
              <c:f>calc!$F$1</c:f>
              <c:strCache>
                <c:ptCount val="1"/>
                <c:pt idx="0">
                  <c:v>最高気温</c:v>
                </c:pt>
              </c:strCache>
            </c:strRef>
          </c:tx>
          <c:spPr>
            <a:ln w="19050" cap="rnd">
              <a:solidFill>
                <a:schemeClr val="accent2"/>
              </a:solidFill>
              <a:round/>
            </a:ln>
            <a:effectLst/>
          </c:spPr>
          <c:marker>
            <c:symbol val="circle"/>
            <c:size val="6"/>
            <c:spPr>
              <a:solidFill>
                <a:schemeClr val="accent2"/>
              </a:solidFill>
              <a:ln w="9525">
                <a:solidFill>
                  <a:schemeClr val="accent2"/>
                </a:solidFill>
              </a:ln>
              <a:effectLst/>
            </c:spPr>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calc!$F$2:$F$14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4"/>
          <c:order val="1"/>
          <c:tx>
            <c:strRef>
              <c:f>calc!$I$1</c:f>
              <c:strCache>
                <c:ptCount val="1"/>
                <c:pt idx="0">
                  <c:v>最高気温（平年値）</c:v>
                </c:pt>
              </c:strCache>
            </c:strRef>
          </c:tx>
          <c:spPr>
            <a:ln w="28575" cap="rnd">
              <a:solidFill>
                <a:schemeClr val="accent2">
                  <a:lumMod val="60000"/>
                  <a:lumOff val="40000"/>
                </a:schemeClr>
              </a:solidFill>
              <a:round/>
            </a:ln>
            <a:effectLst/>
          </c:spPr>
          <c:marker>
            <c:symbol val="none"/>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calc!$I$2:$I$14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7"/>
          <c:order val="2"/>
          <c:tx>
            <c:strRef>
              <c:f>calc!$L$1</c:f>
              <c:strCache>
                <c:ptCount val="1"/>
                <c:pt idx="0">
                  <c:v>最高気温（過去10年）</c:v>
                </c:pt>
              </c:strCache>
            </c:strRef>
          </c:tx>
          <c:spPr>
            <a:ln w="12700" cap="rnd">
              <a:solidFill>
                <a:schemeClr val="accent2"/>
              </a:solidFill>
              <a:prstDash val="dash"/>
              <a:round/>
            </a:ln>
            <a:effectLst/>
          </c:spPr>
          <c:marker>
            <c:symbol val="none"/>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calc!$L$2:$L$14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10"/>
          <c:order val="3"/>
          <c:tx>
            <c:strRef>
              <c:f>calc!$O$1</c:f>
              <c:strCache>
                <c:ptCount val="1"/>
                <c:pt idx="0">
                  <c:v>最高気温（昨年）</c:v>
                </c:pt>
              </c:strCache>
            </c:strRef>
          </c:tx>
          <c:spPr>
            <a:ln w="28575" cap="rnd">
              <a:noFill/>
              <a:round/>
            </a:ln>
            <a:effectLst/>
          </c:spPr>
          <c:marker>
            <c:symbol val="circle"/>
            <c:size val="8"/>
            <c:spPr>
              <a:noFill/>
              <a:ln w="9525">
                <a:solidFill>
                  <a:schemeClr val="accent2">
                    <a:lumMod val="75000"/>
                  </a:schemeClr>
                </a:solidFill>
              </a:ln>
              <a:effectLst/>
            </c:spPr>
          </c:marker>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calc!$O$2:$O$14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dLbls>
          <c:showLegendKey val="0"/>
          <c:showVal val="0"/>
          <c:showCatName val="0"/>
          <c:showSerName val="0"/>
          <c:showPercent val="0"/>
          <c:showBubbleSize val="0"/>
        </c:dLbls>
        <c:marker val="1"/>
        <c:smooth val="0"/>
        <c:axId val="571632584"/>
        <c:axId val="571633368"/>
      </c:lineChart>
      <c:catAx>
        <c:axId val="571632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571633368"/>
        <c:crossesAt val="-100"/>
        <c:auto val="1"/>
        <c:lblAlgn val="ctr"/>
        <c:lblOffset val="100"/>
        <c:noMultiLvlLbl val="0"/>
      </c:catAx>
      <c:valAx>
        <c:axId val="571633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ja-JP"/>
                  <a:t>気温℃（地域の場合は平年差）</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crossAx val="571632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グラフ!$I$44</c:f>
          <c:strCache>
            <c:ptCount val="1"/>
            <c:pt idx="0">
              <c:v>#N/A</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tx>
            <c:strRef>
              <c:f>calc!$S$43</c:f>
              <c:strCache>
                <c:ptCount val="1"/>
                <c:pt idx="0">
                  <c:v>平均気温</c:v>
                </c:pt>
              </c:strCache>
            </c:strRef>
          </c:tx>
          <c:spPr>
            <a:solidFill>
              <a:schemeClr val="accent3">
                <a:lumMod val="40000"/>
                <a:lumOff val="60000"/>
              </a:schemeClr>
            </a:solidFill>
            <a:ln w="9525" cap="flat" cmpd="sng" algn="ctr">
              <a:solidFill>
                <a:schemeClr val="accent3"/>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calc!$S$44:$S$56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00"/>
        <c:axId val="571637288"/>
        <c:axId val="571639640"/>
      </c:barChart>
      <c:catAx>
        <c:axId val="571637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9640"/>
        <c:crosses val="autoZero"/>
        <c:auto val="1"/>
        <c:lblAlgn val="ctr"/>
        <c:lblOffset val="100"/>
        <c:noMultiLvlLbl val="0"/>
      </c:catAx>
      <c:valAx>
        <c:axId val="571639640"/>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7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グラフ!$Q$44</c:f>
          <c:strCache>
            <c:ptCount val="1"/>
            <c:pt idx="0">
              <c:v>#N/A</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1"/>
          <c:order val="0"/>
          <c:tx>
            <c:strRef>
              <c:f>calc!$T$43</c:f>
              <c:strCache>
                <c:ptCount val="1"/>
                <c:pt idx="0">
                  <c:v>最高気温</c:v>
                </c:pt>
              </c:strCache>
            </c:strRef>
          </c:tx>
          <c:spPr>
            <a:solidFill>
              <a:schemeClr val="accent2">
                <a:lumMod val="40000"/>
                <a:lumOff val="60000"/>
              </a:schemeClr>
            </a:solidFill>
            <a:ln w="9525" cap="flat" cmpd="sng" algn="ctr">
              <a:solidFill>
                <a:schemeClr val="accent2">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calc!$T$44:$T$56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00"/>
        <c:axId val="571634152"/>
        <c:axId val="571634544"/>
      </c:barChart>
      <c:catAx>
        <c:axId val="571634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4544"/>
        <c:crosses val="autoZero"/>
        <c:auto val="1"/>
        <c:lblAlgn val="ctr"/>
        <c:lblOffset val="100"/>
        <c:noMultiLvlLbl val="0"/>
      </c:catAx>
      <c:valAx>
        <c:axId val="571634544"/>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4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グラフ!$A$65</c:f>
          <c:strCache>
            <c:ptCount val="1"/>
            <c:pt idx="0">
              <c:v>#N/A</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2"/>
          <c:order val="0"/>
          <c:tx>
            <c:strRef>
              <c:f>calc!$U$43</c:f>
              <c:strCache>
                <c:ptCount val="1"/>
                <c:pt idx="0">
                  <c:v>最低気温</c:v>
                </c:pt>
              </c:strCache>
            </c:strRef>
          </c:tx>
          <c:spPr>
            <a:solidFill>
              <a:schemeClr val="tx2">
                <a:lumMod val="40000"/>
                <a:lumOff val="60000"/>
              </a:schemeClr>
            </a:solidFill>
            <a:ln w="9525" cap="flat" cmpd="sng" algn="ctr">
              <a:solidFill>
                <a:schemeClr val="accent1"/>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calc!$X$44:$X$56</c:f>
              <c:numCache>
                <c:formatCode>General</c:formatCode>
                <c:ptCount val="13"/>
                <c:pt idx="0">
                  <c:v>100</c:v>
                </c:pt>
                <c:pt idx="1">
                  <c:v>100</c:v>
                </c:pt>
                <c:pt idx="2">
                  <c:v>100</c:v>
                </c:pt>
                <c:pt idx="3">
                  <c:v>100</c:v>
                </c:pt>
                <c:pt idx="4">
                  <c:v>100</c:v>
                </c:pt>
                <c:pt idx="5">
                  <c:v>100</c:v>
                </c:pt>
                <c:pt idx="6">
                  <c:v>100</c:v>
                </c:pt>
                <c:pt idx="7">
                  <c:v>100</c:v>
                </c:pt>
                <c:pt idx="8">
                  <c:v>100</c:v>
                </c:pt>
                <c:pt idx="9">
                  <c:v>100</c:v>
                </c:pt>
                <c:pt idx="10">
                  <c:v>100</c:v>
                </c:pt>
                <c:pt idx="11">
                  <c:v>100</c:v>
                </c:pt>
                <c:pt idx="12">
                  <c:v>100</c:v>
                </c:pt>
              </c:numCache>
            </c:numRef>
          </c:val>
        </c:ser>
        <c:dLbls>
          <c:showLegendKey val="0"/>
          <c:showVal val="0"/>
          <c:showCatName val="0"/>
          <c:showSerName val="0"/>
          <c:showPercent val="0"/>
          <c:showBubbleSize val="0"/>
        </c:dLbls>
        <c:gapWidth val="100"/>
        <c:axId val="571636504"/>
        <c:axId val="571636112"/>
      </c:barChart>
      <c:catAx>
        <c:axId val="571636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6112"/>
        <c:crosses val="autoZero"/>
        <c:auto val="1"/>
        <c:lblAlgn val="ctr"/>
        <c:lblOffset val="100"/>
        <c:noMultiLvlLbl val="0"/>
      </c:catAx>
      <c:valAx>
        <c:axId val="571636112"/>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1636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グラフ!$I$65</c:f>
          <c:strCache>
            <c:ptCount val="1"/>
            <c:pt idx="0">
              <c:v>#N/A</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tx>
            <c:strRef>
              <c:f>calc!$S$43</c:f>
              <c:strCache>
                <c:ptCount val="1"/>
                <c:pt idx="0">
                  <c:v>平均気温</c:v>
                </c:pt>
              </c:strCache>
            </c:strRef>
          </c:tx>
          <c:spPr>
            <a:solidFill>
              <a:schemeClr val="accent3">
                <a:lumMod val="40000"/>
                <a:lumOff val="60000"/>
              </a:schemeClr>
            </a:solidFill>
            <a:ln w="9525" cap="flat" cmpd="sng" algn="ctr">
              <a:solidFill>
                <a:schemeClr val="accent3"/>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calc!$V$44:$V$56</c:f>
              <c:numCache>
                <c:formatCode>General</c:formatCode>
                <c:ptCount val="13"/>
                <c:pt idx="0">
                  <c:v>100</c:v>
                </c:pt>
                <c:pt idx="1">
                  <c:v>100</c:v>
                </c:pt>
                <c:pt idx="2">
                  <c:v>100</c:v>
                </c:pt>
                <c:pt idx="3">
                  <c:v>100</c:v>
                </c:pt>
                <c:pt idx="4">
                  <c:v>100</c:v>
                </c:pt>
                <c:pt idx="5">
                  <c:v>100</c:v>
                </c:pt>
                <c:pt idx="6">
                  <c:v>100</c:v>
                </c:pt>
                <c:pt idx="7">
                  <c:v>100</c:v>
                </c:pt>
                <c:pt idx="8">
                  <c:v>100</c:v>
                </c:pt>
                <c:pt idx="9">
                  <c:v>100</c:v>
                </c:pt>
                <c:pt idx="10">
                  <c:v>100</c:v>
                </c:pt>
                <c:pt idx="11">
                  <c:v>100</c:v>
                </c:pt>
                <c:pt idx="12">
                  <c:v>100</c:v>
                </c:pt>
              </c:numCache>
            </c:numRef>
          </c:val>
        </c:ser>
        <c:dLbls>
          <c:showLegendKey val="0"/>
          <c:showVal val="0"/>
          <c:showCatName val="0"/>
          <c:showSerName val="0"/>
          <c:showPercent val="0"/>
          <c:showBubbleSize val="0"/>
        </c:dLbls>
        <c:gapWidth val="100"/>
        <c:axId val="572533576"/>
        <c:axId val="572530832"/>
      </c:barChart>
      <c:catAx>
        <c:axId val="572533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2530832"/>
        <c:crosses val="autoZero"/>
        <c:auto val="1"/>
        <c:lblAlgn val="ctr"/>
        <c:lblOffset val="100"/>
        <c:noMultiLvlLbl val="0"/>
      </c:catAx>
      <c:valAx>
        <c:axId val="572530832"/>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2533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グラフ!$Q$65</c:f>
          <c:strCache>
            <c:ptCount val="1"/>
            <c:pt idx="0">
              <c:v>#N/A</c:v>
            </c:pt>
          </c:strCache>
        </c:strRef>
      </c:tx>
      <c:overlay val="0"/>
      <c:spPr>
        <a:noFill/>
        <a:ln>
          <a:noFill/>
        </a:ln>
        <a:effectLst/>
      </c:spPr>
      <c:txPr>
        <a:bodyPr rot="0" spcFirstLastPara="1" vertOverflow="ellipsis" vert="horz" wrap="square" anchor="ctr" anchorCtr="1"/>
        <a:lstStyle/>
        <a:p>
          <a:pPr>
            <a:defRPr sz="1200" b="0" i="0" u="none" strike="noStrike" kern="1200" cap="none" spc="2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1"/>
          <c:order val="0"/>
          <c:tx>
            <c:strRef>
              <c:f>calc!$T$43</c:f>
              <c:strCache>
                <c:ptCount val="1"/>
                <c:pt idx="0">
                  <c:v>最高気温</c:v>
                </c:pt>
              </c:strCache>
            </c:strRef>
          </c:tx>
          <c:spPr>
            <a:solidFill>
              <a:schemeClr val="accent2">
                <a:lumMod val="40000"/>
                <a:lumOff val="60000"/>
              </a:schemeClr>
            </a:solidFill>
            <a:ln w="9525" cap="flat" cmpd="sng" algn="ctr">
              <a:solidFill>
                <a:schemeClr val="accent2">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calc!$C$2:$C$14</c:f>
              <c:strCache>
                <c:ptCount val="13"/>
                <c:pt idx="0">
                  <c:v>/-/</c:v>
                </c:pt>
                <c:pt idx="1">
                  <c:v>/-/</c:v>
                </c:pt>
                <c:pt idx="2">
                  <c:v>/-/</c:v>
                </c:pt>
                <c:pt idx="3">
                  <c:v>/-/</c:v>
                </c:pt>
                <c:pt idx="4">
                  <c:v>/-/</c:v>
                </c:pt>
                <c:pt idx="5">
                  <c:v>/-/</c:v>
                </c:pt>
                <c:pt idx="6">
                  <c:v>/-/</c:v>
                </c:pt>
                <c:pt idx="7">
                  <c:v>/-/</c:v>
                </c:pt>
                <c:pt idx="8">
                  <c:v>/-/</c:v>
                </c:pt>
                <c:pt idx="9">
                  <c:v>/-/</c:v>
                </c:pt>
                <c:pt idx="10">
                  <c:v>/-/</c:v>
                </c:pt>
                <c:pt idx="11">
                  <c:v>/-/</c:v>
                </c:pt>
                <c:pt idx="12">
                  <c:v>/-/</c:v>
                </c:pt>
              </c:strCache>
            </c:strRef>
          </c:cat>
          <c:val>
            <c:numRef>
              <c:f>calc!$W$44:$W$56</c:f>
              <c:numCache>
                <c:formatCode>General</c:formatCode>
                <c:ptCount val="13"/>
                <c:pt idx="0">
                  <c:v>100</c:v>
                </c:pt>
                <c:pt idx="1">
                  <c:v>100</c:v>
                </c:pt>
                <c:pt idx="2">
                  <c:v>100</c:v>
                </c:pt>
                <c:pt idx="3">
                  <c:v>100</c:v>
                </c:pt>
                <c:pt idx="4">
                  <c:v>100</c:v>
                </c:pt>
                <c:pt idx="5">
                  <c:v>100</c:v>
                </c:pt>
                <c:pt idx="6">
                  <c:v>100</c:v>
                </c:pt>
                <c:pt idx="7">
                  <c:v>100</c:v>
                </c:pt>
                <c:pt idx="8">
                  <c:v>100</c:v>
                </c:pt>
                <c:pt idx="9">
                  <c:v>100</c:v>
                </c:pt>
                <c:pt idx="10">
                  <c:v>100</c:v>
                </c:pt>
                <c:pt idx="11">
                  <c:v>100</c:v>
                </c:pt>
                <c:pt idx="12">
                  <c:v>100</c:v>
                </c:pt>
              </c:numCache>
            </c:numRef>
          </c:val>
        </c:ser>
        <c:dLbls>
          <c:showLegendKey val="0"/>
          <c:showVal val="0"/>
          <c:showCatName val="0"/>
          <c:showSerName val="0"/>
          <c:showPercent val="0"/>
          <c:showBubbleSize val="0"/>
        </c:dLbls>
        <c:gapWidth val="100"/>
        <c:axId val="572536712"/>
        <c:axId val="572530440"/>
      </c:barChart>
      <c:catAx>
        <c:axId val="572536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2530440"/>
        <c:crosses val="autoZero"/>
        <c:auto val="1"/>
        <c:lblAlgn val="ctr"/>
        <c:lblOffset val="100"/>
        <c:noMultiLvlLbl val="0"/>
      </c:catAx>
      <c:valAx>
        <c:axId val="572530440"/>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r>
                  <a:rPr lang="ja-JP"/>
                  <a:t>確率％</a:t>
                </a:r>
              </a:p>
            </c:rich>
          </c:tx>
          <c:overlay val="0"/>
          <c:spPr>
            <a:noFill/>
            <a:ln>
              <a:noFill/>
            </a:ln>
            <a:effectLst/>
          </c:spPr>
          <c:txPr>
            <a:bodyPr rot="-5400000" spcFirstLastPara="1" vertOverflow="ellipsis" vert="horz" wrap="square" anchor="ctr" anchorCtr="1"/>
            <a:lstStyle/>
            <a:p>
              <a:pPr>
                <a:defRPr sz="1000" b="0" i="0" u="none" strike="noStrike" kern="1200" cap="all" baseline="0">
                  <a:solidFill>
                    <a:sysClr val="windowText" lastClr="000000"/>
                  </a:solidFill>
                  <a:latin typeface="+mn-lt"/>
                  <a:ea typeface="+mn-ea"/>
                  <a:cs typeface="+mn-cs"/>
                </a:defRPr>
              </a:pPr>
              <a:endParaRPr lang="ja-JP"/>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572536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8</xdr:col>
      <xdr:colOff>0</xdr:colOff>
      <xdr:row>37</xdr:row>
      <xdr:rowOff>0</xdr:rowOff>
    </xdr:to>
    <xdr:graphicFrame macro="">
      <xdr:nvGraphicFramePr>
        <xdr:cNvPr id="2" name="グラフ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44</xdr:row>
      <xdr:rowOff>3361</xdr:rowOff>
    </xdr:from>
    <xdr:to>
      <xdr:col>7</xdr:col>
      <xdr:colOff>676274</xdr:colOff>
      <xdr:row>64</xdr:row>
      <xdr:rowOff>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91</xdr:row>
      <xdr:rowOff>0</xdr:rowOff>
    </xdr:from>
    <xdr:to>
      <xdr:col>23</xdr:col>
      <xdr:colOff>672353</xdr:colOff>
      <xdr:row>118</xdr:row>
      <xdr:rowOff>9525</xdr:rowOff>
    </xdr:to>
    <xdr:graphicFrame macro="">
      <xdr:nvGraphicFramePr>
        <xdr:cNvPr id="5" name="グラフ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361950</xdr:colOff>
          <xdr:row>6</xdr:row>
          <xdr:rowOff>28575</xdr:rowOff>
        </xdr:from>
        <xdr:to>
          <xdr:col>10</xdr:col>
          <xdr:colOff>361950</xdr:colOff>
          <xdr:row>7</xdr:row>
          <xdr:rowOff>142875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Ｐゴシック"/>
                  <a:ea typeface="ＭＳ Ｐゴシック"/>
                </a:rPr>
                <a:t>最新の予測データを取得</a:t>
              </a:r>
            </a:p>
          </xdr:txBody>
        </xdr:sp>
        <xdr:clientData fPrintsWithSheet="0"/>
      </xdr:twoCellAnchor>
    </mc:Choice>
    <mc:Fallback/>
  </mc:AlternateContent>
  <xdr:twoCellAnchor>
    <xdr:from>
      <xdr:col>8</xdr:col>
      <xdr:colOff>0</xdr:colOff>
      <xdr:row>11</xdr:row>
      <xdr:rowOff>0</xdr:rowOff>
    </xdr:from>
    <xdr:to>
      <xdr:col>16</xdr:col>
      <xdr:colOff>0</xdr:colOff>
      <xdr:row>37</xdr:row>
      <xdr:rowOff>0</xdr:rowOff>
    </xdr:to>
    <xdr:graphicFrame macro="">
      <xdr:nvGraphicFramePr>
        <xdr:cNvPr id="7" name="グラフ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0</xdr:colOff>
      <xdr:row>11</xdr:row>
      <xdr:rowOff>0</xdr:rowOff>
    </xdr:from>
    <xdr:to>
      <xdr:col>24</xdr:col>
      <xdr:colOff>0</xdr:colOff>
      <xdr:row>37</xdr:row>
      <xdr:rowOff>0</xdr:rowOff>
    </xdr:to>
    <xdr:graphicFrame macro="">
      <xdr:nvGraphicFramePr>
        <xdr:cNvPr id="8" name="グラフ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44</xdr:row>
      <xdr:rowOff>0</xdr:rowOff>
    </xdr:from>
    <xdr:to>
      <xdr:col>15</xdr:col>
      <xdr:colOff>676275</xdr:colOff>
      <xdr:row>63</xdr:row>
      <xdr:rowOff>164728</xdr:rowOff>
    </xdr:to>
    <xdr:graphicFrame macro="">
      <xdr:nvGraphicFramePr>
        <xdr:cNvPr id="11" name="グラフ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0</xdr:colOff>
      <xdr:row>44</xdr:row>
      <xdr:rowOff>0</xdr:rowOff>
    </xdr:from>
    <xdr:to>
      <xdr:col>23</xdr:col>
      <xdr:colOff>676274</xdr:colOff>
      <xdr:row>63</xdr:row>
      <xdr:rowOff>164728</xdr:rowOff>
    </xdr:to>
    <xdr:graphicFrame macro="">
      <xdr:nvGraphicFramePr>
        <xdr:cNvPr id="12" name="グラフ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65</xdr:row>
      <xdr:rowOff>0</xdr:rowOff>
    </xdr:from>
    <xdr:to>
      <xdr:col>7</xdr:col>
      <xdr:colOff>676274</xdr:colOff>
      <xdr:row>84</xdr:row>
      <xdr:rowOff>164728</xdr:rowOff>
    </xdr:to>
    <xdr:graphicFrame macro="">
      <xdr:nvGraphicFramePr>
        <xdr:cNvPr id="16" name="グラフ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0</xdr:colOff>
      <xdr:row>65</xdr:row>
      <xdr:rowOff>0</xdr:rowOff>
    </xdr:from>
    <xdr:to>
      <xdr:col>15</xdr:col>
      <xdr:colOff>676275</xdr:colOff>
      <xdr:row>84</xdr:row>
      <xdr:rowOff>164728</xdr:rowOff>
    </xdr:to>
    <xdr:graphicFrame macro="">
      <xdr:nvGraphicFramePr>
        <xdr:cNvPr id="17" name="グラフ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0</xdr:colOff>
      <xdr:row>65</xdr:row>
      <xdr:rowOff>0</xdr:rowOff>
    </xdr:from>
    <xdr:to>
      <xdr:col>23</xdr:col>
      <xdr:colOff>676274</xdr:colOff>
      <xdr:row>84</xdr:row>
      <xdr:rowOff>164728</xdr:rowOff>
    </xdr:to>
    <xdr:graphicFrame macro="">
      <xdr:nvGraphicFramePr>
        <xdr:cNvPr id="18" name="グラフ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sheetPr>
  <dimension ref="A1:Z24"/>
  <sheetViews>
    <sheetView tabSelected="1" workbookViewId="0"/>
  </sheetViews>
  <sheetFormatPr defaultColWidth="0" defaultRowHeight="13.5" x14ac:dyDescent="0.15"/>
  <cols>
    <col min="1" max="26" width="9" style="9" customWidth="1"/>
    <col min="27" max="16384" width="9" hidden="1"/>
  </cols>
  <sheetData>
    <row r="1" spans="1:26" x14ac:dyDescent="0.15">
      <c r="A1" s="12" t="s">
        <v>214</v>
      </c>
    </row>
    <row r="2" spans="1:26" x14ac:dyDescent="0.15">
      <c r="A2" s="9" t="s">
        <v>296</v>
      </c>
    </row>
    <row r="3" spans="1:26" x14ac:dyDescent="0.15">
      <c r="A3" s="9" t="s">
        <v>295</v>
      </c>
    </row>
    <row r="5" spans="1:26" x14ac:dyDescent="0.15">
      <c r="A5" s="12" t="s">
        <v>224</v>
      </c>
    </row>
    <row r="6" spans="1:26" x14ac:dyDescent="0.15">
      <c r="A6" s="9" t="s">
        <v>302</v>
      </c>
    </row>
    <row r="7" spans="1:26" x14ac:dyDescent="0.15">
      <c r="A7" s="9" t="s">
        <v>226</v>
      </c>
    </row>
    <row r="9" spans="1:26" x14ac:dyDescent="0.15">
      <c r="A9" s="12" t="s">
        <v>211</v>
      </c>
    </row>
    <row r="10" spans="1:26" x14ac:dyDescent="0.15">
      <c r="A10" s="9" t="s">
        <v>300</v>
      </c>
    </row>
    <row r="11" spans="1:26" x14ac:dyDescent="0.15">
      <c r="A11" s="9" t="s">
        <v>294</v>
      </c>
    </row>
    <row r="13" spans="1:26" x14ac:dyDescent="0.15">
      <c r="A13" s="12" t="s">
        <v>212</v>
      </c>
    </row>
    <row r="14" spans="1:26" x14ac:dyDescent="0.15">
      <c r="A14" s="11" t="s">
        <v>221</v>
      </c>
      <c r="B14" s="33" t="s">
        <v>222</v>
      </c>
      <c r="C14" s="33"/>
      <c r="D14" s="33"/>
      <c r="E14" s="33"/>
      <c r="F14" s="33"/>
      <c r="G14" s="33"/>
      <c r="H14" s="33"/>
      <c r="I14" s="33"/>
      <c r="J14" s="33"/>
      <c r="K14" s="33"/>
      <c r="L14" s="33"/>
    </row>
    <row r="15" spans="1:26" s="10" customFormat="1" x14ac:dyDescent="0.15">
      <c r="A15" s="13" t="s">
        <v>215</v>
      </c>
      <c r="B15" s="34" t="s">
        <v>293</v>
      </c>
      <c r="C15" s="34"/>
      <c r="D15" s="34"/>
      <c r="E15" s="34"/>
      <c r="F15" s="34"/>
      <c r="G15" s="34"/>
      <c r="H15" s="34"/>
      <c r="I15" s="34"/>
      <c r="J15" s="34"/>
      <c r="K15" s="34"/>
      <c r="L15" s="34"/>
      <c r="M15" s="14"/>
      <c r="N15" s="14"/>
      <c r="O15" s="14"/>
      <c r="P15" s="14"/>
      <c r="Q15" s="14"/>
      <c r="R15" s="14"/>
      <c r="S15" s="14"/>
      <c r="T15" s="14"/>
      <c r="U15" s="14"/>
      <c r="V15" s="14"/>
      <c r="W15" s="14"/>
      <c r="X15" s="14"/>
      <c r="Y15" s="14"/>
      <c r="Z15" s="14"/>
    </row>
    <row r="16" spans="1:26" s="10" customFormat="1" x14ac:dyDescent="0.15">
      <c r="A16" s="13" t="s">
        <v>216</v>
      </c>
      <c r="B16" s="34" t="s">
        <v>289</v>
      </c>
      <c r="C16" s="34"/>
      <c r="D16" s="34"/>
      <c r="E16" s="34"/>
      <c r="F16" s="34"/>
      <c r="G16" s="34"/>
      <c r="H16" s="34"/>
      <c r="I16" s="34"/>
      <c r="J16" s="34"/>
      <c r="K16" s="34"/>
      <c r="L16" s="34"/>
      <c r="M16" s="14"/>
      <c r="N16" s="14"/>
      <c r="O16" s="14"/>
      <c r="P16" s="14"/>
      <c r="Q16" s="14"/>
      <c r="R16" s="14"/>
      <c r="S16" s="14"/>
      <c r="T16" s="14"/>
      <c r="U16" s="14"/>
      <c r="V16" s="14"/>
      <c r="W16" s="14"/>
      <c r="X16" s="14"/>
      <c r="Y16" s="14"/>
      <c r="Z16" s="14"/>
    </row>
    <row r="17" spans="1:26" s="10" customFormat="1" ht="42" customHeight="1" x14ac:dyDescent="0.15">
      <c r="A17" s="15" t="s">
        <v>217</v>
      </c>
      <c r="B17" s="35" t="s">
        <v>303</v>
      </c>
      <c r="C17" s="36"/>
      <c r="D17" s="36"/>
      <c r="E17" s="36"/>
      <c r="F17" s="36"/>
      <c r="G17" s="36"/>
      <c r="H17" s="36"/>
      <c r="I17" s="36"/>
      <c r="J17" s="36"/>
      <c r="K17" s="36"/>
      <c r="L17" s="36"/>
      <c r="M17" s="14"/>
      <c r="N17" s="14"/>
      <c r="O17" s="14"/>
      <c r="P17" s="14"/>
      <c r="Q17" s="14"/>
      <c r="R17" s="14"/>
      <c r="S17" s="14"/>
      <c r="T17" s="14"/>
      <c r="U17" s="14"/>
      <c r="V17" s="14"/>
      <c r="W17" s="14"/>
      <c r="X17" s="14"/>
      <c r="Y17" s="14"/>
      <c r="Z17" s="14"/>
    </row>
    <row r="18" spans="1:26" s="10" customFormat="1" x14ac:dyDescent="0.15">
      <c r="A18" s="13" t="s">
        <v>218</v>
      </c>
      <c r="B18" s="34" t="s">
        <v>220</v>
      </c>
      <c r="C18" s="34"/>
      <c r="D18" s="34"/>
      <c r="E18" s="34"/>
      <c r="F18" s="34"/>
      <c r="G18" s="34"/>
      <c r="H18" s="34"/>
      <c r="I18" s="34"/>
      <c r="J18" s="34"/>
      <c r="K18" s="34"/>
      <c r="L18" s="34"/>
      <c r="M18" s="14"/>
      <c r="N18" s="14"/>
      <c r="O18" s="14"/>
      <c r="P18" s="14"/>
      <c r="Q18" s="14"/>
      <c r="R18" s="14"/>
      <c r="S18" s="14"/>
      <c r="T18" s="14"/>
      <c r="U18" s="14"/>
      <c r="V18" s="14"/>
      <c r="W18" s="14"/>
      <c r="X18" s="14"/>
      <c r="Y18" s="14"/>
      <c r="Z18" s="14"/>
    </row>
    <row r="19" spans="1:26" s="10" customFormat="1" x14ac:dyDescent="0.15">
      <c r="A19" s="13" t="s">
        <v>219</v>
      </c>
      <c r="B19" s="34" t="s">
        <v>290</v>
      </c>
      <c r="C19" s="34"/>
      <c r="D19" s="34"/>
      <c r="E19" s="34"/>
      <c r="F19" s="34"/>
      <c r="G19" s="34"/>
      <c r="H19" s="34"/>
      <c r="I19" s="34"/>
      <c r="J19" s="34"/>
      <c r="K19" s="34"/>
      <c r="L19" s="34"/>
      <c r="M19" s="14"/>
      <c r="N19" s="14"/>
      <c r="O19" s="14"/>
      <c r="P19" s="14"/>
      <c r="Q19" s="14"/>
      <c r="R19" s="14"/>
      <c r="S19" s="14"/>
      <c r="T19" s="14"/>
      <c r="U19" s="14"/>
      <c r="V19" s="14"/>
      <c r="W19" s="14"/>
      <c r="X19" s="14"/>
      <c r="Y19" s="14"/>
      <c r="Z19" s="14"/>
    </row>
    <row r="21" spans="1:26" x14ac:dyDescent="0.15">
      <c r="A21" s="12" t="s">
        <v>213</v>
      </c>
    </row>
    <row r="22" spans="1:26" s="10" customFormat="1" x14ac:dyDescent="0.15">
      <c r="A22" s="14" t="s">
        <v>291</v>
      </c>
      <c r="B22" s="14"/>
      <c r="C22" s="14"/>
      <c r="D22" s="14"/>
      <c r="E22" s="14"/>
      <c r="F22" s="14"/>
      <c r="G22" s="14"/>
      <c r="H22" s="14"/>
      <c r="I22" s="14"/>
      <c r="J22" s="14"/>
      <c r="K22" s="14"/>
      <c r="L22" s="14"/>
      <c r="M22" s="14"/>
      <c r="N22" s="14"/>
      <c r="O22" s="14"/>
      <c r="P22" s="14"/>
      <c r="Q22" s="14"/>
      <c r="R22" s="14"/>
      <c r="S22" s="14"/>
      <c r="T22" s="14"/>
      <c r="U22" s="14"/>
      <c r="V22" s="14"/>
      <c r="W22" s="14"/>
      <c r="X22" s="14"/>
      <c r="Y22" s="14"/>
      <c r="Z22" s="14"/>
    </row>
    <row r="23" spans="1:26" s="10" customFormat="1" x14ac:dyDescent="0.15">
      <c r="A23" s="14" t="s">
        <v>301</v>
      </c>
      <c r="B23" s="14"/>
      <c r="C23" s="14"/>
      <c r="D23" s="14"/>
      <c r="E23" s="14"/>
      <c r="F23" s="14"/>
      <c r="G23" s="14"/>
      <c r="H23" s="14"/>
      <c r="I23" s="14"/>
      <c r="J23" s="14"/>
      <c r="K23" s="14"/>
      <c r="L23" s="14"/>
      <c r="M23" s="14"/>
      <c r="N23" s="14"/>
      <c r="O23" s="14"/>
      <c r="P23" s="14"/>
      <c r="Q23" s="14"/>
      <c r="R23" s="14"/>
      <c r="S23" s="14"/>
      <c r="T23" s="14"/>
      <c r="U23" s="14"/>
      <c r="V23" s="14"/>
      <c r="W23" s="14"/>
      <c r="X23" s="14"/>
      <c r="Y23" s="14"/>
      <c r="Z23" s="14"/>
    </row>
    <row r="24" spans="1:26" x14ac:dyDescent="0.15">
      <c r="A24" s="9" t="s">
        <v>225</v>
      </c>
    </row>
  </sheetData>
  <mergeCells count="6">
    <mergeCell ref="B14:L14"/>
    <mergeCell ref="B15:L15"/>
    <mergeCell ref="B16:L16"/>
    <mergeCell ref="B19:L19"/>
    <mergeCell ref="B18:L18"/>
    <mergeCell ref="B17:L17"/>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4" tint="0.39997558519241921"/>
  </sheetPr>
  <dimension ref="A1:Z121"/>
  <sheetViews>
    <sheetView zoomScale="70" zoomScaleNormal="70" workbookViewId="0"/>
  </sheetViews>
  <sheetFormatPr defaultColWidth="0" defaultRowHeight="13.5" x14ac:dyDescent="0.15"/>
  <cols>
    <col min="1" max="26" width="9" style="9" customWidth="1"/>
    <col min="27" max="16384" width="9" style="9" hidden="1"/>
  </cols>
  <sheetData>
    <row r="1" spans="1:17" ht="17.25" x14ac:dyDescent="0.15">
      <c r="A1" s="17" t="s">
        <v>297</v>
      </c>
    </row>
    <row r="2" spans="1:17" s="19" customFormat="1" x14ac:dyDescent="0.15">
      <c r="A2" s="18" t="s">
        <v>287</v>
      </c>
    </row>
    <row r="3" spans="1:17" x14ac:dyDescent="0.15">
      <c r="A3" s="20" t="s">
        <v>298</v>
      </c>
    </row>
    <row r="4" spans="1:17" x14ac:dyDescent="0.15">
      <c r="A4" s="20" t="s">
        <v>286</v>
      </c>
    </row>
    <row r="5" spans="1:17" ht="17.25" x14ac:dyDescent="0.15">
      <c r="A5" s="17"/>
    </row>
    <row r="6" spans="1:17" ht="14.25" thickBot="1" x14ac:dyDescent="0.2">
      <c r="B6" s="21" t="s">
        <v>231</v>
      </c>
      <c r="E6" s="21" t="s">
        <v>232</v>
      </c>
      <c r="I6" s="21" t="s">
        <v>233</v>
      </c>
    </row>
    <row r="7" spans="1:17" ht="18" thickBot="1" x14ac:dyDescent="0.25">
      <c r="A7" s="22" t="s">
        <v>230</v>
      </c>
      <c r="B7" s="39" t="s">
        <v>247</v>
      </c>
      <c r="C7" s="40"/>
      <c r="D7" s="22" t="s">
        <v>209</v>
      </c>
      <c r="E7" s="39" t="s">
        <v>98</v>
      </c>
      <c r="F7" s="41"/>
      <c r="G7" s="40"/>
    </row>
    <row r="8" spans="1:17" s="23" customFormat="1" x14ac:dyDescent="0.15">
      <c r="D8" s="24"/>
      <c r="E8" s="25"/>
      <c r="F8" s="25"/>
      <c r="G8" s="24"/>
      <c r="H8" s="26"/>
    </row>
    <row r="9" spans="1:17" s="23" customFormat="1" x14ac:dyDescent="0.15">
      <c r="D9" s="24"/>
      <c r="E9" s="25"/>
      <c r="F9" s="25"/>
      <c r="G9" s="24"/>
      <c r="H9" s="26"/>
    </row>
    <row r="10" spans="1:17" s="23" customFormat="1" x14ac:dyDescent="0.15">
      <c r="A10" s="27" t="s">
        <v>283</v>
      </c>
      <c r="D10" s="24"/>
      <c r="E10" s="25"/>
      <c r="F10" s="25"/>
      <c r="G10" s="24"/>
      <c r="H10" s="26"/>
    </row>
    <row r="11" spans="1:17" s="23" customFormat="1" x14ac:dyDescent="0.15">
      <c r="A11" s="23" t="e">
        <f>"「"&amp;calc!$A$4&amp;"」"&amp;"最低気温 アンサンブル平均値 "&amp;  calc!$A$2 &amp;" 初期値"</f>
        <v>#N/A</v>
      </c>
      <c r="I11" s="23" t="e">
        <f>"「"&amp;calc!$A$4&amp;"」"&amp;"平均気温 アンサンブル平均値 "&amp;  calc!$A$2 &amp;" 初期値"</f>
        <v>#N/A</v>
      </c>
      <c r="Q11" s="23" t="e">
        <f>"「"&amp;calc!$A$4&amp;"」"&amp;"最高気温 アンサンブル平均値 "&amp;  calc!$A$2 &amp;" 初期値"</f>
        <v>#N/A</v>
      </c>
    </row>
    <row r="38" spans="1:19" s="29" customFormat="1" x14ac:dyDescent="0.15">
      <c r="A38" s="28" t="s">
        <v>223</v>
      </c>
    </row>
    <row r="39" spans="1:19" s="29" customFormat="1" ht="12" x14ac:dyDescent="0.15">
      <c r="A39" s="30"/>
    </row>
    <row r="40" spans="1:19" s="29" customFormat="1" ht="12" x14ac:dyDescent="0.15">
      <c r="A40" s="30"/>
    </row>
    <row r="41" spans="1:19" x14ac:dyDescent="0.15">
      <c r="A41" s="27" t="s">
        <v>284</v>
      </c>
    </row>
    <row r="42" spans="1:19" ht="14.25" thickBot="1" x14ac:dyDescent="0.2">
      <c r="B42" s="21" t="s">
        <v>282</v>
      </c>
      <c r="J42" s="21" t="s">
        <v>282</v>
      </c>
      <c r="R42" s="21" t="s">
        <v>282</v>
      </c>
    </row>
    <row r="43" spans="1:19" ht="18" thickBot="1" x14ac:dyDescent="0.25">
      <c r="A43" s="22" t="s">
        <v>180</v>
      </c>
      <c r="B43" s="16">
        <v>0</v>
      </c>
      <c r="C43" s="9" t="s">
        <v>183</v>
      </c>
      <c r="I43" s="22" t="s">
        <v>178</v>
      </c>
      <c r="J43" s="16">
        <v>0</v>
      </c>
      <c r="K43" s="9" t="s">
        <v>183</v>
      </c>
      <c r="Q43" s="22" t="s">
        <v>179</v>
      </c>
      <c r="R43" s="16">
        <v>0</v>
      </c>
      <c r="S43" s="9" t="s">
        <v>183</v>
      </c>
    </row>
    <row r="44" spans="1:19" s="31" customFormat="1" x14ac:dyDescent="0.15">
      <c r="A44" s="31" t="e">
        <f>"「"&amp;calc!$A$4&amp;"」 最低気温"&amp;$B$43&amp;"℃以下の確率％ "&amp;  calc!$A$2 &amp;" 初期値"</f>
        <v>#N/A</v>
      </c>
      <c r="I44" s="31" t="e">
        <f>"「"&amp;calc!$A$4&amp;"」 平均気温"&amp;$J$43&amp;"℃以下の確率％ "&amp;  calc!$A$2 &amp;" 初期値"</f>
        <v>#N/A</v>
      </c>
      <c r="Q44" s="31" t="e">
        <f>"「"&amp;calc!$A$4&amp;"」 最高気温"&amp;$R$43&amp;"℃以下の確率％ "&amp;  calc!$A$2 &amp;" 初期値"</f>
        <v>#N/A</v>
      </c>
    </row>
    <row r="65" spans="1:17" s="31" customFormat="1" x14ac:dyDescent="0.15">
      <c r="A65" s="31" t="e">
        <f>"「"&amp;calc!$A$4&amp;"」 最低気温"&amp;$B$43&amp;"℃超過の確率％ "&amp;  calc!$A$2 &amp;" 初期値"</f>
        <v>#N/A</v>
      </c>
      <c r="I65" s="31" t="e">
        <f>"「"&amp;calc!$A$4&amp;"」 平均気温"&amp;$J$43&amp;"℃超過の確率％ "&amp;  calc!$A$2 &amp;" 初期値"</f>
        <v>#N/A</v>
      </c>
      <c r="Q65" s="31" t="e">
        <f>"「"&amp;calc!$A$4&amp;"」 最高気温"&amp;$R$43&amp;"℃超過の確率％ "&amp;  calc!$A$2 &amp;" 初期値"</f>
        <v>#N/A</v>
      </c>
    </row>
    <row r="88" spans="1:3" x14ac:dyDescent="0.15">
      <c r="A88" s="27" t="s">
        <v>285</v>
      </c>
    </row>
    <row r="89" spans="1:3" ht="14.25" thickBot="1" x14ac:dyDescent="0.2">
      <c r="B89" s="21" t="s">
        <v>210</v>
      </c>
    </row>
    <row r="90" spans="1:3" ht="18" thickBot="1" x14ac:dyDescent="0.25">
      <c r="A90" s="22" t="s">
        <v>190</v>
      </c>
      <c r="B90" s="37" t="s">
        <v>299</v>
      </c>
      <c r="C90" s="38"/>
    </row>
    <row r="91" spans="1:3" s="31" customFormat="1" x14ac:dyDescent="0.15">
      <c r="A91" s="31" t="e">
        <f>"「"&amp;calc!$A$4&amp;"」"&amp;"累積分布関数％ "&amp;  $B$90 &amp;" の予測　"&amp;  calc!$A$2 &amp;" 初期値日"</f>
        <v>#N/A</v>
      </c>
    </row>
    <row r="119" spans="1:1" s="30" customFormat="1" x14ac:dyDescent="0.15">
      <c r="A119" s="28" t="s">
        <v>202</v>
      </c>
    </row>
    <row r="120" spans="1:1" s="30" customFormat="1" x14ac:dyDescent="0.15">
      <c r="A120" s="19" t="s">
        <v>292</v>
      </c>
    </row>
    <row r="121" spans="1:1" s="30" customFormat="1" x14ac:dyDescent="0.15">
      <c r="A121" s="19" t="s">
        <v>201</v>
      </c>
    </row>
  </sheetData>
  <mergeCells count="3">
    <mergeCell ref="B90:C90"/>
    <mergeCell ref="B7:C7"/>
    <mergeCell ref="E7:G7"/>
  </mergeCells>
  <phoneticPr fontId="1"/>
  <dataValidations count="3">
    <dataValidation type="decimal" allowBlank="1" showInputMessage="1" showErrorMessage="1" errorTitle="データ入力チェック" error="・ 0.1℃単位_x000a_・ -50 ～ 50℃ の範囲_x000a_で入力してください" sqref="B43 J43 R43">
      <formula1>-50</formula1>
      <formula2>50</formula2>
    </dataValidation>
    <dataValidation type="list" allowBlank="1" showInputMessage="1" showErrorMessage="1" sqref="E7">
      <formula1>INDIRECT(B7)</formula1>
    </dataValidation>
    <dataValidation type="list" allowBlank="1" showInputMessage="1" showErrorMessage="1" sqref="B7:C7">
      <formula1>都道府県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getCsv">
                <anchor moveWithCells="1" sizeWithCells="1">
                  <from>
                    <xdr:col>7</xdr:col>
                    <xdr:colOff>361950</xdr:colOff>
                    <xdr:row>6</xdr:row>
                    <xdr:rowOff>28575</xdr:rowOff>
                  </from>
                  <to>
                    <xdr:col>10</xdr:col>
                    <xdr:colOff>361950</xdr:colOff>
                    <xdr:row>7</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calc!$C$2:$C$14</xm:f>
          </x14:formula1>
          <xm:sqref>B90:C90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G34"/>
  <sheetViews>
    <sheetView zoomScale="85" zoomScaleNormal="85" workbookViewId="0"/>
  </sheetViews>
  <sheetFormatPr defaultRowHeight="13.5" x14ac:dyDescent="0.15"/>
  <sheetData>
    <row r="1" spans="1:215" x14ac:dyDescent="0.1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row>
    <row r="2" spans="1:215" x14ac:dyDescent="0.1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row>
    <row r="3" spans="1:215" x14ac:dyDescent="0.1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row>
    <row r="4" spans="1:215" x14ac:dyDescent="0.1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row>
    <row r="5" spans="1:215" x14ac:dyDescent="0.1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row>
    <row r="6" spans="1:215" x14ac:dyDescent="0.1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row>
    <row r="7" spans="1:215" x14ac:dyDescent="0.1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row>
    <row r="8" spans="1:215" x14ac:dyDescent="0.1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row>
    <row r="9" spans="1:215" x14ac:dyDescent="0.1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row>
    <row r="10" spans="1:215" x14ac:dyDescent="0.1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row>
    <row r="11" spans="1:215" x14ac:dyDescent="0.1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row>
    <row r="12" spans="1:215" x14ac:dyDescent="0.1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row>
    <row r="13" spans="1:215" x14ac:dyDescent="0.1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row>
    <row r="14" spans="1:215" x14ac:dyDescent="0.1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row>
    <row r="15" spans="1:215" x14ac:dyDescent="0.1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row>
    <row r="16" spans="1:215" x14ac:dyDescent="0.1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row>
    <row r="17" spans="1:215" x14ac:dyDescent="0.1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row>
    <row r="18" spans="1:215" x14ac:dyDescent="0.1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row>
    <row r="19" spans="1:215" x14ac:dyDescent="0.1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row>
    <row r="20" spans="1:215" x14ac:dyDescent="0.1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row>
    <row r="21" spans="1:215" x14ac:dyDescent="0.1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row>
    <row r="22" spans="1:215" x14ac:dyDescent="0.1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row>
    <row r="23" spans="1:215" x14ac:dyDescent="0.1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row>
    <row r="24" spans="1:215" x14ac:dyDescent="0.1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row>
    <row r="25" spans="1:215" x14ac:dyDescent="0.1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row>
    <row r="26" spans="1:215" x14ac:dyDescent="0.1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row>
    <row r="27" spans="1:215" x14ac:dyDescent="0.1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row>
    <row r="28" spans="1:215" x14ac:dyDescent="0.1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row>
    <row r="29" spans="1:215" x14ac:dyDescent="0.1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row>
    <row r="30" spans="1:215" x14ac:dyDescent="0.1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row>
    <row r="31" spans="1:215" x14ac:dyDescent="0.1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row>
    <row r="32" spans="1:215" x14ac:dyDescent="0.1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row>
    <row r="33" spans="1:215" x14ac:dyDescent="0.1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row>
    <row r="34" spans="1:215" x14ac:dyDescent="0.1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E58"/>
  <sheetViews>
    <sheetView topLeftCell="C1" zoomScale="70" zoomScaleNormal="70" workbookViewId="0">
      <selection activeCell="TD47" sqref="TD47"/>
    </sheetView>
  </sheetViews>
  <sheetFormatPr defaultRowHeight="13.5" x14ac:dyDescent="0.15"/>
  <cols>
    <col min="1" max="1" width="11" customWidth="1"/>
    <col min="2" max="2" width="18" bestFit="1" customWidth="1"/>
    <col min="3" max="3" width="12.75" bestFit="1" customWidth="1"/>
    <col min="4" max="4" width="12.75" customWidth="1"/>
    <col min="17" max="17" width="14.125" bestFit="1" customWidth="1"/>
    <col min="18" max="18" width="13.125" customWidth="1"/>
    <col min="220" max="220" width="16.5" bestFit="1" customWidth="1"/>
    <col min="221" max="221" width="9.5" style="2" bestFit="1" customWidth="1"/>
  </cols>
  <sheetData>
    <row r="1" spans="1:524" x14ac:dyDescent="0.15">
      <c r="A1" s="3" t="s">
        <v>177</v>
      </c>
      <c r="B1" s="2" t="s">
        <v>181</v>
      </c>
      <c r="C1" t="s">
        <v>190</v>
      </c>
      <c r="D1" s="2" t="s">
        <v>288</v>
      </c>
      <c r="E1" t="s">
        <v>178</v>
      </c>
      <c r="F1" t="s">
        <v>179</v>
      </c>
      <c r="G1" t="s">
        <v>180</v>
      </c>
      <c r="H1" t="s">
        <v>187</v>
      </c>
      <c r="I1" t="s">
        <v>188</v>
      </c>
      <c r="J1" t="s">
        <v>189</v>
      </c>
      <c r="K1" t="s">
        <v>203</v>
      </c>
      <c r="L1" t="s">
        <v>204</v>
      </c>
      <c r="M1" t="s">
        <v>205</v>
      </c>
      <c r="N1" t="s">
        <v>206</v>
      </c>
      <c r="O1" t="s">
        <v>207</v>
      </c>
      <c r="P1" t="s">
        <v>208</v>
      </c>
      <c r="Q1" s="2" t="s">
        <v>184</v>
      </c>
      <c r="R1" s="2"/>
      <c r="S1">
        <v>-10</v>
      </c>
      <c r="T1">
        <v>-9.9</v>
      </c>
      <c r="U1">
        <v>-9.8000000000000007</v>
      </c>
      <c r="V1">
        <v>-9.6999999999999993</v>
      </c>
      <c r="W1">
        <v>-9.6</v>
      </c>
      <c r="X1">
        <v>-9.5</v>
      </c>
      <c r="Y1">
        <v>-9.4</v>
      </c>
      <c r="Z1">
        <v>-9.3000000000000007</v>
      </c>
      <c r="AA1">
        <v>-9.1999999999999993</v>
      </c>
      <c r="AB1">
        <v>-9.1</v>
      </c>
      <c r="AC1">
        <v>-9</v>
      </c>
      <c r="AD1">
        <v>-8.9</v>
      </c>
      <c r="AE1">
        <v>-8.8000000000000007</v>
      </c>
      <c r="AF1">
        <v>-8.6999999999999993</v>
      </c>
      <c r="AG1">
        <v>-8.6</v>
      </c>
      <c r="AH1">
        <v>-8.5000000000000107</v>
      </c>
      <c r="AI1">
        <v>-8.4000000000000092</v>
      </c>
      <c r="AJ1">
        <v>-8.3000000000000096</v>
      </c>
      <c r="AK1">
        <v>-8.2000000000000099</v>
      </c>
      <c r="AL1">
        <v>-8.1000000000000103</v>
      </c>
      <c r="AM1">
        <v>-8.0000000000000107</v>
      </c>
      <c r="AN1">
        <v>-7.9000000000000101</v>
      </c>
      <c r="AO1">
        <v>-7.8000000000000096</v>
      </c>
      <c r="AP1">
        <v>-7.7000000000000099</v>
      </c>
      <c r="AQ1">
        <v>-7.6000000000000103</v>
      </c>
      <c r="AR1">
        <v>-7.5000000000000098</v>
      </c>
      <c r="AS1">
        <v>-7.4000000000000101</v>
      </c>
      <c r="AT1">
        <v>-7.3000000000000096</v>
      </c>
      <c r="AU1">
        <v>-7.2000000000000099</v>
      </c>
      <c r="AV1">
        <v>-7.1000000000000103</v>
      </c>
      <c r="AW1">
        <v>-7.0000000000000098</v>
      </c>
      <c r="AX1">
        <v>-6.9000000000000101</v>
      </c>
      <c r="AY1">
        <v>-6.8000000000000096</v>
      </c>
      <c r="AZ1">
        <v>-6.7000000000000099</v>
      </c>
      <c r="BA1">
        <v>-6.6000000000000103</v>
      </c>
      <c r="BB1">
        <v>-6.5000000000000098</v>
      </c>
      <c r="BC1">
        <v>-6.4000000000000101</v>
      </c>
      <c r="BD1">
        <v>-6.3000000000000096</v>
      </c>
      <c r="BE1">
        <v>-6.2000000000000099</v>
      </c>
      <c r="BF1">
        <v>-6.1000000000000103</v>
      </c>
      <c r="BG1">
        <v>-6.0000000000000098</v>
      </c>
      <c r="BH1">
        <v>-5.9000000000000101</v>
      </c>
      <c r="BI1">
        <v>-5.8000000000000096</v>
      </c>
      <c r="BJ1">
        <v>-5.7000000000000197</v>
      </c>
      <c r="BK1">
        <v>-5.6000000000000201</v>
      </c>
      <c r="BL1">
        <v>-5.5000000000000204</v>
      </c>
      <c r="BM1">
        <v>-5.4000000000000199</v>
      </c>
      <c r="BN1">
        <v>-5.3000000000000203</v>
      </c>
      <c r="BO1">
        <v>-5.2000000000000197</v>
      </c>
      <c r="BP1">
        <v>-5.1000000000000201</v>
      </c>
      <c r="BQ1">
        <v>-5.0000000000000204</v>
      </c>
      <c r="BR1">
        <v>-4.9000000000000199</v>
      </c>
      <c r="BS1">
        <v>-4.8000000000000203</v>
      </c>
      <c r="BT1">
        <v>-4.7000000000000197</v>
      </c>
      <c r="BU1">
        <v>-4.6000000000000201</v>
      </c>
      <c r="BV1">
        <v>-4.5000000000000204</v>
      </c>
      <c r="BW1">
        <v>-4.4000000000000199</v>
      </c>
      <c r="BX1">
        <v>-4.3000000000000203</v>
      </c>
      <c r="BY1">
        <v>-4.2000000000000197</v>
      </c>
      <c r="BZ1">
        <v>-4.1000000000000201</v>
      </c>
      <c r="CA1">
        <v>-4.0000000000000204</v>
      </c>
      <c r="CB1">
        <v>-3.9000000000000199</v>
      </c>
      <c r="CC1">
        <v>-3.8000000000000198</v>
      </c>
      <c r="CD1">
        <v>-3.7000000000000202</v>
      </c>
      <c r="CE1">
        <v>-3.6000000000000201</v>
      </c>
      <c r="CF1">
        <v>-3.50000000000002</v>
      </c>
      <c r="CG1">
        <v>-3.4000000000000199</v>
      </c>
      <c r="CH1">
        <v>-3.3000000000000198</v>
      </c>
      <c r="CI1">
        <v>-3.2000000000000202</v>
      </c>
      <c r="CJ1">
        <v>-3.1000000000000201</v>
      </c>
      <c r="CK1">
        <v>-3.00000000000002</v>
      </c>
      <c r="CL1">
        <v>-2.9000000000000301</v>
      </c>
      <c r="CM1">
        <v>-2.80000000000003</v>
      </c>
      <c r="CN1">
        <v>-2.7000000000000299</v>
      </c>
      <c r="CO1">
        <v>-2.6000000000000298</v>
      </c>
      <c r="CP1">
        <v>-2.5000000000000302</v>
      </c>
      <c r="CQ1">
        <v>-2.4000000000000301</v>
      </c>
      <c r="CR1">
        <v>-2.30000000000003</v>
      </c>
      <c r="CS1">
        <v>-2.2000000000000299</v>
      </c>
      <c r="CT1">
        <v>-2.1000000000000298</v>
      </c>
      <c r="CU1">
        <v>-2.0000000000000302</v>
      </c>
      <c r="CV1">
        <v>-1.9000000000000301</v>
      </c>
      <c r="CW1">
        <v>-1.80000000000003</v>
      </c>
      <c r="CX1">
        <v>-1.7000000000000299</v>
      </c>
      <c r="CY1">
        <v>-1.6000000000000301</v>
      </c>
      <c r="CZ1">
        <v>-1.50000000000003</v>
      </c>
      <c r="DA1">
        <v>-1.4000000000000301</v>
      </c>
      <c r="DB1">
        <v>-1.30000000000003</v>
      </c>
      <c r="DC1">
        <v>-1.2000000000000299</v>
      </c>
      <c r="DD1">
        <v>-1.1000000000000301</v>
      </c>
      <c r="DE1">
        <v>-1.00000000000003</v>
      </c>
      <c r="DF1">
        <v>-0.900000000000031</v>
      </c>
      <c r="DG1">
        <v>-0.80000000000002902</v>
      </c>
      <c r="DH1">
        <v>-0.70000000000002904</v>
      </c>
      <c r="DI1">
        <v>-0.60000000000002995</v>
      </c>
      <c r="DJ1">
        <v>-0.50000000000002998</v>
      </c>
      <c r="DK1">
        <v>-0.400000000000031</v>
      </c>
      <c r="DL1">
        <v>-0.30000000000002902</v>
      </c>
      <c r="DM1">
        <v>-0.20000000000002899</v>
      </c>
      <c r="DN1">
        <v>-0.100000000000041</v>
      </c>
      <c r="DO1">
        <v>-4.0856207306205799E-14</v>
      </c>
      <c r="DP1">
        <v>9.9999999999999603E-2</v>
      </c>
      <c r="DQ1">
        <v>0.19999999999999901</v>
      </c>
      <c r="DR1">
        <v>0.30000000000000099</v>
      </c>
      <c r="DS1">
        <v>0.4</v>
      </c>
      <c r="DT1">
        <v>0.5</v>
      </c>
      <c r="DU1">
        <v>0.6</v>
      </c>
      <c r="DV1">
        <v>0.69999999999999896</v>
      </c>
      <c r="DW1">
        <v>0.80000000000000104</v>
      </c>
      <c r="DX1">
        <v>0.9</v>
      </c>
      <c r="DY1">
        <v>1</v>
      </c>
      <c r="DZ1">
        <v>1.1000000000000001</v>
      </c>
      <c r="EA1">
        <v>1.2</v>
      </c>
      <c r="EB1">
        <v>1.3</v>
      </c>
      <c r="EC1">
        <v>1.4</v>
      </c>
      <c r="ED1">
        <v>1.5</v>
      </c>
      <c r="EE1">
        <v>1.6</v>
      </c>
      <c r="EF1">
        <v>1.7</v>
      </c>
      <c r="EG1">
        <v>1.8</v>
      </c>
      <c r="EH1">
        <v>1.9</v>
      </c>
      <c r="EI1">
        <v>2</v>
      </c>
      <c r="EJ1">
        <v>2.1</v>
      </c>
      <c r="EK1">
        <v>2.2000000000000002</v>
      </c>
      <c r="EL1">
        <v>2.2999999999999998</v>
      </c>
      <c r="EM1">
        <v>2.4</v>
      </c>
      <c r="EN1">
        <v>2.5</v>
      </c>
      <c r="EO1">
        <v>2.6</v>
      </c>
      <c r="EP1">
        <v>2.7</v>
      </c>
      <c r="EQ1">
        <v>2.8</v>
      </c>
      <c r="ER1">
        <v>2.9</v>
      </c>
      <c r="ES1">
        <v>3</v>
      </c>
      <c r="ET1">
        <v>3.1</v>
      </c>
      <c r="EU1">
        <v>3.2</v>
      </c>
      <c r="EV1">
        <v>3.3</v>
      </c>
      <c r="EW1">
        <v>3.4</v>
      </c>
      <c r="EX1">
        <v>3.5</v>
      </c>
      <c r="EY1">
        <v>3.6</v>
      </c>
      <c r="EZ1">
        <v>3.7</v>
      </c>
      <c r="FA1">
        <v>3.8</v>
      </c>
      <c r="FB1">
        <v>3.9</v>
      </c>
      <c r="FC1">
        <v>4</v>
      </c>
      <c r="FD1">
        <v>4.0999999999999002</v>
      </c>
      <c r="FE1">
        <v>4.1999999999998998</v>
      </c>
      <c r="FF1">
        <v>4.2999999999999003</v>
      </c>
      <c r="FG1">
        <v>4.3999999999999</v>
      </c>
      <c r="FH1">
        <v>4.4999999999998996</v>
      </c>
      <c r="FI1">
        <v>4.5999999999999002</v>
      </c>
      <c r="FJ1">
        <v>4.6999999999998998</v>
      </c>
      <c r="FK1">
        <v>4.7999999999999003</v>
      </c>
      <c r="FL1">
        <v>4.8999999999999</v>
      </c>
      <c r="FM1">
        <v>4.9999999999998996</v>
      </c>
      <c r="FN1">
        <v>5.0999999999999002</v>
      </c>
      <c r="FO1">
        <v>5.1999999999998998</v>
      </c>
      <c r="FP1">
        <v>5.2999999999999003</v>
      </c>
      <c r="FQ1">
        <v>5.3999999999999</v>
      </c>
      <c r="FR1">
        <v>5.4999999999998996</v>
      </c>
      <c r="FS1">
        <v>5.5999999999999002</v>
      </c>
      <c r="FT1">
        <v>5.6999999999998998</v>
      </c>
      <c r="FU1">
        <v>5.7999999999999003</v>
      </c>
      <c r="FV1">
        <v>5.8999999999999</v>
      </c>
      <c r="FW1">
        <v>5.9999999999998996</v>
      </c>
      <c r="FX1">
        <v>6.0999999999999002</v>
      </c>
      <c r="FY1">
        <v>6.1999999999998998</v>
      </c>
      <c r="FZ1">
        <v>6.2999999999999003</v>
      </c>
      <c r="GA1">
        <v>6.3999999999999</v>
      </c>
      <c r="GB1">
        <v>6.4999999999998996</v>
      </c>
      <c r="GC1">
        <v>6.5999999999999002</v>
      </c>
      <c r="GD1">
        <v>6.6999999999998998</v>
      </c>
      <c r="GE1">
        <v>6.7999999999999003</v>
      </c>
      <c r="GF1">
        <v>6.8999999999999</v>
      </c>
      <c r="GG1">
        <v>6.9999999999998996</v>
      </c>
      <c r="GH1">
        <v>7.0999999999999002</v>
      </c>
      <c r="GI1">
        <v>7.1999999999998998</v>
      </c>
      <c r="GJ1">
        <v>7.2999999999999003</v>
      </c>
      <c r="GK1">
        <v>7.3999999999999</v>
      </c>
      <c r="GL1">
        <v>7.4999999999998996</v>
      </c>
      <c r="GM1">
        <v>7.5999999999999002</v>
      </c>
      <c r="GN1">
        <v>7.6999999999998998</v>
      </c>
      <c r="GO1">
        <v>7.7999999999999003</v>
      </c>
      <c r="GP1">
        <v>7.8999999999999</v>
      </c>
      <c r="GQ1">
        <v>7.9999999999998996</v>
      </c>
      <c r="GR1">
        <v>8.0999999999999002</v>
      </c>
      <c r="GS1">
        <v>8.1999999999998998</v>
      </c>
      <c r="GT1">
        <v>8.2999999999998995</v>
      </c>
      <c r="GU1">
        <v>8.3999999999999009</v>
      </c>
      <c r="GV1">
        <v>8.4999999999999005</v>
      </c>
      <c r="GW1">
        <v>8.5999999999999002</v>
      </c>
      <c r="GX1">
        <v>8.6999999999998998</v>
      </c>
      <c r="GY1">
        <v>8.7999999999998995</v>
      </c>
      <c r="GZ1">
        <v>8.8999999999999009</v>
      </c>
      <c r="HA1">
        <v>8.9999999999999005</v>
      </c>
      <c r="HB1">
        <v>9.0999999999999002</v>
      </c>
      <c r="HC1">
        <v>9.1999999999998998</v>
      </c>
      <c r="HD1">
        <v>9.2999999999998995</v>
      </c>
      <c r="HE1">
        <v>9.3999999999999009</v>
      </c>
      <c r="HF1">
        <v>9.4999999999999005</v>
      </c>
      <c r="HG1">
        <v>9.5999999999999002</v>
      </c>
      <c r="HH1">
        <v>9.6999999999998998</v>
      </c>
      <c r="HI1">
        <v>9.7999999999998995</v>
      </c>
      <c r="HJ1">
        <v>9.8999999999999009</v>
      </c>
      <c r="HK1">
        <v>9.9999999999999005</v>
      </c>
      <c r="HL1" t="s">
        <v>191</v>
      </c>
      <c r="HN1">
        <f>ROUND((csv!$HG$2/10+csv!L1-5),1)</f>
        <v>-5</v>
      </c>
      <c r="HO1">
        <f>ROUND(HN1+0.1,1)</f>
        <v>-4.9000000000000004</v>
      </c>
      <c r="HP1">
        <f t="shared" ref="HP1:KA1" si="0">ROUND(HO1+0.1,1)</f>
        <v>-4.8</v>
      </c>
      <c r="HQ1">
        <f t="shared" si="0"/>
        <v>-4.7</v>
      </c>
      <c r="HR1">
        <f t="shared" si="0"/>
        <v>-4.5999999999999996</v>
      </c>
      <c r="HS1">
        <f t="shared" si="0"/>
        <v>-4.5</v>
      </c>
      <c r="HT1">
        <f t="shared" si="0"/>
        <v>-4.4000000000000004</v>
      </c>
      <c r="HU1">
        <f t="shared" si="0"/>
        <v>-4.3</v>
      </c>
      <c r="HV1">
        <f t="shared" si="0"/>
        <v>-4.2</v>
      </c>
      <c r="HW1">
        <f t="shared" si="0"/>
        <v>-4.0999999999999996</v>
      </c>
      <c r="HX1">
        <f t="shared" si="0"/>
        <v>-4</v>
      </c>
      <c r="HY1">
        <f t="shared" si="0"/>
        <v>-3.9</v>
      </c>
      <c r="HZ1">
        <f t="shared" si="0"/>
        <v>-3.8</v>
      </c>
      <c r="IA1">
        <f t="shared" si="0"/>
        <v>-3.7</v>
      </c>
      <c r="IB1">
        <f t="shared" si="0"/>
        <v>-3.6</v>
      </c>
      <c r="IC1">
        <f t="shared" si="0"/>
        <v>-3.5</v>
      </c>
      <c r="ID1">
        <f t="shared" si="0"/>
        <v>-3.4</v>
      </c>
      <c r="IE1">
        <f t="shared" si="0"/>
        <v>-3.3</v>
      </c>
      <c r="IF1">
        <f t="shared" si="0"/>
        <v>-3.2</v>
      </c>
      <c r="IG1">
        <f t="shared" si="0"/>
        <v>-3.1</v>
      </c>
      <c r="IH1">
        <f t="shared" si="0"/>
        <v>-3</v>
      </c>
      <c r="II1">
        <f t="shared" si="0"/>
        <v>-2.9</v>
      </c>
      <c r="IJ1">
        <f t="shared" si="0"/>
        <v>-2.8</v>
      </c>
      <c r="IK1">
        <f t="shared" si="0"/>
        <v>-2.7</v>
      </c>
      <c r="IL1">
        <f t="shared" si="0"/>
        <v>-2.6</v>
      </c>
      <c r="IM1">
        <f t="shared" si="0"/>
        <v>-2.5</v>
      </c>
      <c r="IN1">
        <f t="shared" si="0"/>
        <v>-2.4</v>
      </c>
      <c r="IO1">
        <f t="shared" si="0"/>
        <v>-2.2999999999999998</v>
      </c>
      <c r="IP1">
        <f t="shared" si="0"/>
        <v>-2.2000000000000002</v>
      </c>
      <c r="IQ1">
        <f t="shared" si="0"/>
        <v>-2.1</v>
      </c>
      <c r="IR1">
        <f t="shared" si="0"/>
        <v>-2</v>
      </c>
      <c r="IS1">
        <f t="shared" si="0"/>
        <v>-1.9</v>
      </c>
      <c r="IT1">
        <f t="shared" si="0"/>
        <v>-1.8</v>
      </c>
      <c r="IU1">
        <f t="shared" si="0"/>
        <v>-1.7</v>
      </c>
      <c r="IV1">
        <f t="shared" si="0"/>
        <v>-1.6</v>
      </c>
      <c r="IW1">
        <f t="shared" si="0"/>
        <v>-1.5</v>
      </c>
      <c r="IX1">
        <f t="shared" si="0"/>
        <v>-1.4</v>
      </c>
      <c r="IY1">
        <f t="shared" si="0"/>
        <v>-1.3</v>
      </c>
      <c r="IZ1">
        <f t="shared" si="0"/>
        <v>-1.2</v>
      </c>
      <c r="JA1">
        <f t="shared" si="0"/>
        <v>-1.1000000000000001</v>
      </c>
      <c r="JB1">
        <f t="shared" si="0"/>
        <v>-1</v>
      </c>
      <c r="JC1">
        <f t="shared" si="0"/>
        <v>-0.9</v>
      </c>
      <c r="JD1">
        <f t="shared" si="0"/>
        <v>-0.8</v>
      </c>
      <c r="JE1">
        <f t="shared" si="0"/>
        <v>-0.7</v>
      </c>
      <c r="JF1">
        <f t="shared" si="0"/>
        <v>-0.6</v>
      </c>
      <c r="JG1">
        <f t="shared" si="0"/>
        <v>-0.5</v>
      </c>
      <c r="JH1">
        <f t="shared" si="0"/>
        <v>-0.4</v>
      </c>
      <c r="JI1">
        <f t="shared" si="0"/>
        <v>-0.3</v>
      </c>
      <c r="JJ1">
        <f t="shared" si="0"/>
        <v>-0.2</v>
      </c>
      <c r="JK1">
        <f t="shared" si="0"/>
        <v>-0.1</v>
      </c>
      <c r="JL1">
        <f t="shared" si="0"/>
        <v>0</v>
      </c>
      <c r="JM1">
        <f t="shared" si="0"/>
        <v>0.1</v>
      </c>
      <c r="JN1">
        <f t="shared" si="0"/>
        <v>0.2</v>
      </c>
      <c r="JO1">
        <f t="shared" si="0"/>
        <v>0.3</v>
      </c>
      <c r="JP1">
        <f t="shared" si="0"/>
        <v>0.4</v>
      </c>
      <c r="JQ1">
        <f t="shared" si="0"/>
        <v>0.5</v>
      </c>
      <c r="JR1">
        <f t="shared" si="0"/>
        <v>0.6</v>
      </c>
      <c r="JS1">
        <f t="shared" si="0"/>
        <v>0.7</v>
      </c>
      <c r="JT1">
        <f t="shared" si="0"/>
        <v>0.8</v>
      </c>
      <c r="JU1">
        <f t="shared" si="0"/>
        <v>0.9</v>
      </c>
      <c r="JV1">
        <f t="shared" si="0"/>
        <v>1</v>
      </c>
      <c r="JW1">
        <f t="shared" si="0"/>
        <v>1.1000000000000001</v>
      </c>
      <c r="JX1">
        <f t="shared" si="0"/>
        <v>1.2</v>
      </c>
      <c r="JY1">
        <f t="shared" si="0"/>
        <v>1.3</v>
      </c>
      <c r="JZ1">
        <f t="shared" si="0"/>
        <v>1.4</v>
      </c>
      <c r="KA1">
        <f t="shared" si="0"/>
        <v>1.5</v>
      </c>
      <c r="KB1">
        <f t="shared" ref="KB1:MM1" si="1">ROUND(KA1+0.1,1)</f>
        <v>1.6</v>
      </c>
      <c r="KC1">
        <f t="shared" si="1"/>
        <v>1.7</v>
      </c>
      <c r="KD1">
        <f t="shared" si="1"/>
        <v>1.8</v>
      </c>
      <c r="KE1">
        <f t="shared" si="1"/>
        <v>1.9</v>
      </c>
      <c r="KF1">
        <f t="shared" si="1"/>
        <v>2</v>
      </c>
      <c r="KG1">
        <f t="shared" si="1"/>
        <v>2.1</v>
      </c>
      <c r="KH1">
        <f t="shared" si="1"/>
        <v>2.2000000000000002</v>
      </c>
      <c r="KI1">
        <f t="shared" si="1"/>
        <v>2.2999999999999998</v>
      </c>
      <c r="KJ1">
        <f t="shared" si="1"/>
        <v>2.4</v>
      </c>
      <c r="KK1">
        <f t="shared" si="1"/>
        <v>2.5</v>
      </c>
      <c r="KL1">
        <f t="shared" si="1"/>
        <v>2.6</v>
      </c>
      <c r="KM1">
        <f t="shared" si="1"/>
        <v>2.7</v>
      </c>
      <c r="KN1">
        <f t="shared" si="1"/>
        <v>2.8</v>
      </c>
      <c r="KO1">
        <f t="shared" si="1"/>
        <v>2.9</v>
      </c>
      <c r="KP1">
        <f t="shared" si="1"/>
        <v>3</v>
      </c>
      <c r="KQ1">
        <f t="shared" si="1"/>
        <v>3.1</v>
      </c>
      <c r="KR1">
        <f t="shared" si="1"/>
        <v>3.2</v>
      </c>
      <c r="KS1">
        <f t="shared" si="1"/>
        <v>3.3</v>
      </c>
      <c r="KT1">
        <f t="shared" si="1"/>
        <v>3.4</v>
      </c>
      <c r="KU1">
        <f t="shared" si="1"/>
        <v>3.5</v>
      </c>
      <c r="KV1">
        <f t="shared" si="1"/>
        <v>3.6</v>
      </c>
      <c r="KW1">
        <f t="shared" si="1"/>
        <v>3.7</v>
      </c>
      <c r="KX1">
        <f t="shared" si="1"/>
        <v>3.8</v>
      </c>
      <c r="KY1">
        <f t="shared" si="1"/>
        <v>3.9</v>
      </c>
      <c r="KZ1">
        <f t="shared" si="1"/>
        <v>4</v>
      </c>
      <c r="LA1">
        <f t="shared" si="1"/>
        <v>4.0999999999999996</v>
      </c>
      <c r="LB1">
        <f t="shared" si="1"/>
        <v>4.2</v>
      </c>
      <c r="LC1">
        <f t="shared" si="1"/>
        <v>4.3</v>
      </c>
      <c r="LD1">
        <f t="shared" si="1"/>
        <v>4.4000000000000004</v>
      </c>
      <c r="LE1">
        <f t="shared" si="1"/>
        <v>4.5</v>
      </c>
      <c r="LF1">
        <f t="shared" si="1"/>
        <v>4.5999999999999996</v>
      </c>
      <c r="LG1">
        <f t="shared" si="1"/>
        <v>4.7</v>
      </c>
      <c r="LH1">
        <f t="shared" si="1"/>
        <v>4.8</v>
      </c>
      <c r="LI1">
        <f t="shared" si="1"/>
        <v>4.9000000000000004</v>
      </c>
      <c r="LJ1">
        <f t="shared" si="1"/>
        <v>5</v>
      </c>
      <c r="LK1">
        <f t="shared" si="1"/>
        <v>5.0999999999999996</v>
      </c>
      <c r="LL1">
        <f t="shared" si="1"/>
        <v>5.2</v>
      </c>
      <c r="LM1">
        <f t="shared" si="1"/>
        <v>5.3</v>
      </c>
      <c r="LN1">
        <f t="shared" si="1"/>
        <v>5.4</v>
      </c>
      <c r="LO1">
        <f t="shared" si="1"/>
        <v>5.5</v>
      </c>
      <c r="LP1">
        <f t="shared" si="1"/>
        <v>5.6</v>
      </c>
      <c r="LQ1">
        <f t="shared" si="1"/>
        <v>5.7</v>
      </c>
      <c r="LR1">
        <f t="shared" si="1"/>
        <v>5.8</v>
      </c>
      <c r="LS1">
        <f t="shared" si="1"/>
        <v>5.9</v>
      </c>
      <c r="LT1">
        <f t="shared" si="1"/>
        <v>6</v>
      </c>
      <c r="LU1">
        <f t="shared" si="1"/>
        <v>6.1</v>
      </c>
      <c r="LV1">
        <f t="shared" si="1"/>
        <v>6.2</v>
      </c>
      <c r="LW1">
        <f t="shared" si="1"/>
        <v>6.3</v>
      </c>
      <c r="LX1">
        <f t="shared" si="1"/>
        <v>6.4</v>
      </c>
      <c r="LY1">
        <f t="shared" si="1"/>
        <v>6.5</v>
      </c>
      <c r="LZ1">
        <f t="shared" si="1"/>
        <v>6.6</v>
      </c>
      <c r="MA1">
        <f t="shared" si="1"/>
        <v>6.7</v>
      </c>
      <c r="MB1">
        <f t="shared" si="1"/>
        <v>6.8</v>
      </c>
      <c r="MC1">
        <f t="shared" si="1"/>
        <v>6.9</v>
      </c>
      <c r="MD1">
        <f t="shared" si="1"/>
        <v>7</v>
      </c>
      <c r="ME1">
        <f t="shared" si="1"/>
        <v>7.1</v>
      </c>
      <c r="MF1">
        <f t="shared" si="1"/>
        <v>7.2</v>
      </c>
      <c r="MG1">
        <f t="shared" si="1"/>
        <v>7.3</v>
      </c>
      <c r="MH1">
        <f t="shared" si="1"/>
        <v>7.4</v>
      </c>
      <c r="MI1">
        <f t="shared" si="1"/>
        <v>7.5</v>
      </c>
      <c r="MJ1">
        <f t="shared" si="1"/>
        <v>7.6</v>
      </c>
      <c r="MK1">
        <f t="shared" si="1"/>
        <v>7.7</v>
      </c>
      <c r="ML1">
        <f t="shared" si="1"/>
        <v>7.8</v>
      </c>
      <c r="MM1">
        <f t="shared" si="1"/>
        <v>7.9</v>
      </c>
      <c r="MN1">
        <f t="shared" ref="MN1:OY1" si="2">ROUND(MM1+0.1,1)</f>
        <v>8</v>
      </c>
      <c r="MO1">
        <f t="shared" si="2"/>
        <v>8.1</v>
      </c>
      <c r="MP1">
        <f t="shared" si="2"/>
        <v>8.1999999999999993</v>
      </c>
      <c r="MQ1">
        <f t="shared" si="2"/>
        <v>8.3000000000000007</v>
      </c>
      <c r="MR1">
        <f t="shared" si="2"/>
        <v>8.4</v>
      </c>
      <c r="MS1">
        <f t="shared" si="2"/>
        <v>8.5</v>
      </c>
      <c r="MT1">
        <f t="shared" si="2"/>
        <v>8.6</v>
      </c>
      <c r="MU1">
        <f t="shared" si="2"/>
        <v>8.6999999999999993</v>
      </c>
      <c r="MV1">
        <f t="shared" si="2"/>
        <v>8.8000000000000007</v>
      </c>
      <c r="MW1">
        <f t="shared" si="2"/>
        <v>8.9</v>
      </c>
      <c r="MX1">
        <f t="shared" si="2"/>
        <v>9</v>
      </c>
      <c r="MY1">
        <f t="shared" si="2"/>
        <v>9.1</v>
      </c>
      <c r="MZ1">
        <f t="shared" si="2"/>
        <v>9.1999999999999993</v>
      </c>
      <c r="NA1">
        <f t="shared" si="2"/>
        <v>9.3000000000000007</v>
      </c>
      <c r="NB1">
        <f t="shared" si="2"/>
        <v>9.4</v>
      </c>
      <c r="NC1">
        <f t="shared" si="2"/>
        <v>9.5</v>
      </c>
      <c r="ND1">
        <f t="shared" si="2"/>
        <v>9.6</v>
      </c>
      <c r="NE1">
        <f t="shared" si="2"/>
        <v>9.6999999999999993</v>
      </c>
      <c r="NF1">
        <f t="shared" si="2"/>
        <v>9.8000000000000007</v>
      </c>
      <c r="NG1">
        <f t="shared" si="2"/>
        <v>9.9</v>
      </c>
      <c r="NH1">
        <f t="shared" si="2"/>
        <v>10</v>
      </c>
      <c r="NI1">
        <f t="shared" si="2"/>
        <v>10.1</v>
      </c>
      <c r="NJ1">
        <f t="shared" si="2"/>
        <v>10.199999999999999</v>
      </c>
      <c r="NK1">
        <f t="shared" si="2"/>
        <v>10.3</v>
      </c>
      <c r="NL1">
        <f t="shared" si="2"/>
        <v>10.4</v>
      </c>
      <c r="NM1">
        <f t="shared" si="2"/>
        <v>10.5</v>
      </c>
      <c r="NN1">
        <f t="shared" si="2"/>
        <v>10.6</v>
      </c>
      <c r="NO1">
        <f t="shared" si="2"/>
        <v>10.7</v>
      </c>
      <c r="NP1">
        <f t="shared" si="2"/>
        <v>10.8</v>
      </c>
      <c r="NQ1">
        <f t="shared" si="2"/>
        <v>10.9</v>
      </c>
      <c r="NR1">
        <f t="shared" si="2"/>
        <v>11</v>
      </c>
      <c r="NS1">
        <f t="shared" si="2"/>
        <v>11.1</v>
      </c>
      <c r="NT1">
        <f t="shared" si="2"/>
        <v>11.2</v>
      </c>
      <c r="NU1">
        <f t="shared" si="2"/>
        <v>11.3</v>
      </c>
      <c r="NV1">
        <f t="shared" si="2"/>
        <v>11.4</v>
      </c>
      <c r="NW1">
        <f t="shared" si="2"/>
        <v>11.5</v>
      </c>
      <c r="NX1">
        <f t="shared" si="2"/>
        <v>11.6</v>
      </c>
      <c r="NY1">
        <f t="shared" si="2"/>
        <v>11.7</v>
      </c>
      <c r="NZ1">
        <f t="shared" si="2"/>
        <v>11.8</v>
      </c>
      <c r="OA1">
        <f t="shared" si="2"/>
        <v>11.9</v>
      </c>
      <c r="OB1">
        <f t="shared" si="2"/>
        <v>12</v>
      </c>
      <c r="OC1">
        <f t="shared" si="2"/>
        <v>12.1</v>
      </c>
      <c r="OD1">
        <f t="shared" si="2"/>
        <v>12.2</v>
      </c>
      <c r="OE1">
        <f t="shared" si="2"/>
        <v>12.3</v>
      </c>
      <c r="OF1">
        <f t="shared" si="2"/>
        <v>12.4</v>
      </c>
      <c r="OG1">
        <f t="shared" si="2"/>
        <v>12.5</v>
      </c>
      <c r="OH1">
        <f t="shared" si="2"/>
        <v>12.6</v>
      </c>
      <c r="OI1">
        <f t="shared" si="2"/>
        <v>12.7</v>
      </c>
      <c r="OJ1">
        <f t="shared" si="2"/>
        <v>12.8</v>
      </c>
      <c r="OK1">
        <f t="shared" si="2"/>
        <v>12.9</v>
      </c>
      <c r="OL1">
        <f t="shared" si="2"/>
        <v>13</v>
      </c>
      <c r="OM1">
        <f t="shared" si="2"/>
        <v>13.1</v>
      </c>
      <c r="ON1">
        <f t="shared" si="2"/>
        <v>13.2</v>
      </c>
      <c r="OO1">
        <f t="shared" si="2"/>
        <v>13.3</v>
      </c>
      <c r="OP1">
        <f t="shared" si="2"/>
        <v>13.4</v>
      </c>
      <c r="OQ1">
        <f t="shared" si="2"/>
        <v>13.5</v>
      </c>
      <c r="OR1">
        <f t="shared" si="2"/>
        <v>13.6</v>
      </c>
      <c r="OS1">
        <f t="shared" si="2"/>
        <v>13.7</v>
      </c>
      <c r="OT1">
        <f t="shared" si="2"/>
        <v>13.8</v>
      </c>
      <c r="OU1">
        <f t="shared" si="2"/>
        <v>13.9</v>
      </c>
      <c r="OV1">
        <f t="shared" si="2"/>
        <v>14</v>
      </c>
      <c r="OW1">
        <f t="shared" si="2"/>
        <v>14.1</v>
      </c>
      <c r="OX1">
        <f t="shared" si="2"/>
        <v>14.2</v>
      </c>
      <c r="OY1">
        <f t="shared" si="2"/>
        <v>14.3</v>
      </c>
      <c r="OZ1">
        <f t="shared" ref="OZ1:RK1" si="3">ROUND(OY1+0.1,1)</f>
        <v>14.4</v>
      </c>
      <c r="PA1">
        <f t="shared" si="3"/>
        <v>14.5</v>
      </c>
      <c r="PB1">
        <f t="shared" si="3"/>
        <v>14.6</v>
      </c>
      <c r="PC1">
        <f t="shared" si="3"/>
        <v>14.7</v>
      </c>
      <c r="PD1">
        <f t="shared" si="3"/>
        <v>14.8</v>
      </c>
      <c r="PE1">
        <f t="shared" si="3"/>
        <v>14.9</v>
      </c>
      <c r="PF1">
        <f t="shared" si="3"/>
        <v>15</v>
      </c>
      <c r="PG1">
        <f t="shared" si="3"/>
        <v>15.1</v>
      </c>
      <c r="PH1">
        <f t="shared" si="3"/>
        <v>15.2</v>
      </c>
      <c r="PI1">
        <f t="shared" si="3"/>
        <v>15.3</v>
      </c>
      <c r="PJ1">
        <f t="shared" si="3"/>
        <v>15.4</v>
      </c>
      <c r="PK1">
        <f t="shared" si="3"/>
        <v>15.5</v>
      </c>
      <c r="PL1">
        <f t="shared" si="3"/>
        <v>15.6</v>
      </c>
      <c r="PM1">
        <f t="shared" si="3"/>
        <v>15.7</v>
      </c>
      <c r="PN1">
        <f t="shared" si="3"/>
        <v>15.8</v>
      </c>
      <c r="PO1">
        <f t="shared" si="3"/>
        <v>15.9</v>
      </c>
      <c r="PP1">
        <f t="shared" si="3"/>
        <v>16</v>
      </c>
      <c r="PQ1">
        <f t="shared" si="3"/>
        <v>16.100000000000001</v>
      </c>
      <c r="PR1">
        <f t="shared" si="3"/>
        <v>16.2</v>
      </c>
      <c r="PS1">
        <f t="shared" si="3"/>
        <v>16.3</v>
      </c>
      <c r="PT1">
        <f t="shared" si="3"/>
        <v>16.399999999999999</v>
      </c>
      <c r="PU1">
        <f t="shared" si="3"/>
        <v>16.5</v>
      </c>
      <c r="PV1">
        <f t="shared" si="3"/>
        <v>16.600000000000001</v>
      </c>
      <c r="PW1">
        <f t="shared" si="3"/>
        <v>16.7</v>
      </c>
      <c r="PX1">
        <f t="shared" si="3"/>
        <v>16.8</v>
      </c>
      <c r="PY1">
        <f t="shared" si="3"/>
        <v>16.899999999999999</v>
      </c>
      <c r="PZ1">
        <f t="shared" si="3"/>
        <v>17</v>
      </c>
      <c r="QA1">
        <f t="shared" si="3"/>
        <v>17.100000000000001</v>
      </c>
      <c r="QB1">
        <f t="shared" si="3"/>
        <v>17.2</v>
      </c>
      <c r="QC1">
        <f t="shared" si="3"/>
        <v>17.3</v>
      </c>
      <c r="QD1">
        <f t="shared" si="3"/>
        <v>17.399999999999999</v>
      </c>
      <c r="QE1">
        <f t="shared" si="3"/>
        <v>17.5</v>
      </c>
      <c r="QF1">
        <f t="shared" si="3"/>
        <v>17.600000000000001</v>
      </c>
      <c r="QG1">
        <f t="shared" si="3"/>
        <v>17.7</v>
      </c>
      <c r="QH1">
        <f t="shared" si="3"/>
        <v>17.8</v>
      </c>
      <c r="QI1">
        <f t="shared" si="3"/>
        <v>17.899999999999999</v>
      </c>
      <c r="QJ1">
        <f t="shared" si="3"/>
        <v>18</v>
      </c>
      <c r="QK1">
        <f t="shared" si="3"/>
        <v>18.100000000000001</v>
      </c>
      <c r="QL1">
        <f t="shared" si="3"/>
        <v>18.2</v>
      </c>
      <c r="QM1">
        <f t="shared" si="3"/>
        <v>18.3</v>
      </c>
      <c r="QN1">
        <f t="shared" si="3"/>
        <v>18.399999999999999</v>
      </c>
      <c r="QO1">
        <f t="shared" si="3"/>
        <v>18.5</v>
      </c>
      <c r="QP1">
        <f t="shared" si="3"/>
        <v>18.600000000000001</v>
      </c>
      <c r="QQ1">
        <f t="shared" si="3"/>
        <v>18.7</v>
      </c>
      <c r="QR1">
        <f t="shared" si="3"/>
        <v>18.8</v>
      </c>
      <c r="QS1">
        <f t="shared" si="3"/>
        <v>18.899999999999999</v>
      </c>
      <c r="QT1">
        <f t="shared" si="3"/>
        <v>19</v>
      </c>
      <c r="QU1">
        <f t="shared" si="3"/>
        <v>19.100000000000001</v>
      </c>
      <c r="QV1">
        <f t="shared" si="3"/>
        <v>19.2</v>
      </c>
      <c r="QW1">
        <f t="shared" si="3"/>
        <v>19.3</v>
      </c>
      <c r="QX1">
        <f t="shared" si="3"/>
        <v>19.399999999999999</v>
      </c>
      <c r="QY1">
        <f t="shared" si="3"/>
        <v>19.5</v>
      </c>
      <c r="QZ1">
        <f t="shared" si="3"/>
        <v>19.600000000000001</v>
      </c>
      <c r="RA1">
        <f t="shared" si="3"/>
        <v>19.7</v>
      </c>
      <c r="RB1">
        <f t="shared" si="3"/>
        <v>19.8</v>
      </c>
      <c r="RC1">
        <f t="shared" si="3"/>
        <v>19.899999999999999</v>
      </c>
      <c r="RD1">
        <f t="shared" si="3"/>
        <v>20</v>
      </c>
      <c r="RE1">
        <f t="shared" si="3"/>
        <v>20.100000000000001</v>
      </c>
      <c r="RF1">
        <f t="shared" si="3"/>
        <v>20.2</v>
      </c>
      <c r="RG1">
        <f t="shared" si="3"/>
        <v>20.3</v>
      </c>
      <c r="RH1">
        <f t="shared" si="3"/>
        <v>20.399999999999999</v>
      </c>
      <c r="RI1">
        <f t="shared" si="3"/>
        <v>20.5</v>
      </c>
      <c r="RJ1">
        <f t="shared" si="3"/>
        <v>20.6</v>
      </c>
      <c r="RK1">
        <f t="shared" si="3"/>
        <v>20.7</v>
      </c>
      <c r="RL1">
        <f t="shared" ref="RL1:TB1" si="4">ROUND(RK1+0.1,1)</f>
        <v>20.8</v>
      </c>
      <c r="RM1">
        <f t="shared" si="4"/>
        <v>20.9</v>
      </c>
      <c r="RN1">
        <f t="shared" si="4"/>
        <v>21</v>
      </c>
      <c r="RO1">
        <f t="shared" si="4"/>
        <v>21.1</v>
      </c>
      <c r="RP1">
        <f t="shared" si="4"/>
        <v>21.2</v>
      </c>
      <c r="RQ1">
        <f t="shared" si="4"/>
        <v>21.3</v>
      </c>
      <c r="RR1">
        <f t="shared" si="4"/>
        <v>21.4</v>
      </c>
      <c r="RS1">
        <f t="shared" si="4"/>
        <v>21.5</v>
      </c>
      <c r="RT1">
        <f t="shared" si="4"/>
        <v>21.6</v>
      </c>
      <c r="RU1">
        <f t="shared" si="4"/>
        <v>21.7</v>
      </c>
      <c r="RV1">
        <f t="shared" si="4"/>
        <v>21.8</v>
      </c>
      <c r="RW1">
        <f t="shared" si="4"/>
        <v>21.9</v>
      </c>
      <c r="RX1">
        <f t="shared" si="4"/>
        <v>22</v>
      </c>
      <c r="RY1">
        <f t="shared" si="4"/>
        <v>22.1</v>
      </c>
      <c r="RZ1">
        <f t="shared" si="4"/>
        <v>22.2</v>
      </c>
      <c r="SA1">
        <f t="shared" si="4"/>
        <v>22.3</v>
      </c>
      <c r="SB1">
        <f t="shared" si="4"/>
        <v>22.4</v>
      </c>
      <c r="SC1">
        <f t="shared" si="4"/>
        <v>22.5</v>
      </c>
      <c r="SD1">
        <f t="shared" si="4"/>
        <v>22.6</v>
      </c>
      <c r="SE1">
        <f t="shared" si="4"/>
        <v>22.7</v>
      </c>
      <c r="SF1">
        <f t="shared" si="4"/>
        <v>22.8</v>
      </c>
      <c r="SG1">
        <f t="shared" si="4"/>
        <v>22.9</v>
      </c>
      <c r="SH1">
        <f t="shared" si="4"/>
        <v>23</v>
      </c>
      <c r="SI1">
        <f t="shared" si="4"/>
        <v>23.1</v>
      </c>
      <c r="SJ1">
        <f t="shared" si="4"/>
        <v>23.2</v>
      </c>
      <c r="SK1">
        <f t="shared" si="4"/>
        <v>23.3</v>
      </c>
      <c r="SL1">
        <f t="shared" si="4"/>
        <v>23.4</v>
      </c>
      <c r="SM1">
        <f t="shared" si="4"/>
        <v>23.5</v>
      </c>
      <c r="SN1">
        <f t="shared" si="4"/>
        <v>23.6</v>
      </c>
      <c r="SO1">
        <f t="shared" si="4"/>
        <v>23.7</v>
      </c>
      <c r="SP1">
        <f t="shared" si="4"/>
        <v>23.8</v>
      </c>
      <c r="SQ1">
        <f t="shared" si="4"/>
        <v>23.9</v>
      </c>
      <c r="SR1">
        <f t="shared" si="4"/>
        <v>24</v>
      </c>
      <c r="SS1">
        <f t="shared" si="4"/>
        <v>24.1</v>
      </c>
      <c r="ST1">
        <f t="shared" si="4"/>
        <v>24.2</v>
      </c>
      <c r="SU1">
        <f t="shared" si="4"/>
        <v>24.3</v>
      </c>
      <c r="SV1">
        <f t="shared" si="4"/>
        <v>24.4</v>
      </c>
      <c r="SW1">
        <f t="shared" si="4"/>
        <v>24.5</v>
      </c>
      <c r="SX1">
        <f t="shared" si="4"/>
        <v>24.6</v>
      </c>
      <c r="SY1">
        <f t="shared" si="4"/>
        <v>24.7</v>
      </c>
      <c r="SZ1">
        <f t="shared" si="4"/>
        <v>24.8</v>
      </c>
      <c r="TA1">
        <f t="shared" si="4"/>
        <v>24.9</v>
      </c>
      <c r="TB1">
        <f t="shared" si="4"/>
        <v>25</v>
      </c>
      <c r="TD1" t="s">
        <v>200</v>
      </c>
    </row>
    <row r="2" spans="1:524" x14ac:dyDescent="0.15">
      <c r="A2" s="3" t="str">
        <f>csv!A1&amp;"/"&amp;csv!B1&amp;"/"&amp;csv!C1</f>
        <v>//</v>
      </c>
      <c r="C2" s="32" t="str">
        <f>TEXT(csv!B2&amp;"/"&amp;csv!C2&amp;"-"&amp;csv!E2&amp;"/"&amp;csv!F2,"mm/dd")</f>
        <v>/-/</v>
      </c>
      <c r="D2">
        <f>csv!A2*10000+csv!B2*100+csv!C2</f>
        <v>0</v>
      </c>
      <c r="E2">
        <f>(IF(csv!HG2&lt;-1000,NA(),csv!HG2)+csv!K2)/10</f>
        <v>0</v>
      </c>
      <c r="F2">
        <f>(IF(csv!HG15&lt;-1000,NA(),csv!HG15)+csv!K15)/10</f>
        <v>0</v>
      </c>
      <c r="G2">
        <f>(IF(csv!HG28&lt;-1000,NA(),csv!HG28)+csv!K28)/10</f>
        <v>0</v>
      </c>
      <c r="H2">
        <f>IF(csv!HG2&lt;-1000,NA(),csv!HG2/10)</f>
        <v>0</v>
      </c>
      <c r="I2">
        <f>IF(csv!HG15&lt;-1000,NA(),csv!HG15/10)</f>
        <v>0</v>
      </c>
      <c r="J2">
        <f>IF(csv!HG28&lt;-1000,NA(),csv!HG28/10)</f>
        <v>0</v>
      </c>
      <c r="K2">
        <f>IF(csv!HF2&lt;-1000,NA(),csv!HF2/10)</f>
        <v>0</v>
      </c>
      <c r="L2">
        <f>IF(csv!HF15&lt;-1000,NA(),csv!HF15/10)</f>
        <v>0</v>
      </c>
      <c r="M2">
        <f>IF(csv!HF28&lt;-1000,NA(),csv!HF28/10)</f>
        <v>0</v>
      </c>
      <c r="N2">
        <f>IF(csv!HE2&lt;-1000,NA(),csv!HE2/10)</f>
        <v>0</v>
      </c>
      <c r="O2">
        <f>IF(csv!HE15&lt;-1000,NA(),csv!HE15/10)</f>
        <v>0</v>
      </c>
      <c r="P2">
        <f>IF(csv!HE28&lt;-1000,NA(),csv!HE28/10)</f>
        <v>0</v>
      </c>
      <c r="R2" t="s">
        <v>178</v>
      </c>
      <c r="S2" s="4">
        <f>ROUND((csv!$HG2/10+calc!S$1),1)</f>
        <v>-10</v>
      </c>
      <c r="T2" s="4">
        <f>ROUND((csv!$HG2/10+calc!T$1),1)</f>
        <v>-9.9</v>
      </c>
      <c r="U2" s="4">
        <f>ROUND((csv!$HG2/10+calc!U$1),1)</f>
        <v>-9.8000000000000007</v>
      </c>
      <c r="V2" s="4">
        <f>ROUND((csv!$HG2/10+calc!V$1),1)</f>
        <v>-9.6999999999999993</v>
      </c>
      <c r="W2" s="4">
        <f>ROUND((csv!$HG2/10+calc!W$1),1)</f>
        <v>-9.6</v>
      </c>
      <c r="X2" s="4">
        <f>ROUND((csv!$HG2/10+calc!X$1),1)</f>
        <v>-9.5</v>
      </c>
      <c r="Y2" s="4">
        <f>ROUND((csv!$HG2/10+calc!Y$1),1)</f>
        <v>-9.4</v>
      </c>
      <c r="Z2" s="4">
        <f>ROUND((csv!$HG2/10+calc!Z$1),1)</f>
        <v>-9.3000000000000007</v>
      </c>
      <c r="AA2" s="4">
        <f>ROUND((csv!$HG2/10+calc!AA$1),1)</f>
        <v>-9.1999999999999993</v>
      </c>
      <c r="AB2" s="4">
        <f>ROUND((csv!$HG2/10+calc!AB$1),1)</f>
        <v>-9.1</v>
      </c>
      <c r="AC2" s="4">
        <f>ROUND((csv!$HG2/10+calc!AC$1),1)</f>
        <v>-9</v>
      </c>
      <c r="AD2" s="4">
        <f>ROUND((csv!$HG2/10+calc!AD$1),1)</f>
        <v>-8.9</v>
      </c>
      <c r="AE2" s="4">
        <f>ROUND((csv!$HG2/10+calc!AE$1),1)</f>
        <v>-8.8000000000000007</v>
      </c>
      <c r="AF2" s="4">
        <f>ROUND((csv!$HG2/10+calc!AF$1),1)</f>
        <v>-8.6999999999999993</v>
      </c>
      <c r="AG2" s="4">
        <f>ROUND((csv!$HG2/10+calc!AG$1),1)</f>
        <v>-8.6</v>
      </c>
      <c r="AH2" s="4">
        <f>ROUND((csv!$HG2/10+calc!AH$1),1)</f>
        <v>-8.5</v>
      </c>
      <c r="AI2" s="4">
        <f>ROUND((csv!$HG2/10+calc!AI$1),1)</f>
        <v>-8.4</v>
      </c>
      <c r="AJ2" s="4">
        <f>ROUND((csv!$HG2/10+calc!AJ$1),1)</f>
        <v>-8.3000000000000007</v>
      </c>
      <c r="AK2" s="4">
        <f>ROUND((csv!$HG2/10+calc!AK$1),1)</f>
        <v>-8.1999999999999993</v>
      </c>
      <c r="AL2" s="4">
        <f>ROUND((csv!$HG2/10+calc!AL$1),1)</f>
        <v>-8.1</v>
      </c>
      <c r="AM2" s="4">
        <f>ROUND((csv!$HG2/10+calc!AM$1),1)</f>
        <v>-8</v>
      </c>
      <c r="AN2" s="4">
        <f>ROUND((csv!$HG2/10+calc!AN$1),1)</f>
        <v>-7.9</v>
      </c>
      <c r="AO2" s="4">
        <f>ROUND((csv!$HG2/10+calc!AO$1),1)</f>
        <v>-7.8</v>
      </c>
      <c r="AP2" s="4">
        <f>ROUND((csv!$HG2/10+calc!AP$1),1)</f>
        <v>-7.7</v>
      </c>
      <c r="AQ2" s="4">
        <f>ROUND((csv!$HG2/10+calc!AQ$1),1)</f>
        <v>-7.6</v>
      </c>
      <c r="AR2" s="4">
        <f>ROUND((csv!$HG2/10+calc!AR$1),1)</f>
        <v>-7.5</v>
      </c>
      <c r="AS2" s="4">
        <f>ROUND((csv!$HG2/10+calc!AS$1),1)</f>
        <v>-7.4</v>
      </c>
      <c r="AT2" s="4">
        <f>ROUND((csv!$HG2/10+calc!AT$1),1)</f>
        <v>-7.3</v>
      </c>
      <c r="AU2" s="4">
        <f>ROUND((csv!$HG2/10+calc!AU$1),1)</f>
        <v>-7.2</v>
      </c>
      <c r="AV2" s="4">
        <f>ROUND((csv!$HG2/10+calc!AV$1),1)</f>
        <v>-7.1</v>
      </c>
      <c r="AW2" s="4">
        <f>ROUND((csv!$HG2/10+calc!AW$1),1)</f>
        <v>-7</v>
      </c>
      <c r="AX2" s="4">
        <f>ROUND((csv!$HG2/10+calc!AX$1),1)</f>
        <v>-6.9</v>
      </c>
      <c r="AY2" s="4">
        <f>ROUND((csv!$HG2/10+calc!AY$1),1)</f>
        <v>-6.8</v>
      </c>
      <c r="AZ2" s="4">
        <f>ROUND((csv!$HG2/10+calc!AZ$1),1)</f>
        <v>-6.7</v>
      </c>
      <c r="BA2" s="4">
        <f>ROUND((csv!$HG2/10+calc!BA$1),1)</f>
        <v>-6.6</v>
      </c>
      <c r="BB2" s="4">
        <f>ROUND((csv!$HG2/10+calc!BB$1),1)</f>
        <v>-6.5</v>
      </c>
      <c r="BC2" s="4">
        <f>ROUND((csv!$HG2/10+calc!BC$1),1)</f>
        <v>-6.4</v>
      </c>
      <c r="BD2" s="4">
        <f>ROUND((csv!$HG2/10+calc!BD$1),1)</f>
        <v>-6.3</v>
      </c>
      <c r="BE2" s="4">
        <f>ROUND((csv!$HG2/10+calc!BE$1),1)</f>
        <v>-6.2</v>
      </c>
      <c r="BF2" s="4">
        <f>ROUND((csv!$HG2/10+calc!BF$1),1)</f>
        <v>-6.1</v>
      </c>
      <c r="BG2" s="4">
        <f>ROUND((csv!$HG2/10+calc!BG$1),1)</f>
        <v>-6</v>
      </c>
      <c r="BH2" s="4">
        <f>ROUND((csv!$HG2/10+calc!BH$1),1)</f>
        <v>-5.9</v>
      </c>
      <c r="BI2" s="4">
        <f>ROUND((csv!$HG2/10+calc!BI$1),1)</f>
        <v>-5.8</v>
      </c>
      <c r="BJ2" s="4">
        <f>ROUND((csv!$HG2/10+calc!BJ$1),1)</f>
        <v>-5.7</v>
      </c>
      <c r="BK2" s="4">
        <f>ROUND((csv!$HG2/10+calc!BK$1),1)</f>
        <v>-5.6</v>
      </c>
      <c r="BL2" s="4">
        <f>ROUND((csv!$HG2/10+calc!BL$1),1)</f>
        <v>-5.5</v>
      </c>
      <c r="BM2" s="4">
        <f>ROUND((csv!$HG2/10+calc!BM$1),1)</f>
        <v>-5.4</v>
      </c>
      <c r="BN2" s="4">
        <f>ROUND((csv!$HG2/10+calc!BN$1),1)</f>
        <v>-5.3</v>
      </c>
      <c r="BO2" s="4">
        <f>ROUND((csv!$HG2/10+calc!BO$1),1)</f>
        <v>-5.2</v>
      </c>
      <c r="BP2" s="4">
        <f>ROUND((csv!$HG2/10+calc!BP$1),1)</f>
        <v>-5.0999999999999996</v>
      </c>
      <c r="BQ2" s="4">
        <f>ROUND((csv!$HG2/10+calc!BQ$1),1)</f>
        <v>-5</v>
      </c>
      <c r="BR2" s="4">
        <f>ROUND((csv!$HG2/10+calc!BR$1),1)</f>
        <v>-4.9000000000000004</v>
      </c>
      <c r="BS2" s="4">
        <f>ROUND((csv!$HG2/10+calc!BS$1),1)</f>
        <v>-4.8</v>
      </c>
      <c r="BT2" s="4">
        <f>ROUND((csv!$HG2/10+calc!BT$1),1)</f>
        <v>-4.7</v>
      </c>
      <c r="BU2" s="4">
        <f>ROUND((csv!$HG2/10+calc!BU$1),1)</f>
        <v>-4.5999999999999996</v>
      </c>
      <c r="BV2" s="4">
        <f>ROUND((csv!$HG2/10+calc!BV$1),1)</f>
        <v>-4.5</v>
      </c>
      <c r="BW2" s="4">
        <f>ROUND((csv!$HG2/10+calc!BW$1),1)</f>
        <v>-4.4000000000000004</v>
      </c>
      <c r="BX2" s="4">
        <f>ROUND((csv!$HG2/10+calc!BX$1),1)</f>
        <v>-4.3</v>
      </c>
      <c r="BY2" s="4">
        <f>ROUND((csv!$HG2/10+calc!BY$1),1)</f>
        <v>-4.2</v>
      </c>
      <c r="BZ2" s="4">
        <f>ROUND((csv!$HG2/10+calc!BZ$1),1)</f>
        <v>-4.0999999999999996</v>
      </c>
      <c r="CA2" s="4">
        <f>ROUND((csv!$HG2/10+calc!CA$1),1)</f>
        <v>-4</v>
      </c>
      <c r="CB2" s="4">
        <f>ROUND((csv!$HG2/10+calc!CB$1),1)</f>
        <v>-3.9</v>
      </c>
      <c r="CC2" s="4">
        <f>ROUND((csv!$HG2/10+calc!CC$1),1)</f>
        <v>-3.8</v>
      </c>
      <c r="CD2" s="4">
        <f>ROUND((csv!$HG2/10+calc!CD$1),1)</f>
        <v>-3.7</v>
      </c>
      <c r="CE2" s="4">
        <f>ROUND((csv!$HG2/10+calc!CE$1),1)</f>
        <v>-3.6</v>
      </c>
      <c r="CF2" s="4">
        <f>ROUND((csv!$HG2/10+calc!CF$1),1)</f>
        <v>-3.5</v>
      </c>
      <c r="CG2" s="4">
        <f>ROUND((csv!$HG2/10+calc!CG$1),1)</f>
        <v>-3.4</v>
      </c>
      <c r="CH2" s="4">
        <f>ROUND((csv!$HG2/10+calc!CH$1),1)</f>
        <v>-3.3</v>
      </c>
      <c r="CI2" s="4">
        <f>ROUND((csv!$HG2/10+calc!CI$1),1)</f>
        <v>-3.2</v>
      </c>
      <c r="CJ2" s="4">
        <f>ROUND((csv!$HG2/10+calc!CJ$1),1)</f>
        <v>-3.1</v>
      </c>
      <c r="CK2" s="4">
        <f>ROUND((csv!$HG2/10+calc!CK$1),1)</f>
        <v>-3</v>
      </c>
      <c r="CL2" s="4">
        <f>ROUND((csv!$HG2/10+calc!CL$1),1)</f>
        <v>-2.9</v>
      </c>
      <c r="CM2" s="4">
        <f>ROUND((csv!$HG2/10+calc!CM$1),1)</f>
        <v>-2.8</v>
      </c>
      <c r="CN2" s="4">
        <f>ROUND((csv!$HG2/10+calc!CN$1),1)</f>
        <v>-2.7</v>
      </c>
      <c r="CO2" s="4">
        <f>ROUND((csv!$HG2/10+calc!CO$1),1)</f>
        <v>-2.6</v>
      </c>
      <c r="CP2" s="4">
        <f>ROUND((csv!$HG2/10+calc!CP$1),1)</f>
        <v>-2.5</v>
      </c>
      <c r="CQ2" s="4">
        <f>ROUND((csv!$HG2/10+calc!CQ$1),1)</f>
        <v>-2.4</v>
      </c>
      <c r="CR2" s="4">
        <f>ROUND((csv!$HG2/10+calc!CR$1),1)</f>
        <v>-2.2999999999999998</v>
      </c>
      <c r="CS2" s="4">
        <f>ROUND((csv!$HG2/10+calc!CS$1),1)</f>
        <v>-2.2000000000000002</v>
      </c>
      <c r="CT2" s="4">
        <f>ROUND((csv!$HG2/10+calc!CT$1),1)</f>
        <v>-2.1</v>
      </c>
      <c r="CU2" s="4">
        <f>ROUND((csv!$HG2/10+calc!CU$1),1)</f>
        <v>-2</v>
      </c>
      <c r="CV2" s="4">
        <f>ROUND((csv!$HG2/10+calc!CV$1),1)</f>
        <v>-1.9</v>
      </c>
      <c r="CW2" s="4">
        <f>ROUND((csv!$HG2/10+calc!CW$1),1)</f>
        <v>-1.8</v>
      </c>
      <c r="CX2" s="4">
        <f>ROUND((csv!$HG2/10+calc!CX$1),1)</f>
        <v>-1.7</v>
      </c>
      <c r="CY2" s="4">
        <f>ROUND((csv!$HG2/10+calc!CY$1),1)</f>
        <v>-1.6</v>
      </c>
      <c r="CZ2" s="4">
        <f>ROUND((csv!$HG2/10+calc!CZ$1),1)</f>
        <v>-1.5</v>
      </c>
      <c r="DA2" s="4">
        <f>ROUND((csv!$HG2/10+calc!DA$1),1)</f>
        <v>-1.4</v>
      </c>
      <c r="DB2" s="4">
        <f>ROUND((csv!$HG2/10+calc!DB$1),1)</f>
        <v>-1.3</v>
      </c>
      <c r="DC2" s="4">
        <f>ROUND((csv!$HG2/10+calc!DC$1),1)</f>
        <v>-1.2</v>
      </c>
      <c r="DD2" s="4">
        <f>ROUND((csv!$HG2/10+calc!DD$1),1)</f>
        <v>-1.1000000000000001</v>
      </c>
      <c r="DE2" s="4">
        <f>ROUND((csv!$HG2/10+calc!DE$1),1)</f>
        <v>-1</v>
      </c>
      <c r="DF2" s="4">
        <f>ROUND((csv!$HG2/10+calc!DF$1),1)</f>
        <v>-0.9</v>
      </c>
      <c r="DG2" s="4">
        <f>ROUND((csv!$HG2/10+calc!DG$1),1)</f>
        <v>-0.8</v>
      </c>
      <c r="DH2" s="4">
        <f>ROUND((csv!$HG2/10+calc!DH$1),1)</f>
        <v>-0.7</v>
      </c>
      <c r="DI2" s="4">
        <f>ROUND((csv!$HG2/10+calc!DI$1),1)</f>
        <v>-0.6</v>
      </c>
      <c r="DJ2" s="4">
        <f>ROUND((csv!$HG2/10+calc!DJ$1),1)</f>
        <v>-0.5</v>
      </c>
      <c r="DK2" s="4">
        <f>ROUND((csv!$HG2/10+calc!DK$1),1)</f>
        <v>-0.4</v>
      </c>
      <c r="DL2" s="4">
        <f>ROUND((csv!$HG2/10+calc!DL$1),1)</f>
        <v>-0.3</v>
      </c>
      <c r="DM2" s="4">
        <f>ROUND((csv!$HG2/10+calc!DM$1),1)</f>
        <v>-0.2</v>
      </c>
      <c r="DN2" s="4">
        <f>ROUND((csv!$HG2/10+calc!DN$1),1)</f>
        <v>-0.1</v>
      </c>
      <c r="DO2" s="4">
        <f>ROUND((csv!$HG2/10+calc!DO$1),1)</f>
        <v>0</v>
      </c>
      <c r="DP2" s="4">
        <f>ROUND((csv!$HG2/10+calc!DP$1),1)</f>
        <v>0.1</v>
      </c>
      <c r="DQ2" s="4">
        <f>ROUND((csv!$HG2/10+calc!DQ$1),1)</f>
        <v>0.2</v>
      </c>
      <c r="DR2" s="4">
        <f>ROUND((csv!$HG2/10+calc!DR$1),1)</f>
        <v>0.3</v>
      </c>
      <c r="DS2" s="4">
        <f>ROUND((csv!$HG2/10+calc!DS$1),1)</f>
        <v>0.4</v>
      </c>
      <c r="DT2" s="4">
        <f>ROUND((csv!$HG2/10+calc!DT$1),1)</f>
        <v>0.5</v>
      </c>
      <c r="DU2" s="4">
        <f>ROUND((csv!$HG2/10+calc!DU$1),1)</f>
        <v>0.6</v>
      </c>
      <c r="DV2" s="4">
        <f>ROUND((csv!$HG2/10+calc!DV$1),1)</f>
        <v>0.7</v>
      </c>
      <c r="DW2" s="4">
        <f>ROUND((csv!$HG2/10+calc!DW$1),1)</f>
        <v>0.8</v>
      </c>
      <c r="DX2" s="4">
        <f>ROUND((csv!$HG2/10+calc!DX$1),1)</f>
        <v>0.9</v>
      </c>
      <c r="DY2" s="4">
        <f>ROUND((csv!$HG2/10+calc!DY$1),1)</f>
        <v>1</v>
      </c>
      <c r="DZ2" s="4">
        <f>ROUND((csv!$HG2/10+calc!DZ$1),1)</f>
        <v>1.1000000000000001</v>
      </c>
      <c r="EA2" s="4">
        <f>ROUND((csv!$HG2/10+calc!EA$1),1)</f>
        <v>1.2</v>
      </c>
      <c r="EB2" s="4">
        <f>ROUND((csv!$HG2/10+calc!EB$1),1)</f>
        <v>1.3</v>
      </c>
      <c r="EC2" s="4">
        <f>ROUND((csv!$HG2/10+calc!EC$1),1)</f>
        <v>1.4</v>
      </c>
      <c r="ED2" s="4">
        <f>ROUND((csv!$HG2/10+calc!ED$1),1)</f>
        <v>1.5</v>
      </c>
      <c r="EE2" s="4">
        <f>ROUND((csv!$HG2/10+calc!EE$1),1)</f>
        <v>1.6</v>
      </c>
      <c r="EF2" s="4">
        <f>ROUND((csv!$HG2/10+calc!EF$1),1)</f>
        <v>1.7</v>
      </c>
      <c r="EG2" s="4">
        <f>ROUND((csv!$HG2/10+calc!EG$1),1)</f>
        <v>1.8</v>
      </c>
      <c r="EH2" s="4">
        <f>ROUND((csv!$HG2/10+calc!EH$1),1)</f>
        <v>1.9</v>
      </c>
      <c r="EI2" s="4">
        <f>ROUND((csv!$HG2/10+calc!EI$1),1)</f>
        <v>2</v>
      </c>
      <c r="EJ2" s="4">
        <f>ROUND((csv!$HG2/10+calc!EJ$1),1)</f>
        <v>2.1</v>
      </c>
      <c r="EK2" s="4">
        <f>ROUND((csv!$HG2/10+calc!EK$1),1)</f>
        <v>2.2000000000000002</v>
      </c>
      <c r="EL2" s="4">
        <f>ROUND((csv!$HG2/10+calc!EL$1),1)</f>
        <v>2.2999999999999998</v>
      </c>
      <c r="EM2" s="4">
        <f>ROUND((csv!$HG2/10+calc!EM$1),1)</f>
        <v>2.4</v>
      </c>
      <c r="EN2" s="4">
        <f>ROUND((csv!$HG2/10+calc!EN$1),1)</f>
        <v>2.5</v>
      </c>
      <c r="EO2" s="4">
        <f>ROUND((csv!$HG2/10+calc!EO$1),1)</f>
        <v>2.6</v>
      </c>
      <c r="EP2" s="4">
        <f>ROUND((csv!$HG2/10+calc!EP$1),1)</f>
        <v>2.7</v>
      </c>
      <c r="EQ2" s="4">
        <f>ROUND((csv!$HG2/10+calc!EQ$1),1)</f>
        <v>2.8</v>
      </c>
      <c r="ER2" s="4">
        <f>ROUND((csv!$HG2/10+calc!ER$1),1)</f>
        <v>2.9</v>
      </c>
      <c r="ES2" s="4">
        <f>ROUND((csv!$HG2/10+calc!ES$1),1)</f>
        <v>3</v>
      </c>
      <c r="ET2" s="4">
        <f>ROUND((csv!$HG2/10+calc!ET$1),1)</f>
        <v>3.1</v>
      </c>
      <c r="EU2" s="4">
        <f>ROUND((csv!$HG2/10+calc!EU$1),1)</f>
        <v>3.2</v>
      </c>
      <c r="EV2" s="4">
        <f>ROUND((csv!$HG2/10+calc!EV$1),1)</f>
        <v>3.3</v>
      </c>
      <c r="EW2" s="4">
        <f>ROUND((csv!$HG2/10+calc!EW$1),1)</f>
        <v>3.4</v>
      </c>
      <c r="EX2" s="4">
        <f>ROUND((csv!$HG2/10+calc!EX$1),1)</f>
        <v>3.5</v>
      </c>
      <c r="EY2" s="4">
        <f>ROUND((csv!$HG2/10+calc!EY$1),1)</f>
        <v>3.6</v>
      </c>
      <c r="EZ2" s="4">
        <f>ROUND((csv!$HG2/10+calc!EZ$1),1)</f>
        <v>3.7</v>
      </c>
      <c r="FA2" s="4">
        <f>ROUND((csv!$HG2/10+calc!FA$1),1)</f>
        <v>3.8</v>
      </c>
      <c r="FB2" s="4">
        <f>ROUND((csv!$HG2/10+calc!FB$1),1)</f>
        <v>3.9</v>
      </c>
      <c r="FC2" s="4">
        <f>ROUND((csv!$HG2/10+calc!FC$1),1)</f>
        <v>4</v>
      </c>
      <c r="FD2" s="4">
        <f>ROUND((csv!$HG2/10+calc!FD$1),1)</f>
        <v>4.0999999999999996</v>
      </c>
      <c r="FE2" s="4">
        <f>ROUND((csv!$HG2/10+calc!FE$1),1)</f>
        <v>4.2</v>
      </c>
      <c r="FF2" s="4">
        <f>ROUND((csv!$HG2/10+calc!FF$1),1)</f>
        <v>4.3</v>
      </c>
      <c r="FG2" s="4">
        <f>ROUND((csv!$HG2/10+calc!FG$1),1)</f>
        <v>4.4000000000000004</v>
      </c>
      <c r="FH2" s="4">
        <f>ROUND((csv!$HG2/10+calc!FH$1),1)</f>
        <v>4.5</v>
      </c>
      <c r="FI2" s="4">
        <f>ROUND((csv!$HG2/10+calc!FI$1),1)</f>
        <v>4.5999999999999996</v>
      </c>
      <c r="FJ2" s="4">
        <f>ROUND((csv!$HG2/10+calc!FJ$1),1)</f>
        <v>4.7</v>
      </c>
      <c r="FK2" s="4">
        <f>ROUND((csv!$HG2/10+calc!FK$1),1)</f>
        <v>4.8</v>
      </c>
      <c r="FL2" s="4">
        <f>ROUND((csv!$HG2/10+calc!FL$1),1)</f>
        <v>4.9000000000000004</v>
      </c>
      <c r="FM2" s="4">
        <f>ROUND((csv!$HG2/10+calc!FM$1),1)</f>
        <v>5</v>
      </c>
      <c r="FN2" s="4">
        <f>ROUND((csv!$HG2/10+calc!FN$1),1)</f>
        <v>5.0999999999999996</v>
      </c>
      <c r="FO2" s="4">
        <f>ROUND((csv!$HG2/10+calc!FO$1),1)</f>
        <v>5.2</v>
      </c>
      <c r="FP2" s="4">
        <f>ROUND((csv!$HG2/10+calc!FP$1),1)</f>
        <v>5.3</v>
      </c>
      <c r="FQ2" s="4">
        <f>ROUND((csv!$HG2/10+calc!FQ$1),1)</f>
        <v>5.4</v>
      </c>
      <c r="FR2" s="4">
        <f>ROUND((csv!$HG2/10+calc!FR$1),1)</f>
        <v>5.5</v>
      </c>
      <c r="FS2" s="4">
        <f>ROUND((csv!$HG2/10+calc!FS$1),1)</f>
        <v>5.6</v>
      </c>
      <c r="FT2" s="4">
        <f>ROUND((csv!$HG2/10+calc!FT$1),1)</f>
        <v>5.7</v>
      </c>
      <c r="FU2" s="4">
        <f>ROUND((csv!$HG2/10+calc!FU$1),1)</f>
        <v>5.8</v>
      </c>
      <c r="FV2" s="4">
        <f>ROUND((csv!$HG2/10+calc!FV$1),1)</f>
        <v>5.9</v>
      </c>
      <c r="FW2" s="4">
        <f>ROUND((csv!$HG2/10+calc!FW$1),1)</f>
        <v>6</v>
      </c>
      <c r="FX2" s="4">
        <f>ROUND((csv!$HG2/10+calc!FX$1),1)</f>
        <v>6.1</v>
      </c>
      <c r="FY2" s="4">
        <f>ROUND((csv!$HG2/10+calc!FY$1),1)</f>
        <v>6.2</v>
      </c>
      <c r="FZ2" s="4">
        <f>ROUND((csv!$HG2/10+calc!FZ$1),1)</f>
        <v>6.3</v>
      </c>
      <c r="GA2" s="4">
        <f>ROUND((csv!$HG2/10+calc!GA$1),1)</f>
        <v>6.4</v>
      </c>
      <c r="GB2" s="4">
        <f>ROUND((csv!$HG2/10+calc!GB$1),1)</f>
        <v>6.5</v>
      </c>
      <c r="GC2" s="4">
        <f>ROUND((csv!$HG2/10+calc!GC$1),1)</f>
        <v>6.6</v>
      </c>
      <c r="GD2" s="4">
        <f>ROUND((csv!$HG2/10+calc!GD$1),1)</f>
        <v>6.7</v>
      </c>
      <c r="GE2" s="4">
        <f>ROUND((csv!$HG2/10+calc!GE$1),1)</f>
        <v>6.8</v>
      </c>
      <c r="GF2" s="4">
        <f>ROUND((csv!$HG2/10+calc!GF$1),1)</f>
        <v>6.9</v>
      </c>
      <c r="GG2" s="4">
        <f>ROUND((csv!$HG2/10+calc!GG$1),1)</f>
        <v>7</v>
      </c>
      <c r="GH2" s="4">
        <f>ROUND((csv!$HG2/10+calc!GH$1),1)</f>
        <v>7.1</v>
      </c>
      <c r="GI2" s="4">
        <f>ROUND((csv!$HG2/10+calc!GI$1),1)</f>
        <v>7.2</v>
      </c>
      <c r="GJ2" s="4">
        <f>ROUND((csv!$HG2/10+calc!GJ$1),1)</f>
        <v>7.3</v>
      </c>
      <c r="GK2" s="4">
        <f>ROUND((csv!$HG2/10+calc!GK$1),1)</f>
        <v>7.4</v>
      </c>
      <c r="GL2" s="4">
        <f>ROUND((csv!$HG2/10+calc!GL$1),1)</f>
        <v>7.5</v>
      </c>
      <c r="GM2" s="4">
        <f>ROUND((csv!$HG2/10+calc!GM$1),1)</f>
        <v>7.6</v>
      </c>
      <c r="GN2" s="4">
        <f>ROUND((csv!$HG2/10+calc!GN$1),1)</f>
        <v>7.7</v>
      </c>
      <c r="GO2" s="4">
        <f>ROUND((csv!$HG2/10+calc!GO$1),1)</f>
        <v>7.8</v>
      </c>
      <c r="GP2" s="4">
        <f>ROUND((csv!$HG2/10+calc!GP$1),1)</f>
        <v>7.9</v>
      </c>
      <c r="GQ2" s="4">
        <f>ROUND((csv!$HG2/10+calc!GQ$1),1)</f>
        <v>8</v>
      </c>
      <c r="GR2" s="4">
        <f>ROUND((csv!$HG2/10+calc!GR$1),1)</f>
        <v>8.1</v>
      </c>
      <c r="GS2" s="4">
        <f>ROUND((csv!$HG2/10+calc!GS$1),1)</f>
        <v>8.1999999999999993</v>
      </c>
      <c r="GT2" s="4">
        <f>ROUND((csv!$HG2/10+calc!GT$1),1)</f>
        <v>8.3000000000000007</v>
      </c>
      <c r="GU2" s="4">
        <f>ROUND((csv!$HG2/10+calc!GU$1),1)</f>
        <v>8.4</v>
      </c>
      <c r="GV2" s="4">
        <f>ROUND((csv!$HG2/10+calc!GV$1),1)</f>
        <v>8.5</v>
      </c>
      <c r="GW2" s="4">
        <f>ROUND((csv!$HG2/10+calc!GW$1),1)</f>
        <v>8.6</v>
      </c>
      <c r="GX2" s="4">
        <f>ROUND((csv!$HG2/10+calc!GX$1),1)</f>
        <v>8.6999999999999993</v>
      </c>
      <c r="GY2" s="4">
        <f>ROUND((csv!$HG2/10+calc!GY$1),1)</f>
        <v>8.8000000000000007</v>
      </c>
      <c r="GZ2" s="4">
        <f>ROUND((csv!$HG2/10+calc!GZ$1),1)</f>
        <v>8.9</v>
      </c>
      <c r="HA2" s="4">
        <f>ROUND((csv!$HG2/10+calc!HA$1),1)</f>
        <v>9</v>
      </c>
      <c r="HB2" s="4">
        <f>ROUND((csv!$HG2/10+calc!HB$1),1)</f>
        <v>9.1</v>
      </c>
      <c r="HC2" s="4">
        <f>ROUND((csv!$HG2/10+calc!HC$1),1)</f>
        <v>9.1999999999999993</v>
      </c>
      <c r="HD2" s="4">
        <f>ROUND((csv!$HG2/10+calc!HD$1),1)</f>
        <v>9.3000000000000007</v>
      </c>
      <c r="HE2" s="4">
        <f>ROUND((csv!$HG2/10+calc!HE$1),1)</f>
        <v>9.4</v>
      </c>
      <c r="HF2" s="4">
        <f>ROUND((csv!$HG2/10+calc!HF$1),1)</f>
        <v>9.5</v>
      </c>
      <c r="HG2" s="4">
        <f>ROUND((csv!$HG2/10+calc!HG$1),1)</f>
        <v>9.6</v>
      </c>
      <c r="HH2" s="4">
        <f>ROUND((csv!$HG2/10+calc!HH$1),1)</f>
        <v>9.6999999999999993</v>
      </c>
      <c r="HI2" s="4">
        <f>ROUND((csv!$HG2/10+calc!HI$1),1)</f>
        <v>9.8000000000000007</v>
      </c>
      <c r="HJ2" s="4">
        <f>ROUND((csv!$HG2/10+calc!HJ$1),1)</f>
        <v>9.9</v>
      </c>
      <c r="HK2" s="4">
        <f>ROUND((csv!$HG2/10+calc!HK$1),1)</f>
        <v>10</v>
      </c>
      <c r="HM2" s="2">
        <f>csv!A2*10000+csv!B2*100+csv!C2</f>
        <v>0</v>
      </c>
      <c r="HN2" s="5">
        <f>IF(ISERROR(LOOKUP(HN$1,$S2:$HK2,csv!$L2:$HD2)),NA(),LOOKUP(HN$1,$S2:$HK2,csv!$L2:$HD2))</f>
        <v>0</v>
      </c>
      <c r="HO2" s="5">
        <f>IF(ISERROR(LOOKUP(HO$1,$S2:$HK2,csv!$L2:$HD2)),NA(),LOOKUP(HO$1,$S2:$HK2,csv!$L2:$HD2))</f>
        <v>0</v>
      </c>
      <c r="HP2" s="5">
        <f>IF(ISERROR(LOOKUP(HP$1,$S2:$HK2,csv!$L2:$HD2)),NA(),LOOKUP(HP$1,$S2:$HK2,csv!$L2:$HD2))</f>
        <v>0</v>
      </c>
      <c r="HQ2" s="5">
        <f>IF(ISERROR(LOOKUP(HQ$1,$S2:$HK2,csv!$L2:$HD2)),NA(),LOOKUP(HQ$1,$S2:$HK2,csv!$L2:$HD2))</f>
        <v>0</v>
      </c>
      <c r="HR2" s="5">
        <f>IF(ISERROR(LOOKUP(HR$1,$S2:$HK2,csv!$L2:$HD2)),NA(),LOOKUP(HR$1,$S2:$HK2,csv!$L2:$HD2))</f>
        <v>0</v>
      </c>
      <c r="HS2" s="5">
        <f>IF(ISERROR(LOOKUP(HS$1,$S2:$HK2,csv!$L2:$HD2)),NA(),LOOKUP(HS$1,$S2:$HK2,csv!$L2:$HD2))</f>
        <v>0</v>
      </c>
      <c r="HT2" s="5">
        <f>IF(ISERROR(LOOKUP(HT$1,$S2:$HK2,csv!$L2:$HD2)),NA(),LOOKUP(HT$1,$S2:$HK2,csv!$L2:$HD2))</f>
        <v>0</v>
      </c>
      <c r="HU2" s="5">
        <f>IF(ISERROR(LOOKUP(HU$1,$S2:$HK2,csv!$L2:$HD2)),NA(),LOOKUP(HU$1,$S2:$HK2,csv!$L2:$HD2))</f>
        <v>0</v>
      </c>
      <c r="HV2" s="5">
        <f>IF(ISERROR(LOOKUP(HV$1,$S2:$HK2,csv!$L2:$HD2)),NA(),LOOKUP(HV$1,$S2:$HK2,csv!$L2:$HD2))</f>
        <v>0</v>
      </c>
      <c r="HW2" s="5">
        <f>IF(ISERROR(LOOKUP(HW$1,$S2:$HK2,csv!$L2:$HD2)),NA(),LOOKUP(HW$1,$S2:$HK2,csv!$L2:$HD2))</f>
        <v>0</v>
      </c>
      <c r="HX2" s="5">
        <f>IF(ISERROR(LOOKUP(HX$1,$S2:$HK2,csv!$L2:$HD2)),NA(),LOOKUP(HX$1,$S2:$HK2,csv!$L2:$HD2))</f>
        <v>0</v>
      </c>
      <c r="HY2" s="5">
        <f>IF(ISERROR(LOOKUP(HY$1,$S2:$HK2,csv!$L2:$HD2)),NA(),LOOKUP(HY$1,$S2:$HK2,csv!$L2:$HD2))</f>
        <v>0</v>
      </c>
      <c r="HZ2" s="5">
        <f>IF(ISERROR(LOOKUP(HZ$1,$S2:$HK2,csv!$L2:$HD2)),NA(),LOOKUP(HZ$1,$S2:$HK2,csv!$L2:$HD2))</f>
        <v>0</v>
      </c>
      <c r="IA2" s="5">
        <f>IF(ISERROR(LOOKUP(IA$1,$S2:$HK2,csv!$L2:$HD2)),NA(),LOOKUP(IA$1,$S2:$HK2,csv!$L2:$HD2))</f>
        <v>0</v>
      </c>
      <c r="IB2" s="5">
        <f>IF(ISERROR(LOOKUP(IB$1,$S2:$HK2,csv!$L2:$HD2)),NA(),LOOKUP(IB$1,$S2:$HK2,csv!$L2:$HD2))</f>
        <v>0</v>
      </c>
      <c r="IC2" s="5">
        <f>IF(ISERROR(LOOKUP(IC$1,$S2:$HK2,csv!$L2:$HD2)),NA(),LOOKUP(IC$1,$S2:$HK2,csv!$L2:$HD2))</f>
        <v>0</v>
      </c>
      <c r="ID2" s="5">
        <f>IF(ISERROR(LOOKUP(ID$1,$S2:$HK2,csv!$L2:$HD2)),NA(),LOOKUP(ID$1,$S2:$HK2,csv!$L2:$HD2))</f>
        <v>0</v>
      </c>
      <c r="IE2" s="5">
        <f>IF(ISERROR(LOOKUP(IE$1,$S2:$HK2,csv!$L2:$HD2)),NA(),LOOKUP(IE$1,$S2:$HK2,csv!$L2:$HD2))</f>
        <v>0</v>
      </c>
      <c r="IF2" s="5">
        <f>IF(ISERROR(LOOKUP(IF$1,$S2:$HK2,csv!$L2:$HD2)),NA(),LOOKUP(IF$1,$S2:$HK2,csv!$L2:$HD2))</f>
        <v>0</v>
      </c>
      <c r="IG2" s="5">
        <f>IF(ISERROR(LOOKUP(IG$1,$S2:$HK2,csv!$L2:$HD2)),NA(),LOOKUP(IG$1,$S2:$HK2,csv!$L2:$HD2))</f>
        <v>0</v>
      </c>
      <c r="IH2" s="5">
        <f>IF(ISERROR(LOOKUP(IH$1,$S2:$HK2,csv!$L2:$HD2)),NA(),LOOKUP(IH$1,$S2:$HK2,csv!$L2:$HD2))</f>
        <v>0</v>
      </c>
      <c r="II2" s="5">
        <f>IF(ISERROR(LOOKUP(II$1,$S2:$HK2,csv!$L2:$HD2)),NA(),LOOKUP(II$1,$S2:$HK2,csv!$L2:$HD2))</f>
        <v>0</v>
      </c>
      <c r="IJ2" s="5">
        <f>IF(ISERROR(LOOKUP(IJ$1,$S2:$HK2,csv!$L2:$HD2)),NA(),LOOKUP(IJ$1,$S2:$HK2,csv!$L2:$HD2))</f>
        <v>0</v>
      </c>
      <c r="IK2" s="5">
        <f>IF(ISERROR(LOOKUP(IK$1,$S2:$HK2,csv!$L2:$HD2)),NA(),LOOKUP(IK$1,$S2:$HK2,csv!$L2:$HD2))</f>
        <v>0</v>
      </c>
      <c r="IL2" s="5">
        <f>IF(ISERROR(LOOKUP(IL$1,$S2:$HK2,csv!$L2:$HD2)),NA(),LOOKUP(IL$1,$S2:$HK2,csv!$L2:$HD2))</f>
        <v>0</v>
      </c>
      <c r="IM2" s="5">
        <f>IF(ISERROR(LOOKUP(IM$1,$S2:$HK2,csv!$L2:$HD2)),NA(),LOOKUP(IM$1,$S2:$HK2,csv!$L2:$HD2))</f>
        <v>0</v>
      </c>
      <c r="IN2" s="5">
        <f>IF(ISERROR(LOOKUP(IN$1,$S2:$HK2,csv!$L2:$HD2)),NA(),LOOKUP(IN$1,$S2:$HK2,csv!$L2:$HD2))</f>
        <v>0</v>
      </c>
      <c r="IO2" s="5">
        <f>IF(ISERROR(LOOKUP(IO$1,$S2:$HK2,csv!$L2:$HD2)),NA(),LOOKUP(IO$1,$S2:$HK2,csv!$L2:$HD2))</f>
        <v>0</v>
      </c>
      <c r="IP2" s="5">
        <f>IF(ISERROR(LOOKUP(IP$1,$S2:$HK2,csv!$L2:$HD2)),NA(),LOOKUP(IP$1,$S2:$HK2,csv!$L2:$HD2))</f>
        <v>0</v>
      </c>
      <c r="IQ2" s="5">
        <f>IF(ISERROR(LOOKUP(IQ$1,$S2:$HK2,csv!$L2:$HD2)),NA(),LOOKUP(IQ$1,$S2:$HK2,csv!$L2:$HD2))</f>
        <v>0</v>
      </c>
      <c r="IR2" s="5">
        <f>IF(ISERROR(LOOKUP(IR$1,$S2:$HK2,csv!$L2:$HD2)),NA(),LOOKUP(IR$1,$S2:$HK2,csv!$L2:$HD2))</f>
        <v>0</v>
      </c>
      <c r="IS2" s="5">
        <f>IF(ISERROR(LOOKUP(IS$1,$S2:$HK2,csv!$L2:$HD2)),NA(),LOOKUP(IS$1,$S2:$HK2,csv!$L2:$HD2))</f>
        <v>0</v>
      </c>
      <c r="IT2" s="5">
        <f>IF(ISERROR(LOOKUP(IT$1,$S2:$HK2,csv!$L2:$HD2)),NA(),LOOKUP(IT$1,$S2:$HK2,csv!$L2:$HD2))</f>
        <v>0</v>
      </c>
      <c r="IU2" s="5">
        <f>IF(ISERROR(LOOKUP(IU$1,$S2:$HK2,csv!$L2:$HD2)),NA(),LOOKUP(IU$1,$S2:$HK2,csv!$L2:$HD2))</f>
        <v>0</v>
      </c>
      <c r="IV2" s="5">
        <f>IF(ISERROR(LOOKUP(IV$1,$S2:$HK2,csv!$L2:$HD2)),NA(),LOOKUP(IV$1,$S2:$HK2,csv!$L2:$HD2))</f>
        <v>0</v>
      </c>
      <c r="IW2" s="5">
        <f>IF(ISERROR(LOOKUP(IW$1,$S2:$HK2,csv!$L2:$HD2)),NA(),LOOKUP(IW$1,$S2:$HK2,csv!$L2:$HD2))</f>
        <v>0</v>
      </c>
      <c r="IX2" s="5">
        <f>IF(ISERROR(LOOKUP(IX$1,$S2:$HK2,csv!$L2:$HD2)),NA(),LOOKUP(IX$1,$S2:$HK2,csv!$L2:$HD2))</f>
        <v>0</v>
      </c>
      <c r="IY2" s="5">
        <f>IF(ISERROR(LOOKUP(IY$1,$S2:$HK2,csv!$L2:$HD2)),NA(),LOOKUP(IY$1,$S2:$HK2,csv!$L2:$HD2))</f>
        <v>0</v>
      </c>
      <c r="IZ2" s="5">
        <f>IF(ISERROR(LOOKUP(IZ$1,$S2:$HK2,csv!$L2:$HD2)),NA(),LOOKUP(IZ$1,$S2:$HK2,csv!$L2:$HD2))</f>
        <v>0</v>
      </c>
      <c r="JA2" s="5">
        <f>IF(ISERROR(LOOKUP(JA$1,$S2:$HK2,csv!$L2:$HD2)),NA(),LOOKUP(JA$1,$S2:$HK2,csv!$L2:$HD2))</f>
        <v>0</v>
      </c>
      <c r="JB2" s="5">
        <f>IF(ISERROR(LOOKUP(JB$1,$S2:$HK2,csv!$L2:$HD2)),NA(),LOOKUP(JB$1,$S2:$HK2,csv!$L2:$HD2))</f>
        <v>0</v>
      </c>
      <c r="JC2" s="5">
        <f>IF(ISERROR(LOOKUP(JC$1,$S2:$HK2,csv!$L2:$HD2)),NA(),LOOKUP(JC$1,$S2:$HK2,csv!$L2:$HD2))</f>
        <v>0</v>
      </c>
      <c r="JD2" s="5">
        <f>IF(ISERROR(LOOKUP(JD$1,$S2:$HK2,csv!$L2:$HD2)),NA(),LOOKUP(JD$1,$S2:$HK2,csv!$L2:$HD2))</f>
        <v>0</v>
      </c>
      <c r="JE2" s="5">
        <f>IF(ISERROR(LOOKUP(JE$1,$S2:$HK2,csv!$L2:$HD2)),NA(),LOOKUP(JE$1,$S2:$HK2,csv!$L2:$HD2))</f>
        <v>0</v>
      </c>
      <c r="JF2" s="5">
        <f>IF(ISERROR(LOOKUP(JF$1,$S2:$HK2,csv!$L2:$HD2)),NA(),LOOKUP(JF$1,$S2:$HK2,csv!$L2:$HD2))</f>
        <v>0</v>
      </c>
      <c r="JG2" s="5">
        <f>IF(ISERROR(LOOKUP(JG$1,$S2:$HK2,csv!$L2:$HD2)),NA(),LOOKUP(JG$1,$S2:$HK2,csv!$L2:$HD2))</f>
        <v>0</v>
      </c>
      <c r="JH2" s="5">
        <f>IF(ISERROR(LOOKUP(JH$1,$S2:$HK2,csv!$L2:$HD2)),NA(),LOOKUP(JH$1,$S2:$HK2,csv!$L2:$HD2))</f>
        <v>0</v>
      </c>
      <c r="JI2" s="5">
        <f>IF(ISERROR(LOOKUP(JI$1,$S2:$HK2,csv!$L2:$HD2)),NA(),LOOKUP(JI$1,$S2:$HK2,csv!$L2:$HD2))</f>
        <v>0</v>
      </c>
      <c r="JJ2" s="5">
        <f>IF(ISERROR(LOOKUP(JJ$1,$S2:$HK2,csv!$L2:$HD2)),NA(),LOOKUP(JJ$1,$S2:$HK2,csv!$L2:$HD2))</f>
        <v>0</v>
      </c>
      <c r="JK2" s="5">
        <f>IF(ISERROR(LOOKUP(JK$1,$S2:$HK2,csv!$L2:$HD2)),NA(),LOOKUP(JK$1,$S2:$HK2,csv!$L2:$HD2))</f>
        <v>0</v>
      </c>
      <c r="JL2" s="5">
        <f>IF(ISERROR(LOOKUP(JL$1,$S2:$HK2,csv!$L2:$HD2)),NA(),LOOKUP(JL$1,$S2:$HK2,csv!$L2:$HD2))</f>
        <v>0</v>
      </c>
      <c r="JM2" s="5">
        <f>IF(ISERROR(LOOKUP(JM$1,$S2:$HK2,csv!$L2:$HD2)),NA(),LOOKUP(JM$1,$S2:$HK2,csv!$L2:$HD2))</f>
        <v>0</v>
      </c>
      <c r="JN2" s="5">
        <f>IF(ISERROR(LOOKUP(JN$1,$S2:$HK2,csv!$L2:$HD2)),NA(),LOOKUP(JN$1,$S2:$HK2,csv!$L2:$HD2))</f>
        <v>0</v>
      </c>
      <c r="JO2" s="5">
        <f>IF(ISERROR(LOOKUP(JO$1,$S2:$HK2,csv!$L2:$HD2)),NA(),LOOKUP(JO$1,$S2:$HK2,csv!$L2:$HD2))</f>
        <v>0</v>
      </c>
      <c r="JP2" s="5">
        <f>IF(ISERROR(LOOKUP(JP$1,$S2:$HK2,csv!$L2:$HD2)),NA(),LOOKUP(JP$1,$S2:$HK2,csv!$L2:$HD2))</f>
        <v>0</v>
      </c>
      <c r="JQ2" s="5">
        <f>IF(ISERROR(LOOKUP(JQ$1,$S2:$HK2,csv!$L2:$HD2)),NA(),LOOKUP(JQ$1,$S2:$HK2,csv!$L2:$HD2))</f>
        <v>0</v>
      </c>
      <c r="JR2" s="5">
        <f>IF(ISERROR(LOOKUP(JR$1,$S2:$HK2,csv!$L2:$HD2)),NA(),LOOKUP(JR$1,$S2:$HK2,csv!$L2:$HD2))</f>
        <v>0</v>
      </c>
      <c r="JS2" s="5">
        <f>IF(ISERROR(LOOKUP(JS$1,$S2:$HK2,csv!$L2:$HD2)),NA(),LOOKUP(JS$1,$S2:$HK2,csv!$L2:$HD2))</f>
        <v>0</v>
      </c>
      <c r="JT2" s="5">
        <f>IF(ISERROR(LOOKUP(JT$1,$S2:$HK2,csv!$L2:$HD2)),NA(),LOOKUP(JT$1,$S2:$HK2,csv!$L2:$HD2))</f>
        <v>0</v>
      </c>
      <c r="JU2" s="5">
        <f>IF(ISERROR(LOOKUP(JU$1,$S2:$HK2,csv!$L2:$HD2)),NA(),LOOKUP(JU$1,$S2:$HK2,csv!$L2:$HD2))</f>
        <v>0</v>
      </c>
      <c r="JV2" s="5">
        <f>IF(ISERROR(LOOKUP(JV$1,$S2:$HK2,csv!$L2:$HD2)),NA(),LOOKUP(JV$1,$S2:$HK2,csv!$L2:$HD2))</f>
        <v>0</v>
      </c>
      <c r="JW2" s="5">
        <f>IF(ISERROR(LOOKUP(JW$1,$S2:$HK2,csv!$L2:$HD2)),NA(),LOOKUP(JW$1,$S2:$HK2,csv!$L2:$HD2))</f>
        <v>0</v>
      </c>
      <c r="JX2" s="5">
        <f>IF(ISERROR(LOOKUP(JX$1,$S2:$HK2,csv!$L2:$HD2)),NA(),LOOKUP(JX$1,$S2:$HK2,csv!$L2:$HD2))</f>
        <v>0</v>
      </c>
      <c r="JY2" s="5">
        <f>IF(ISERROR(LOOKUP(JY$1,$S2:$HK2,csv!$L2:$HD2)),NA(),LOOKUP(JY$1,$S2:$HK2,csv!$L2:$HD2))</f>
        <v>0</v>
      </c>
      <c r="JZ2" s="5">
        <f>IF(ISERROR(LOOKUP(JZ$1,$S2:$HK2,csv!$L2:$HD2)),NA(),LOOKUP(JZ$1,$S2:$HK2,csv!$L2:$HD2))</f>
        <v>0</v>
      </c>
      <c r="KA2" s="5">
        <f>IF(ISERROR(LOOKUP(KA$1,$S2:$HK2,csv!$L2:$HD2)),NA(),LOOKUP(KA$1,$S2:$HK2,csv!$L2:$HD2))</f>
        <v>0</v>
      </c>
      <c r="KB2" s="5">
        <f>IF(ISERROR(LOOKUP(KB$1,$S2:$HK2,csv!$L2:$HD2)),NA(),LOOKUP(KB$1,$S2:$HK2,csv!$L2:$HD2))</f>
        <v>0</v>
      </c>
      <c r="KC2" s="5">
        <f>IF(ISERROR(LOOKUP(KC$1,$S2:$HK2,csv!$L2:$HD2)),NA(),LOOKUP(KC$1,$S2:$HK2,csv!$L2:$HD2))</f>
        <v>0</v>
      </c>
      <c r="KD2" s="5">
        <f>IF(ISERROR(LOOKUP(KD$1,$S2:$HK2,csv!$L2:$HD2)),NA(),LOOKUP(KD$1,$S2:$HK2,csv!$L2:$HD2))</f>
        <v>0</v>
      </c>
      <c r="KE2" s="5">
        <f>IF(ISERROR(LOOKUP(KE$1,$S2:$HK2,csv!$L2:$HD2)),NA(),LOOKUP(KE$1,$S2:$HK2,csv!$L2:$HD2))</f>
        <v>0</v>
      </c>
      <c r="KF2" s="5">
        <f>IF(ISERROR(LOOKUP(KF$1,$S2:$HK2,csv!$L2:$HD2)),NA(),LOOKUP(KF$1,$S2:$HK2,csv!$L2:$HD2))</f>
        <v>0</v>
      </c>
      <c r="KG2" s="5">
        <f>IF(ISERROR(LOOKUP(KG$1,$S2:$HK2,csv!$L2:$HD2)),NA(),LOOKUP(KG$1,$S2:$HK2,csv!$L2:$HD2))</f>
        <v>0</v>
      </c>
      <c r="KH2" s="5">
        <f>IF(ISERROR(LOOKUP(KH$1,$S2:$HK2,csv!$L2:$HD2)),NA(),LOOKUP(KH$1,$S2:$HK2,csv!$L2:$HD2))</f>
        <v>0</v>
      </c>
      <c r="KI2" s="5">
        <f>IF(ISERROR(LOOKUP(KI$1,$S2:$HK2,csv!$L2:$HD2)),NA(),LOOKUP(KI$1,$S2:$HK2,csv!$L2:$HD2))</f>
        <v>0</v>
      </c>
      <c r="KJ2" s="5">
        <f>IF(ISERROR(LOOKUP(KJ$1,$S2:$HK2,csv!$L2:$HD2)),NA(),LOOKUP(KJ$1,$S2:$HK2,csv!$L2:$HD2))</f>
        <v>0</v>
      </c>
      <c r="KK2" s="5">
        <f>IF(ISERROR(LOOKUP(KK$1,$S2:$HK2,csv!$L2:$HD2)),NA(),LOOKUP(KK$1,$S2:$HK2,csv!$L2:$HD2))</f>
        <v>0</v>
      </c>
      <c r="KL2" s="5">
        <f>IF(ISERROR(LOOKUP(KL$1,$S2:$HK2,csv!$L2:$HD2)),NA(),LOOKUP(KL$1,$S2:$HK2,csv!$L2:$HD2))</f>
        <v>0</v>
      </c>
      <c r="KM2" s="5">
        <f>IF(ISERROR(LOOKUP(KM$1,$S2:$HK2,csv!$L2:$HD2)),NA(),LOOKUP(KM$1,$S2:$HK2,csv!$L2:$HD2))</f>
        <v>0</v>
      </c>
      <c r="KN2" s="5">
        <f>IF(ISERROR(LOOKUP(KN$1,$S2:$HK2,csv!$L2:$HD2)),NA(),LOOKUP(KN$1,$S2:$HK2,csv!$L2:$HD2))</f>
        <v>0</v>
      </c>
      <c r="KO2" s="5">
        <f>IF(ISERROR(LOOKUP(KO$1,$S2:$HK2,csv!$L2:$HD2)),NA(),LOOKUP(KO$1,$S2:$HK2,csv!$L2:$HD2))</f>
        <v>0</v>
      </c>
      <c r="KP2" s="5">
        <f>IF(ISERROR(LOOKUP(KP$1,$S2:$HK2,csv!$L2:$HD2)),NA(),LOOKUP(KP$1,$S2:$HK2,csv!$L2:$HD2))</f>
        <v>0</v>
      </c>
      <c r="KQ2" s="5">
        <f>IF(ISERROR(LOOKUP(KQ$1,$S2:$HK2,csv!$L2:$HD2)),NA(),LOOKUP(KQ$1,$S2:$HK2,csv!$L2:$HD2))</f>
        <v>0</v>
      </c>
      <c r="KR2" s="5">
        <f>IF(ISERROR(LOOKUP(KR$1,$S2:$HK2,csv!$L2:$HD2)),NA(),LOOKUP(KR$1,$S2:$HK2,csv!$L2:$HD2))</f>
        <v>0</v>
      </c>
      <c r="KS2" s="5">
        <f>IF(ISERROR(LOOKUP(KS$1,$S2:$HK2,csv!$L2:$HD2)),NA(),LOOKUP(KS$1,$S2:$HK2,csv!$L2:$HD2))</f>
        <v>0</v>
      </c>
      <c r="KT2" s="5">
        <f>IF(ISERROR(LOOKUP(KT$1,$S2:$HK2,csv!$L2:$HD2)),NA(),LOOKUP(KT$1,$S2:$HK2,csv!$L2:$HD2))</f>
        <v>0</v>
      </c>
      <c r="KU2" s="5">
        <f>IF(ISERROR(LOOKUP(KU$1,$S2:$HK2,csv!$L2:$HD2)),NA(),LOOKUP(KU$1,$S2:$HK2,csv!$L2:$HD2))</f>
        <v>0</v>
      </c>
      <c r="KV2" s="5">
        <f>IF(ISERROR(LOOKUP(KV$1,$S2:$HK2,csv!$L2:$HD2)),NA(),LOOKUP(KV$1,$S2:$HK2,csv!$L2:$HD2))</f>
        <v>0</v>
      </c>
      <c r="KW2" s="5">
        <f>IF(ISERROR(LOOKUP(KW$1,$S2:$HK2,csv!$L2:$HD2)),NA(),LOOKUP(KW$1,$S2:$HK2,csv!$L2:$HD2))</f>
        <v>0</v>
      </c>
      <c r="KX2" s="5">
        <f>IF(ISERROR(LOOKUP(KX$1,$S2:$HK2,csv!$L2:$HD2)),NA(),LOOKUP(KX$1,$S2:$HK2,csv!$L2:$HD2))</f>
        <v>0</v>
      </c>
      <c r="KY2" s="5">
        <f>IF(ISERROR(LOOKUP(KY$1,$S2:$HK2,csv!$L2:$HD2)),NA(),LOOKUP(KY$1,$S2:$HK2,csv!$L2:$HD2))</f>
        <v>0</v>
      </c>
      <c r="KZ2" s="5">
        <f>IF(ISERROR(LOOKUP(KZ$1,$S2:$HK2,csv!$L2:$HD2)),NA(),LOOKUP(KZ$1,$S2:$HK2,csv!$L2:$HD2))</f>
        <v>0</v>
      </c>
      <c r="LA2" s="5">
        <f>IF(ISERROR(LOOKUP(LA$1,$S2:$HK2,csv!$L2:$HD2)),NA(),LOOKUP(LA$1,$S2:$HK2,csv!$L2:$HD2))</f>
        <v>0</v>
      </c>
      <c r="LB2" s="5">
        <f>IF(ISERROR(LOOKUP(LB$1,$S2:$HK2,csv!$L2:$HD2)),NA(),LOOKUP(LB$1,$S2:$HK2,csv!$L2:$HD2))</f>
        <v>0</v>
      </c>
      <c r="LC2" s="5">
        <f>IF(ISERROR(LOOKUP(LC$1,$S2:$HK2,csv!$L2:$HD2)),NA(),LOOKUP(LC$1,$S2:$HK2,csv!$L2:$HD2))</f>
        <v>0</v>
      </c>
      <c r="LD2" s="5">
        <f>IF(ISERROR(LOOKUP(LD$1,$S2:$HK2,csv!$L2:$HD2)),NA(),LOOKUP(LD$1,$S2:$HK2,csv!$L2:$HD2))</f>
        <v>0</v>
      </c>
      <c r="LE2" s="5">
        <f>IF(ISERROR(LOOKUP(LE$1,$S2:$HK2,csv!$L2:$HD2)),NA(),LOOKUP(LE$1,$S2:$HK2,csv!$L2:$HD2))</f>
        <v>0</v>
      </c>
      <c r="LF2" s="5">
        <f>IF(ISERROR(LOOKUP(LF$1,$S2:$HK2,csv!$L2:$HD2)),NA(),LOOKUP(LF$1,$S2:$HK2,csv!$L2:$HD2))</f>
        <v>0</v>
      </c>
      <c r="LG2" s="5">
        <f>IF(ISERROR(LOOKUP(LG$1,$S2:$HK2,csv!$L2:$HD2)),NA(),LOOKUP(LG$1,$S2:$HK2,csv!$L2:$HD2))</f>
        <v>0</v>
      </c>
      <c r="LH2" s="5">
        <f>IF(ISERROR(LOOKUP(LH$1,$S2:$HK2,csv!$L2:$HD2)),NA(),LOOKUP(LH$1,$S2:$HK2,csv!$L2:$HD2))</f>
        <v>0</v>
      </c>
      <c r="LI2" s="5">
        <f>IF(ISERROR(LOOKUP(LI$1,$S2:$HK2,csv!$L2:$HD2)),NA(),LOOKUP(LI$1,$S2:$HK2,csv!$L2:$HD2))</f>
        <v>0</v>
      </c>
      <c r="LJ2" s="5">
        <f>IF(ISERROR(LOOKUP(LJ$1,$S2:$HK2,csv!$L2:$HD2)),NA(),LOOKUP(LJ$1,$S2:$HK2,csv!$L2:$HD2))</f>
        <v>0</v>
      </c>
      <c r="LK2" s="5">
        <f>IF(ISERROR(LOOKUP(LK$1,$S2:$HK2,csv!$L2:$HD2)),NA(),LOOKUP(LK$1,$S2:$HK2,csv!$L2:$HD2))</f>
        <v>0</v>
      </c>
      <c r="LL2" s="5">
        <f>IF(ISERROR(LOOKUP(LL$1,$S2:$HK2,csv!$L2:$HD2)),NA(),LOOKUP(LL$1,$S2:$HK2,csv!$L2:$HD2))</f>
        <v>0</v>
      </c>
      <c r="LM2" s="5">
        <f>IF(ISERROR(LOOKUP(LM$1,$S2:$HK2,csv!$L2:$HD2)),NA(),LOOKUP(LM$1,$S2:$HK2,csv!$L2:$HD2))</f>
        <v>0</v>
      </c>
      <c r="LN2" s="5">
        <f>IF(ISERROR(LOOKUP(LN$1,$S2:$HK2,csv!$L2:$HD2)),NA(),LOOKUP(LN$1,$S2:$HK2,csv!$L2:$HD2))</f>
        <v>0</v>
      </c>
      <c r="LO2" s="5">
        <f>IF(ISERROR(LOOKUP(LO$1,$S2:$HK2,csv!$L2:$HD2)),NA(),LOOKUP(LO$1,$S2:$HK2,csv!$L2:$HD2))</f>
        <v>0</v>
      </c>
      <c r="LP2" s="5">
        <f>IF(ISERROR(LOOKUP(LP$1,$S2:$HK2,csv!$L2:$HD2)),NA(),LOOKUP(LP$1,$S2:$HK2,csv!$L2:$HD2))</f>
        <v>0</v>
      </c>
      <c r="LQ2" s="5">
        <f>IF(ISERROR(LOOKUP(LQ$1,$S2:$HK2,csv!$L2:$HD2)),NA(),LOOKUP(LQ$1,$S2:$HK2,csv!$L2:$HD2))</f>
        <v>0</v>
      </c>
      <c r="LR2" s="5">
        <f>IF(ISERROR(LOOKUP(LR$1,$S2:$HK2,csv!$L2:$HD2)),NA(),LOOKUP(LR$1,$S2:$HK2,csv!$L2:$HD2))</f>
        <v>0</v>
      </c>
      <c r="LS2" s="5">
        <f>IF(ISERROR(LOOKUP(LS$1,$S2:$HK2,csv!$L2:$HD2)),NA(),LOOKUP(LS$1,$S2:$HK2,csv!$L2:$HD2))</f>
        <v>0</v>
      </c>
      <c r="LT2" s="5">
        <f>IF(ISERROR(LOOKUP(LT$1,$S2:$HK2,csv!$L2:$HD2)),NA(),LOOKUP(LT$1,$S2:$HK2,csv!$L2:$HD2))</f>
        <v>0</v>
      </c>
      <c r="LU2" s="5">
        <f>IF(ISERROR(LOOKUP(LU$1,$S2:$HK2,csv!$L2:$HD2)),NA(),LOOKUP(LU$1,$S2:$HK2,csv!$L2:$HD2))</f>
        <v>0</v>
      </c>
      <c r="LV2" s="5">
        <f>IF(ISERROR(LOOKUP(LV$1,$S2:$HK2,csv!$L2:$HD2)),NA(),LOOKUP(LV$1,$S2:$HK2,csv!$L2:$HD2))</f>
        <v>0</v>
      </c>
      <c r="LW2" s="5">
        <f>IF(ISERROR(LOOKUP(LW$1,$S2:$HK2,csv!$L2:$HD2)),NA(),LOOKUP(LW$1,$S2:$HK2,csv!$L2:$HD2))</f>
        <v>0</v>
      </c>
      <c r="LX2" s="5">
        <f>IF(ISERROR(LOOKUP(LX$1,$S2:$HK2,csv!$L2:$HD2)),NA(),LOOKUP(LX$1,$S2:$HK2,csv!$L2:$HD2))</f>
        <v>0</v>
      </c>
      <c r="LY2" s="5">
        <f>IF(ISERROR(LOOKUP(LY$1,$S2:$HK2,csv!$L2:$HD2)),NA(),LOOKUP(LY$1,$S2:$HK2,csv!$L2:$HD2))</f>
        <v>0</v>
      </c>
      <c r="LZ2" s="5">
        <f>IF(ISERROR(LOOKUP(LZ$1,$S2:$HK2,csv!$L2:$HD2)),NA(),LOOKUP(LZ$1,$S2:$HK2,csv!$L2:$HD2))</f>
        <v>0</v>
      </c>
      <c r="MA2" s="5">
        <f>IF(ISERROR(LOOKUP(MA$1,$S2:$HK2,csv!$L2:$HD2)),NA(),LOOKUP(MA$1,$S2:$HK2,csv!$L2:$HD2))</f>
        <v>0</v>
      </c>
      <c r="MB2" s="5">
        <f>IF(ISERROR(LOOKUP(MB$1,$S2:$HK2,csv!$L2:$HD2)),NA(),LOOKUP(MB$1,$S2:$HK2,csv!$L2:$HD2))</f>
        <v>0</v>
      </c>
      <c r="MC2" s="5">
        <f>IF(ISERROR(LOOKUP(MC$1,$S2:$HK2,csv!$L2:$HD2)),NA(),LOOKUP(MC$1,$S2:$HK2,csv!$L2:$HD2))</f>
        <v>0</v>
      </c>
      <c r="MD2" s="5">
        <f>IF(ISERROR(LOOKUP(MD$1,$S2:$HK2,csv!$L2:$HD2)),NA(),LOOKUP(MD$1,$S2:$HK2,csv!$L2:$HD2))</f>
        <v>0</v>
      </c>
      <c r="ME2" s="5">
        <f>IF(ISERROR(LOOKUP(ME$1,$S2:$HK2,csv!$L2:$HD2)),NA(),LOOKUP(ME$1,$S2:$HK2,csv!$L2:$HD2))</f>
        <v>0</v>
      </c>
      <c r="MF2" s="5">
        <f>IF(ISERROR(LOOKUP(MF$1,$S2:$HK2,csv!$L2:$HD2)),NA(),LOOKUP(MF$1,$S2:$HK2,csv!$L2:$HD2))</f>
        <v>0</v>
      </c>
      <c r="MG2" s="5">
        <f>IF(ISERROR(LOOKUP(MG$1,$S2:$HK2,csv!$L2:$HD2)),NA(),LOOKUP(MG$1,$S2:$HK2,csv!$L2:$HD2))</f>
        <v>0</v>
      </c>
      <c r="MH2" s="5">
        <f>IF(ISERROR(LOOKUP(MH$1,$S2:$HK2,csv!$L2:$HD2)),NA(),LOOKUP(MH$1,$S2:$HK2,csv!$L2:$HD2))</f>
        <v>0</v>
      </c>
      <c r="MI2" s="5">
        <f>IF(ISERROR(LOOKUP(MI$1,$S2:$HK2,csv!$L2:$HD2)),NA(),LOOKUP(MI$1,$S2:$HK2,csv!$L2:$HD2))</f>
        <v>0</v>
      </c>
      <c r="MJ2" s="5">
        <f>IF(ISERROR(LOOKUP(MJ$1,$S2:$HK2,csv!$L2:$HD2)),NA(),LOOKUP(MJ$1,$S2:$HK2,csv!$L2:$HD2))</f>
        <v>0</v>
      </c>
      <c r="MK2" s="5">
        <f>IF(ISERROR(LOOKUP(MK$1,$S2:$HK2,csv!$L2:$HD2)),NA(),LOOKUP(MK$1,$S2:$HK2,csv!$L2:$HD2))</f>
        <v>0</v>
      </c>
      <c r="ML2" s="5">
        <f>IF(ISERROR(LOOKUP(ML$1,$S2:$HK2,csv!$L2:$HD2)),NA(),LOOKUP(ML$1,$S2:$HK2,csv!$L2:$HD2))</f>
        <v>0</v>
      </c>
      <c r="MM2" s="5">
        <f>IF(ISERROR(LOOKUP(MM$1,$S2:$HK2,csv!$L2:$HD2)),NA(),LOOKUP(MM$1,$S2:$HK2,csv!$L2:$HD2))</f>
        <v>0</v>
      </c>
      <c r="MN2" s="5">
        <f>IF(ISERROR(LOOKUP(MN$1,$S2:$HK2,csv!$L2:$HD2)),NA(),LOOKUP(MN$1,$S2:$HK2,csv!$L2:$HD2))</f>
        <v>0</v>
      </c>
      <c r="MO2" s="5">
        <f>IF(ISERROR(LOOKUP(MO$1,$S2:$HK2,csv!$L2:$HD2)),NA(),LOOKUP(MO$1,$S2:$HK2,csv!$L2:$HD2))</f>
        <v>0</v>
      </c>
      <c r="MP2" s="5">
        <f>IF(ISERROR(LOOKUP(MP$1,$S2:$HK2,csv!$L2:$HD2)),NA(),LOOKUP(MP$1,$S2:$HK2,csv!$L2:$HD2))</f>
        <v>0</v>
      </c>
      <c r="MQ2" s="5">
        <f>IF(ISERROR(LOOKUP(MQ$1,$S2:$HK2,csv!$L2:$HD2)),NA(),LOOKUP(MQ$1,$S2:$HK2,csv!$L2:$HD2))</f>
        <v>0</v>
      </c>
      <c r="MR2" s="5">
        <f>IF(ISERROR(LOOKUP(MR$1,$S2:$HK2,csv!$L2:$HD2)),NA(),LOOKUP(MR$1,$S2:$HK2,csv!$L2:$HD2))</f>
        <v>0</v>
      </c>
      <c r="MS2" s="5">
        <f>IF(ISERROR(LOOKUP(MS$1,$S2:$HK2,csv!$L2:$HD2)),NA(),LOOKUP(MS$1,$S2:$HK2,csv!$L2:$HD2))</f>
        <v>0</v>
      </c>
      <c r="MT2" s="5">
        <f>IF(ISERROR(LOOKUP(MT$1,$S2:$HK2,csv!$L2:$HD2)),NA(),LOOKUP(MT$1,$S2:$HK2,csv!$L2:$HD2))</f>
        <v>0</v>
      </c>
      <c r="MU2" s="5">
        <f>IF(ISERROR(LOOKUP(MU$1,$S2:$HK2,csv!$L2:$HD2)),NA(),LOOKUP(MU$1,$S2:$HK2,csv!$L2:$HD2))</f>
        <v>0</v>
      </c>
      <c r="MV2" s="5">
        <f>IF(ISERROR(LOOKUP(MV$1,$S2:$HK2,csv!$L2:$HD2)),NA(),LOOKUP(MV$1,$S2:$HK2,csv!$L2:$HD2))</f>
        <v>0</v>
      </c>
      <c r="MW2" s="5">
        <f>IF(ISERROR(LOOKUP(MW$1,$S2:$HK2,csv!$L2:$HD2)),NA(),LOOKUP(MW$1,$S2:$HK2,csv!$L2:$HD2))</f>
        <v>0</v>
      </c>
      <c r="MX2" s="5">
        <f>IF(ISERROR(LOOKUP(MX$1,$S2:$HK2,csv!$L2:$HD2)),NA(),LOOKUP(MX$1,$S2:$HK2,csv!$L2:$HD2))</f>
        <v>0</v>
      </c>
      <c r="MY2" s="5">
        <f>IF(ISERROR(LOOKUP(MY$1,$S2:$HK2,csv!$L2:$HD2)),NA(),LOOKUP(MY$1,$S2:$HK2,csv!$L2:$HD2))</f>
        <v>0</v>
      </c>
      <c r="MZ2" s="5">
        <f>IF(ISERROR(LOOKUP(MZ$1,$S2:$HK2,csv!$L2:$HD2)),NA(),LOOKUP(MZ$1,$S2:$HK2,csv!$L2:$HD2))</f>
        <v>0</v>
      </c>
      <c r="NA2" s="5">
        <f>IF(ISERROR(LOOKUP(NA$1,$S2:$HK2,csv!$L2:$HD2)),NA(),LOOKUP(NA$1,$S2:$HK2,csv!$L2:$HD2))</f>
        <v>0</v>
      </c>
      <c r="NB2" s="5">
        <f>IF(ISERROR(LOOKUP(NB$1,$S2:$HK2,csv!$L2:$HD2)),NA(),LOOKUP(NB$1,$S2:$HK2,csv!$L2:$HD2))</f>
        <v>0</v>
      </c>
      <c r="NC2" s="5">
        <f>IF(ISERROR(LOOKUP(NC$1,$S2:$HK2,csv!$L2:$HD2)),NA(),LOOKUP(NC$1,$S2:$HK2,csv!$L2:$HD2))</f>
        <v>0</v>
      </c>
      <c r="ND2" s="5">
        <f>IF(ISERROR(LOOKUP(ND$1,$S2:$HK2,csv!$L2:$HD2)),NA(),LOOKUP(ND$1,$S2:$HK2,csv!$L2:$HD2))</f>
        <v>0</v>
      </c>
      <c r="NE2" s="5">
        <f>IF(ISERROR(LOOKUP(NE$1,$S2:$HK2,csv!$L2:$HD2)),NA(),LOOKUP(NE$1,$S2:$HK2,csv!$L2:$HD2))</f>
        <v>0</v>
      </c>
      <c r="NF2" s="5">
        <f>IF(ISERROR(LOOKUP(NF$1,$S2:$HK2,csv!$L2:$HD2)),NA(),LOOKUP(NF$1,$S2:$HK2,csv!$L2:$HD2))</f>
        <v>0</v>
      </c>
      <c r="NG2" s="5">
        <f>IF(ISERROR(LOOKUP(NG$1,$S2:$HK2,csv!$L2:$HD2)),NA(),LOOKUP(NG$1,$S2:$HK2,csv!$L2:$HD2))</f>
        <v>0</v>
      </c>
      <c r="NH2" s="5">
        <f>IF(ISERROR(LOOKUP(NH$1,$S2:$HK2,csv!$L2:$HD2)),NA(),LOOKUP(NH$1,$S2:$HK2,csv!$L2:$HD2))</f>
        <v>0</v>
      </c>
      <c r="NI2" s="5">
        <f>IF(ISERROR(LOOKUP(NI$1,$S2:$HK2,csv!$L2:$HD2)),NA(),LOOKUP(NI$1,$S2:$HK2,csv!$L2:$HD2))</f>
        <v>0</v>
      </c>
      <c r="NJ2" s="5">
        <f>IF(ISERROR(LOOKUP(NJ$1,$S2:$HK2,csv!$L2:$HD2)),NA(),LOOKUP(NJ$1,$S2:$HK2,csv!$L2:$HD2))</f>
        <v>0</v>
      </c>
      <c r="NK2" s="5">
        <f>IF(ISERROR(LOOKUP(NK$1,$S2:$HK2,csv!$L2:$HD2)),NA(),LOOKUP(NK$1,$S2:$HK2,csv!$L2:$HD2))</f>
        <v>0</v>
      </c>
      <c r="NL2" s="5">
        <f>IF(ISERROR(LOOKUP(NL$1,$S2:$HK2,csv!$L2:$HD2)),NA(),LOOKUP(NL$1,$S2:$HK2,csv!$L2:$HD2))</f>
        <v>0</v>
      </c>
      <c r="NM2" s="5">
        <f>IF(ISERROR(LOOKUP(NM$1,$S2:$HK2,csv!$L2:$HD2)),NA(),LOOKUP(NM$1,$S2:$HK2,csv!$L2:$HD2))</f>
        <v>0</v>
      </c>
      <c r="NN2" s="5">
        <f>IF(ISERROR(LOOKUP(NN$1,$S2:$HK2,csv!$L2:$HD2)),NA(),LOOKUP(NN$1,$S2:$HK2,csv!$L2:$HD2))</f>
        <v>0</v>
      </c>
      <c r="NO2" s="5">
        <f>IF(ISERROR(LOOKUP(NO$1,$S2:$HK2,csv!$L2:$HD2)),NA(),LOOKUP(NO$1,$S2:$HK2,csv!$L2:$HD2))</f>
        <v>0</v>
      </c>
      <c r="NP2" s="5">
        <f>IF(ISERROR(LOOKUP(NP$1,$S2:$HK2,csv!$L2:$HD2)),NA(),LOOKUP(NP$1,$S2:$HK2,csv!$L2:$HD2))</f>
        <v>0</v>
      </c>
      <c r="NQ2" s="5">
        <f>IF(ISERROR(LOOKUP(NQ$1,$S2:$HK2,csv!$L2:$HD2)),NA(),LOOKUP(NQ$1,$S2:$HK2,csv!$L2:$HD2))</f>
        <v>0</v>
      </c>
      <c r="NR2" s="5">
        <f>IF(ISERROR(LOOKUP(NR$1,$S2:$HK2,csv!$L2:$HD2)),NA(),LOOKUP(NR$1,$S2:$HK2,csv!$L2:$HD2))</f>
        <v>0</v>
      </c>
      <c r="NS2" s="5">
        <f>IF(ISERROR(LOOKUP(NS$1,$S2:$HK2,csv!$L2:$HD2)),NA(),LOOKUP(NS$1,$S2:$HK2,csv!$L2:$HD2))</f>
        <v>0</v>
      </c>
      <c r="NT2" s="5">
        <f>IF(ISERROR(LOOKUP(NT$1,$S2:$HK2,csv!$L2:$HD2)),NA(),LOOKUP(NT$1,$S2:$HK2,csv!$L2:$HD2))</f>
        <v>0</v>
      </c>
      <c r="NU2" s="5">
        <f>IF(ISERROR(LOOKUP(NU$1,$S2:$HK2,csv!$L2:$HD2)),NA(),LOOKUP(NU$1,$S2:$HK2,csv!$L2:$HD2))</f>
        <v>0</v>
      </c>
      <c r="NV2" s="5">
        <f>IF(ISERROR(LOOKUP(NV$1,$S2:$HK2,csv!$L2:$HD2)),NA(),LOOKUP(NV$1,$S2:$HK2,csv!$L2:$HD2))</f>
        <v>0</v>
      </c>
      <c r="NW2" s="5">
        <f>IF(ISERROR(LOOKUP(NW$1,$S2:$HK2,csv!$L2:$HD2)),NA(),LOOKUP(NW$1,$S2:$HK2,csv!$L2:$HD2))</f>
        <v>0</v>
      </c>
      <c r="NX2" s="5">
        <f>IF(ISERROR(LOOKUP(NX$1,$S2:$HK2,csv!$L2:$HD2)),NA(),LOOKUP(NX$1,$S2:$HK2,csv!$L2:$HD2))</f>
        <v>0</v>
      </c>
      <c r="NY2" s="5">
        <f>IF(ISERROR(LOOKUP(NY$1,$S2:$HK2,csv!$L2:$HD2)),NA(),LOOKUP(NY$1,$S2:$HK2,csv!$L2:$HD2))</f>
        <v>0</v>
      </c>
      <c r="NZ2" s="5">
        <f>IF(ISERROR(LOOKUP(NZ$1,$S2:$HK2,csv!$L2:$HD2)),NA(),LOOKUP(NZ$1,$S2:$HK2,csv!$L2:$HD2))</f>
        <v>0</v>
      </c>
      <c r="OA2" s="5">
        <f>IF(ISERROR(LOOKUP(OA$1,$S2:$HK2,csv!$L2:$HD2)),NA(),LOOKUP(OA$1,$S2:$HK2,csv!$L2:$HD2))</f>
        <v>0</v>
      </c>
      <c r="OB2" s="5">
        <f>IF(ISERROR(LOOKUP(OB$1,$S2:$HK2,csv!$L2:$HD2)),NA(),LOOKUP(OB$1,$S2:$HK2,csv!$L2:$HD2))</f>
        <v>0</v>
      </c>
      <c r="OC2" s="5">
        <f>IF(ISERROR(LOOKUP(OC$1,$S2:$HK2,csv!$L2:$HD2)),NA(),LOOKUP(OC$1,$S2:$HK2,csv!$L2:$HD2))</f>
        <v>0</v>
      </c>
      <c r="OD2" s="5">
        <f>IF(ISERROR(LOOKUP(OD$1,$S2:$HK2,csv!$L2:$HD2)),NA(),LOOKUP(OD$1,$S2:$HK2,csv!$L2:$HD2))</f>
        <v>0</v>
      </c>
      <c r="OE2" s="5">
        <f>IF(ISERROR(LOOKUP(OE$1,$S2:$HK2,csv!$L2:$HD2)),NA(),LOOKUP(OE$1,$S2:$HK2,csv!$L2:$HD2))</f>
        <v>0</v>
      </c>
      <c r="OF2" s="5">
        <f>IF(ISERROR(LOOKUP(OF$1,$S2:$HK2,csv!$L2:$HD2)),NA(),LOOKUP(OF$1,$S2:$HK2,csv!$L2:$HD2))</f>
        <v>0</v>
      </c>
      <c r="OG2" s="5">
        <f>IF(ISERROR(LOOKUP(OG$1,$S2:$HK2,csv!$L2:$HD2)),NA(),LOOKUP(OG$1,$S2:$HK2,csv!$L2:$HD2))</f>
        <v>0</v>
      </c>
      <c r="OH2" s="5">
        <f>IF(ISERROR(LOOKUP(OH$1,$S2:$HK2,csv!$L2:$HD2)),NA(),LOOKUP(OH$1,$S2:$HK2,csv!$L2:$HD2))</f>
        <v>0</v>
      </c>
      <c r="OI2" s="5">
        <f>IF(ISERROR(LOOKUP(OI$1,$S2:$HK2,csv!$L2:$HD2)),NA(),LOOKUP(OI$1,$S2:$HK2,csv!$L2:$HD2))</f>
        <v>0</v>
      </c>
      <c r="OJ2" s="5">
        <f>IF(ISERROR(LOOKUP(OJ$1,$S2:$HK2,csv!$L2:$HD2)),NA(),LOOKUP(OJ$1,$S2:$HK2,csv!$L2:$HD2))</f>
        <v>0</v>
      </c>
      <c r="OK2" s="5">
        <f>IF(ISERROR(LOOKUP(OK$1,$S2:$HK2,csv!$L2:$HD2)),NA(),LOOKUP(OK$1,$S2:$HK2,csv!$L2:$HD2))</f>
        <v>0</v>
      </c>
      <c r="OL2" s="5">
        <f>IF(ISERROR(LOOKUP(OL$1,$S2:$HK2,csv!$L2:$HD2)),NA(),LOOKUP(OL$1,$S2:$HK2,csv!$L2:$HD2))</f>
        <v>0</v>
      </c>
      <c r="OM2" s="5">
        <f>IF(ISERROR(LOOKUP(OM$1,$S2:$HK2,csv!$L2:$HD2)),NA(),LOOKUP(OM$1,$S2:$HK2,csv!$L2:$HD2))</f>
        <v>0</v>
      </c>
      <c r="ON2" s="5">
        <f>IF(ISERROR(LOOKUP(ON$1,$S2:$HK2,csv!$L2:$HD2)),NA(),LOOKUP(ON$1,$S2:$HK2,csv!$L2:$HD2))</f>
        <v>0</v>
      </c>
      <c r="OO2" s="5">
        <f>IF(ISERROR(LOOKUP(OO$1,$S2:$HK2,csv!$L2:$HD2)),NA(),LOOKUP(OO$1,$S2:$HK2,csv!$L2:$HD2))</f>
        <v>0</v>
      </c>
      <c r="OP2" s="5">
        <f>IF(ISERROR(LOOKUP(OP$1,$S2:$HK2,csv!$L2:$HD2)),NA(),LOOKUP(OP$1,$S2:$HK2,csv!$L2:$HD2))</f>
        <v>0</v>
      </c>
      <c r="OQ2" s="5">
        <f>IF(ISERROR(LOOKUP(OQ$1,$S2:$HK2,csv!$L2:$HD2)),NA(),LOOKUP(OQ$1,$S2:$HK2,csv!$L2:$HD2))</f>
        <v>0</v>
      </c>
      <c r="OR2" s="5">
        <f>IF(ISERROR(LOOKUP(OR$1,$S2:$HK2,csv!$L2:$HD2)),NA(),LOOKUP(OR$1,$S2:$HK2,csv!$L2:$HD2))</f>
        <v>0</v>
      </c>
      <c r="OS2" s="5">
        <f>IF(ISERROR(LOOKUP(OS$1,$S2:$HK2,csv!$L2:$HD2)),NA(),LOOKUP(OS$1,$S2:$HK2,csv!$L2:$HD2))</f>
        <v>0</v>
      </c>
      <c r="OT2" s="5">
        <f>IF(ISERROR(LOOKUP(OT$1,$S2:$HK2,csv!$L2:$HD2)),NA(),LOOKUP(OT$1,$S2:$HK2,csv!$L2:$HD2))</f>
        <v>0</v>
      </c>
      <c r="OU2" s="5">
        <f>IF(ISERROR(LOOKUP(OU$1,$S2:$HK2,csv!$L2:$HD2)),NA(),LOOKUP(OU$1,$S2:$HK2,csv!$L2:$HD2))</f>
        <v>0</v>
      </c>
      <c r="OV2" s="5">
        <f>IF(ISERROR(LOOKUP(OV$1,$S2:$HK2,csv!$L2:$HD2)),NA(),LOOKUP(OV$1,$S2:$HK2,csv!$L2:$HD2))</f>
        <v>0</v>
      </c>
      <c r="OW2" s="5">
        <f>IF(ISERROR(LOOKUP(OW$1,$S2:$HK2,csv!$L2:$HD2)),NA(),LOOKUP(OW$1,$S2:$HK2,csv!$L2:$HD2))</f>
        <v>0</v>
      </c>
      <c r="OX2" s="5">
        <f>IF(ISERROR(LOOKUP(OX$1,$S2:$HK2,csv!$L2:$HD2)),NA(),LOOKUP(OX$1,$S2:$HK2,csv!$L2:$HD2))</f>
        <v>0</v>
      </c>
      <c r="OY2" s="5">
        <f>IF(ISERROR(LOOKUP(OY$1,$S2:$HK2,csv!$L2:$HD2)),NA(),LOOKUP(OY$1,$S2:$HK2,csv!$L2:$HD2))</f>
        <v>0</v>
      </c>
      <c r="OZ2" s="5">
        <f>IF(ISERROR(LOOKUP(OZ$1,$S2:$HK2,csv!$L2:$HD2)),NA(),LOOKUP(OZ$1,$S2:$HK2,csv!$L2:$HD2))</f>
        <v>0</v>
      </c>
      <c r="PA2" s="5">
        <f>IF(ISERROR(LOOKUP(PA$1,$S2:$HK2,csv!$L2:$HD2)),NA(),LOOKUP(PA$1,$S2:$HK2,csv!$L2:$HD2))</f>
        <v>0</v>
      </c>
      <c r="PB2" s="5">
        <f>IF(ISERROR(LOOKUP(PB$1,$S2:$HK2,csv!$L2:$HD2)),NA(),LOOKUP(PB$1,$S2:$HK2,csv!$L2:$HD2))</f>
        <v>0</v>
      </c>
      <c r="PC2" s="5">
        <f>IF(ISERROR(LOOKUP(PC$1,$S2:$HK2,csv!$L2:$HD2)),NA(),LOOKUP(PC$1,$S2:$HK2,csv!$L2:$HD2))</f>
        <v>0</v>
      </c>
      <c r="PD2" s="5">
        <f>IF(ISERROR(LOOKUP(PD$1,$S2:$HK2,csv!$L2:$HD2)),NA(),LOOKUP(PD$1,$S2:$HK2,csv!$L2:$HD2))</f>
        <v>0</v>
      </c>
      <c r="PE2" s="5">
        <f>IF(ISERROR(LOOKUP(PE$1,$S2:$HK2,csv!$L2:$HD2)),NA(),LOOKUP(PE$1,$S2:$HK2,csv!$L2:$HD2))</f>
        <v>0</v>
      </c>
      <c r="PF2" s="5">
        <f>IF(ISERROR(LOOKUP(PF$1,$S2:$HK2,csv!$L2:$HD2)),NA(),LOOKUP(PF$1,$S2:$HK2,csv!$L2:$HD2))</f>
        <v>0</v>
      </c>
      <c r="PG2" s="5">
        <f>IF(ISERROR(LOOKUP(PG$1,$S2:$HK2,csv!$L2:$HD2)),NA(),LOOKUP(PG$1,$S2:$HK2,csv!$L2:$HD2))</f>
        <v>0</v>
      </c>
      <c r="PH2" s="5">
        <f>IF(ISERROR(LOOKUP(PH$1,$S2:$HK2,csv!$L2:$HD2)),NA(),LOOKUP(PH$1,$S2:$HK2,csv!$L2:$HD2))</f>
        <v>0</v>
      </c>
      <c r="PI2" s="5">
        <f>IF(ISERROR(LOOKUP(PI$1,$S2:$HK2,csv!$L2:$HD2)),NA(),LOOKUP(PI$1,$S2:$HK2,csv!$L2:$HD2))</f>
        <v>0</v>
      </c>
      <c r="PJ2" s="5">
        <f>IF(ISERROR(LOOKUP(PJ$1,$S2:$HK2,csv!$L2:$HD2)),NA(),LOOKUP(PJ$1,$S2:$HK2,csv!$L2:$HD2))</f>
        <v>0</v>
      </c>
      <c r="PK2" s="5">
        <f>IF(ISERROR(LOOKUP(PK$1,$S2:$HK2,csv!$L2:$HD2)),NA(),LOOKUP(PK$1,$S2:$HK2,csv!$L2:$HD2))</f>
        <v>0</v>
      </c>
      <c r="PL2" s="5">
        <f>IF(ISERROR(LOOKUP(PL$1,$S2:$HK2,csv!$L2:$HD2)),NA(),LOOKUP(PL$1,$S2:$HK2,csv!$L2:$HD2))</f>
        <v>0</v>
      </c>
      <c r="PM2" s="5">
        <f>IF(ISERROR(LOOKUP(PM$1,$S2:$HK2,csv!$L2:$HD2)),NA(),LOOKUP(PM$1,$S2:$HK2,csv!$L2:$HD2))</f>
        <v>0</v>
      </c>
      <c r="PN2" s="5">
        <f>IF(ISERROR(LOOKUP(PN$1,$S2:$HK2,csv!$L2:$HD2)),NA(),LOOKUP(PN$1,$S2:$HK2,csv!$L2:$HD2))</f>
        <v>0</v>
      </c>
      <c r="PO2" s="5">
        <f>IF(ISERROR(LOOKUP(PO$1,$S2:$HK2,csv!$L2:$HD2)),NA(),LOOKUP(PO$1,$S2:$HK2,csv!$L2:$HD2))</f>
        <v>0</v>
      </c>
      <c r="PP2" s="5">
        <f>IF(ISERROR(LOOKUP(PP$1,$S2:$HK2,csv!$L2:$HD2)),NA(),LOOKUP(PP$1,$S2:$HK2,csv!$L2:$HD2))</f>
        <v>0</v>
      </c>
      <c r="PQ2" s="5">
        <f>IF(ISERROR(LOOKUP(PQ$1,$S2:$HK2,csv!$L2:$HD2)),NA(),LOOKUP(PQ$1,$S2:$HK2,csv!$L2:$HD2))</f>
        <v>0</v>
      </c>
      <c r="PR2" s="5">
        <f>IF(ISERROR(LOOKUP(PR$1,$S2:$HK2,csv!$L2:$HD2)),NA(),LOOKUP(PR$1,$S2:$HK2,csv!$L2:$HD2))</f>
        <v>0</v>
      </c>
      <c r="PS2" s="5">
        <f>IF(ISERROR(LOOKUP(PS$1,$S2:$HK2,csv!$L2:$HD2)),NA(),LOOKUP(PS$1,$S2:$HK2,csv!$L2:$HD2))</f>
        <v>0</v>
      </c>
      <c r="PT2" s="5">
        <f>IF(ISERROR(LOOKUP(PT$1,$S2:$HK2,csv!$L2:$HD2)),NA(),LOOKUP(PT$1,$S2:$HK2,csv!$L2:$HD2))</f>
        <v>0</v>
      </c>
      <c r="PU2" s="5">
        <f>IF(ISERROR(LOOKUP(PU$1,$S2:$HK2,csv!$L2:$HD2)),NA(),LOOKUP(PU$1,$S2:$HK2,csv!$L2:$HD2))</f>
        <v>0</v>
      </c>
      <c r="PV2" s="5">
        <f>IF(ISERROR(LOOKUP(PV$1,$S2:$HK2,csv!$L2:$HD2)),NA(),LOOKUP(PV$1,$S2:$HK2,csv!$L2:$HD2))</f>
        <v>0</v>
      </c>
      <c r="PW2" s="5">
        <f>IF(ISERROR(LOOKUP(PW$1,$S2:$HK2,csv!$L2:$HD2)),NA(),LOOKUP(PW$1,$S2:$HK2,csv!$L2:$HD2))</f>
        <v>0</v>
      </c>
      <c r="PX2" s="5">
        <f>IF(ISERROR(LOOKUP(PX$1,$S2:$HK2,csv!$L2:$HD2)),NA(),LOOKUP(PX$1,$S2:$HK2,csv!$L2:$HD2))</f>
        <v>0</v>
      </c>
      <c r="PY2" s="5">
        <f>IF(ISERROR(LOOKUP(PY$1,$S2:$HK2,csv!$L2:$HD2)),NA(),LOOKUP(PY$1,$S2:$HK2,csv!$L2:$HD2))</f>
        <v>0</v>
      </c>
      <c r="PZ2" s="5">
        <f>IF(ISERROR(LOOKUP(PZ$1,$S2:$HK2,csv!$L2:$HD2)),NA(),LOOKUP(PZ$1,$S2:$HK2,csv!$L2:$HD2))</f>
        <v>0</v>
      </c>
      <c r="QA2" s="5">
        <f>IF(ISERROR(LOOKUP(QA$1,$S2:$HK2,csv!$L2:$HD2)),NA(),LOOKUP(QA$1,$S2:$HK2,csv!$L2:$HD2))</f>
        <v>0</v>
      </c>
      <c r="QB2" s="5">
        <f>IF(ISERROR(LOOKUP(QB$1,$S2:$HK2,csv!$L2:$HD2)),NA(),LOOKUP(QB$1,$S2:$HK2,csv!$L2:$HD2))</f>
        <v>0</v>
      </c>
      <c r="QC2" s="5">
        <f>IF(ISERROR(LOOKUP(QC$1,$S2:$HK2,csv!$L2:$HD2)),NA(),LOOKUP(QC$1,$S2:$HK2,csv!$L2:$HD2))</f>
        <v>0</v>
      </c>
      <c r="QD2" s="5">
        <f>IF(ISERROR(LOOKUP(QD$1,$S2:$HK2,csv!$L2:$HD2)),NA(),LOOKUP(QD$1,$S2:$HK2,csv!$L2:$HD2))</f>
        <v>0</v>
      </c>
      <c r="QE2" s="5">
        <f>IF(ISERROR(LOOKUP(QE$1,$S2:$HK2,csv!$L2:$HD2)),NA(),LOOKUP(QE$1,$S2:$HK2,csv!$L2:$HD2))</f>
        <v>0</v>
      </c>
      <c r="QF2" s="5">
        <f>IF(ISERROR(LOOKUP(QF$1,$S2:$HK2,csv!$L2:$HD2)),NA(),LOOKUP(QF$1,$S2:$HK2,csv!$L2:$HD2))</f>
        <v>0</v>
      </c>
      <c r="QG2" s="5">
        <f>IF(ISERROR(LOOKUP(QG$1,$S2:$HK2,csv!$L2:$HD2)),NA(),LOOKUP(QG$1,$S2:$HK2,csv!$L2:$HD2))</f>
        <v>0</v>
      </c>
      <c r="QH2" s="5">
        <f>IF(ISERROR(LOOKUP(QH$1,$S2:$HK2,csv!$L2:$HD2)),NA(),LOOKUP(QH$1,$S2:$HK2,csv!$L2:$HD2))</f>
        <v>0</v>
      </c>
      <c r="QI2" s="5">
        <f>IF(ISERROR(LOOKUP(QI$1,$S2:$HK2,csv!$L2:$HD2)),NA(),LOOKUP(QI$1,$S2:$HK2,csv!$L2:$HD2))</f>
        <v>0</v>
      </c>
      <c r="QJ2" s="5">
        <f>IF(ISERROR(LOOKUP(QJ$1,$S2:$HK2,csv!$L2:$HD2)),NA(),LOOKUP(QJ$1,$S2:$HK2,csv!$L2:$HD2))</f>
        <v>0</v>
      </c>
      <c r="QK2" s="5">
        <f>IF(ISERROR(LOOKUP(QK$1,$S2:$HK2,csv!$L2:$HD2)),NA(),LOOKUP(QK$1,$S2:$HK2,csv!$L2:$HD2))</f>
        <v>0</v>
      </c>
      <c r="QL2" s="5">
        <f>IF(ISERROR(LOOKUP(QL$1,$S2:$HK2,csv!$L2:$HD2)),NA(),LOOKUP(QL$1,$S2:$HK2,csv!$L2:$HD2))</f>
        <v>0</v>
      </c>
      <c r="QM2" s="5">
        <f>IF(ISERROR(LOOKUP(QM$1,$S2:$HK2,csv!$L2:$HD2)),NA(),LOOKUP(QM$1,$S2:$HK2,csv!$L2:$HD2))</f>
        <v>0</v>
      </c>
      <c r="QN2" s="5">
        <f>IF(ISERROR(LOOKUP(QN$1,$S2:$HK2,csv!$L2:$HD2)),NA(),LOOKUP(QN$1,$S2:$HK2,csv!$L2:$HD2))</f>
        <v>0</v>
      </c>
      <c r="QO2" s="5">
        <f>IF(ISERROR(LOOKUP(QO$1,$S2:$HK2,csv!$L2:$HD2)),NA(),LOOKUP(QO$1,$S2:$HK2,csv!$L2:$HD2))</f>
        <v>0</v>
      </c>
      <c r="QP2" s="5">
        <f>IF(ISERROR(LOOKUP(QP$1,$S2:$HK2,csv!$L2:$HD2)),NA(),LOOKUP(QP$1,$S2:$HK2,csv!$L2:$HD2))</f>
        <v>0</v>
      </c>
      <c r="QQ2" s="5">
        <f>IF(ISERROR(LOOKUP(QQ$1,$S2:$HK2,csv!$L2:$HD2)),NA(),LOOKUP(QQ$1,$S2:$HK2,csv!$L2:$HD2))</f>
        <v>0</v>
      </c>
      <c r="QR2" s="5">
        <f>IF(ISERROR(LOOKUP(QR$1,$S2:$HK2,csv!$L2:$HD2)),NA(),LOOKUP(QR$1,$S2:$HK2,csv!$L2:$HD2))</f>
        <v>0</v>
      </c>
      <c r="QS2" s="5">
        <f>IF(ISERROR(LOOKUP(QS$1,$S2:$HK2,csv!$L2:$HD2)),NA(),LOOKUP(QS$1,$S2:$HK2,csv!$L2:$HD2))</f>
        <v>0</v>
      </c>
      <c r="QT2" s="5">
        <f>IF(ISERROR(LOOKUP(QT$1,$S2:$HK2,csv!$L2:$HD2)),NA(),LOOKUP(QT$1,$S2:$HK2,csv!$L2:$HD2))</f>
        <v>0</v>
      </c>
      <c r="QU2" s="5">
        <f>IF(ISERROR(LOOKUP(QU$1,$S2:$HK2,csv!$L2:$HD2)),NA(),LOOKUP(QU$1,$S2:$HK2,csv!$L2:$HD2))</f>
        <v>0</v>
      </c>
      <c r="QV2" s="5">
        <f>IF(ISERROR(LOOKUP(QV$1,$S2:$HK2,csv!$L2:$HD2)),NA(),LOOKUP(QV$1,$S2:$HK2,csv!$L2:$HD2))</f>
        <v>0</v>
      </c>
      <c r="QW2" s="5">
        <f>IF(ISERROR(LOOKUP(QW$1,$S2:$HK2,csv!$L2:$HD2)),NA(),LOOKUP(QW$1,$S2:$HK2,csv!$L2:$HD2))</f>
        <v>0</v>
      </c>
      <c r="QX2" s="5">
        <f>IF(ISERROR(LOOKUP(QX$1,$S2:$HK2,csv!$L2:$HD2)),NA(),LOOKUP(QX$1,$S2:$HK2,csv!$L2:$HD2))</f>
        <v>0</v>
      </c>
      <c r="QY2" s="5">
        <f>IF(ISERROR(LOOKUP(QY$1,$S2:$HK2,csv!$L2:$HD2)),NA(),LOOKUP(QY$1,$S2:$HK2,csv!$L2:$HD2))</f>
        <v>0</v>
      </c>
      <c r="QZ2" s="5">
        <f>IF(ISERROR(LOOKUP(QZ$1,$S2:$HK2,csv!$L2:$HD2)),NA(),LOOKUP(QZ$1,$S2:$HK2,csv!$L2:$HD2))</f>
        <v>0</v>
      </c>
      <c r="RA2" s="5">
        <f>IF(ISERROR(LOOKUP(RA$1,$S2:$HK2,csv!$L2:$HD2)),NA(),LOOKUP(RA$1,$S2:$HK2,csv!$L2:$HD2))</f>
        <v>0</v>
      </c>
      <c r="RB2" s="5">
        <f>IF(ISERROR(LOOKUP(RB$1,$S2:$HK2,csv!$L2:$HD2)),NA(),LOOKUP(RB$1,$S2:$HK2,csv!$L2:$HD2))</f>
        <v>0</v>
      </c>
      <c r="RC2" s="5">
        <f>IF(ISERROR(LOOKUP(RC$1,$S2:$HK2,csv!$L2:$HD2)),NA(),LOOKUP(RC$1,$S2:$HK2,csv!$L2:$HD2))</f>
        <v>0</v>
      </c>
      <c r="RD2" s="5">
        <f>IF(ISERROR(LOOKUP(RD$1,$S2:$HK2,csv!$L2:$HD2)),NA(),LOOKUP(RD$1,$S2:$HK2,csv!$L2:$HD2))</f>
        <v>0</v>
      </c>
      <c r="RE2" s="5">
        <f>IF(ISERROR(LOOKUP(RE$1,$S2:$HK2,csv!$L2:$HD2)),NA(),LOOKUP(RE$1,$S2:$HK2,csv!$L2:$HD2))</f>
        <v>0</v>
      </c>
      <c r="RF2" s="5">
        <f>IF(ISERROR(LOOKUP(RF$1,$S2:$HK2,csv!$L2:$HD2)),NA(),LOOKUP(RF$1,$S2:$HK2,csv!$L2:$HD2))</f>
        <v>0</v>
      </c>
      <c r="RG2" s="5">
        <f>IF(ISERROR(LOOKUP(RG$1,$S2:$HK2,csv!$L2:$HD2)),NA(),LOOKUP(RG$1,$S2:$HK2,csv!$L2:$HD2))</f>
        <v>0</v>
      </c>
      <c r="RH2" s="5">
        <f>IF(ISERROR(LOOKUP(RH$1,$S2:$HK2,csv!$L2:$HD2)),NA(),LOOKUP(RH$1,$S2:$HK2,csv!$L2:$HD2))</f>
        <v>0</v>
      </c>
      <c r="RI2" s="5">
        <f>IF(ISERROR(LOOKUP(RI$1,$S2:$HK2,csv!$L2:$HD2)),NA(),LOOKUP(RI$1,$S2:$HK2,csv!$L2:$HD2))</f>
        <v>0</v>
      </c>
      <c r="RJ2" s="5">
        <f>IF(ISERROR(LOOKUP(RJ$1,$S2:$HK2,csv!$L2:$HD2)),NA(),LOOKUP(RJ$1,$S2:$HK2,csv!$L2:$HD2))</f>
        <v>0</v>
      </c>
      <c r="RK2" s="5">
        <f>IF(ISERROR(LOOKUP(RK$1,$S2:$HK2,csv!$L2:$HD2)),NA(),LOOKUP(RK$1,$S2:$HK2,csv!$L2:$HD2))</f>
        <v>0</v>
      </c>
      <c r="RL2" s="5">
        <f>IF(ISERROR(LOOKUP(RL$1,$S2:$HK2,csv!$L2:$HD2)),NA(),LOOKUP(RL$1,$S2:$HK2,csv!$L2:$HD2))</f>
        <v>0</v>
      </c>
      <c r="RM2" s="5">
        <f>IF(ISERROR(LOOKUP(RM$1,$S2:$HK2,csv!$L2:$HD2)),NA(),LOOKUP(RM$1,$S2:$HK2,csv!$L2:$HD2))</f>
        <v>0</v>
      </c>
      <c r="RN2" s="5">
        <f>IF(ISERROR(LOOKUP(RN$1,$S2:$HK2,csv!$L2:$HD2)),NA(),LOOKUP(RN$1,$S2:$HK2,csv!$L2:$HD2))</f>
        <v>0</v>
      </c>
      <c r="RO2" s="5">
        <f>IF(ISERROR(LOOKUP(RO$1,$S2:$HK2,csv!$L2:$HD2)),NA(),LOOKUP(RO$1,$S2:$HK2,csv!$L2:$HD2))</f>
        <v>0</v>
      </c>
      <c r="RP2" s="5">
        <f>IF(ISERROR(LOOKUP(RP$1,$S2:$HK2,csv!$L2:$HD2)),NA(),LOOKUP(RP$1,$S2:$HK2,csv!$L2:$HD2))</f>
        <v>0</v>
      </c>
      <c r="RQ2" s="5">
        <f>IF(ISERROR(LOOKUP(RQ$1,$S2:$HK2,csv!$L2:$HD2)),NA(),LOOKUP(RQ$1,$S2:$HK2,csv!$L2:$HD2))</f>
        <v>0</v>
      </c>
      <c r="RR2" s="5">
        <f>IF(ISERROR(LOOKUP(RR$1,$S2:$HK2,csv!$L2:$HD2)),NA(),LOOKUP(RR$1,$S2:$HK2,csv!$L2:$HD2))</f>
        <v>0</v>
      </c>
      <c r="RS2" s="5">
        <f>IF(ISERROR(LOOKUP(RS$1,$S2:$HK2,csv!$L2:$HD2)),NA(),LOOKUP(RS$1,$S2:$HK2,csv!$L2:$HD2))</f>
        <v>0</v>
      </c>
      <c r="RT2" s="5">
        <f>IF(ISERROR(LOOKUP(RT$1,$S2:$HK2,csv!$L2:$HD2)),NA(),LOOKUP(RT$1,$S2:$HK2,csv!$L2:$HD2))</f>
        <v>0</v>
      </c>
      <c r="RU2" s="5">
        <f>IF(ISERROR(LOOKUP(RU$1,$S2:$HK2,csv!$L2:$HD2)),NA(),LOOKUP(RU$1,$S2:$HK2,csv!$L2:$HD2))</f>
        <v>0</v>
      </c>
      <c r="RV2" s="5">
        <f>IF(ISERROR(LOOKUP(RV$1,$S2:$HK2,csv!$L2:$HD2)),NA(),LOOKUP(RV$1,$S2:$HK2,csv!$L2:$HD2))</f>
        <v>0</v>
      </c>
      <c r="RW2" s="5">
        <f>IF(ISERROR(LOOKUP(RW$1,$S2:$HK2,csv!$L2:$HD2)),NA(),LOOKUP(RW$1,$S2:$HK2,csv!$L2:$HD2))</f>
        <v>0</v>
      </c>
      <c r="RX2" s="5">
        <f>IF(ISERROR(LOOKUP(RX$1,$S2:$HK2,csv!$L2:$HD2)),NA(),LOOKUP(RX$1,$S2:$HK2,csv!$L2:$HD2))</f>
        <v>0</v>
      </c>
      <c r="RY2" s="5">
        <f>IF(ISERROR(LOOKUP(RY$1,$S2:$HK2,csv!$L2:$HD2)),NA(),LOOKUP(RY$1,$S2:$HK2,csv!$L2:$HD2))</f>
        <v>0</v>
      </c>
      <c r="RZ2" s="5">
        <f>IF(ISERROR(LOOKUP(RZ$1,$S2:$HK2,csv!$L2:$HD2)),NA(),LOOKUP(RZ$1,$S2:$HK2,csv!$L2:$HD2))</f>
        <v>0</v>
      </c>
      <c r="SA2" s="5">
        <f>IF(ISERROR(LOOKUP(SA$1,$S2:$HK2,csv!$L2:$HD2)),NA(),LOOKUP(SA$1,$S2:$HK2,csv!$L2:$HD2))</f>
        <v>0</v>
      </c>
      <c r="SB2" s="5">
        <f>IF(ISERROR(LOOKUP(SB$1,$S2:$HK2,csv!$L2:$HD2)),NA(),LOOKUP(SB$1,$S2:$HK2,csv!$L2:$HD2))</f>
        <v>0</v>
      </c>
      <c r="SC2" s="5">
        <f>IF(ISERROR(LOOKUP(SC$1,$S2:$HK2,csv!$L2:$HD2)),NA(),LOOKUP(SC$1,$S2:$HK2,csv!$L2:$HD2))</f>
        <v>0</v>
      </c>
      <c r="SD2" s="5">
        <f>IF(ISERROR(LOOKUP(SD$1,$S2:$HK2,csv!$L2:$HD2)),NA(),LOOKUP(SD$1,$S2:$HK2,csv!$L2:$HD2))</f>
        <v>0</v>
      </c>
      <c r="SE2" s="5">
        <f>IF(ISERROR(LOOKUP(SE$1,$S2:$HK2,csv!$L2:$HD2)),NA(),LOOKUP(SE$1,$S2:$HK2,csv!$L2:$HD2))</f>
        <v>0</v>
      </c>
      <c r="SF2" s="5">
        <f>IF(ISERROR(LOOKUP(SF$1,$S2:$HK2,csv!$L2:$HD2)),NA(),LOOKUP(SF$1,$S2:$HK2,csv!$L2:$HD2))</f>
        <v>0</v>
      </c>
      <c r="SG2" s="5">
        <f>IF(ISERROR(LOOKUP(SG$1,$S2:$HK2,csv!$L2:$HD2)),NA(),LOOKUP(SG$1,$S2:$HK2,csv!$L2:$HD2))</f>
        <v>0</v>
      </c>
      <c r="SH2" s="5">
        <f>IF(ISERROR(LOOKUP(SH$1,$S2:$HK2,csv!$L2:$HD2)),NA(),LOOKUP(SH$1,$S2:$HK2,csv!$L2:$HD2))</f>
        <v>0</v>
      </c>
      <c r="SI2" s="5">
        <f>IF(ISERROR(LOOKUP(SI$1,$S2:$HK2,csv!$L2:$HD2)),NA(),LOOKUP(SI$1,$S2:$HK2,csv!$L2:$HD2))</f>
        <v>0</v>
      </c>
      <c r="SJ2" s="5">
        <f>IF(ISERROR(LOOKUP(SJ$1,$S2:$HK2,csv!$L2:$HD2)),NA(),LOOKUP(SJ$1,$S2:$HK2,csv!$L2:$HD2))</f>
        <v>0</v>
      </c>
      <c r="SK2" s="5">
        <f>IF(ISERROR(LOOKUP(SK$1,$S2:$HK2,csv!$L2:$HD2)),NA(),LOOKUP(SK$1,$S2:$HK2,csv!$L2:$HD2))</f>
        <v>0</v>
      </c>
      <c r="SL2" s="5">
        <f>IF(ISERROR(LOOKUP(SL$1,$S2:$HK2,csv!$L2:$HD2)),NA(),LOOKUP(SL$1,$S2:$HK2,csv!$L2:$HD2))</f>
        <v>0</v>
      </c>
      <c r="SM2" s="5">
        <f>IF(ISERROR(LOOKUP(SM$1,$S2:$HK2,csv!$L2:$HD2)),NA(),LOOKUP(SM$1,$S2:$HK2,csv!$L2:$HD2))</f>
        <v>0</v>
      </c>
      <c r="SN2" s="5">
        <f>IF(ISERROR(LOOKUP(SN$1,$S2:$HK2,csv!$L2:$HD2)),NA(),LOOKUP(SN$1,$S2:$HK2,csv!$L2:$HD2))</f>
        <v>0</v>
      </c>
      <c r="SO2" s="5">
        <f>IF(ISERROR(LOOKUP(SO$1,$S2:$HK2,csv!$L2:$HD2)),NA(),LOOKUP(SO$1,$S2:$HK2,csv!$L2:$HD2))</f>
        <v>0</v>
      </c>
      <c r="SP2" s="5">
        <f>IF(ISERROR(LOOKUP(SP$1,$S2:$HK2,csv!$L2:$HD2)),NA(),LOOKUP(SP$1,$S2:$HK2,csv!$L2:$HD2))</f>
        <v>0</v>
      </c>
      <c r="SQ2" s="5">
        <f>IF(ISERROR(LOOKUP(SQ$1,$S2:$HK2,csv!$L2:$HD2)),NA(),LOOKUP(SQ$1,$S2:$HK2,csv!$L2:$HD2))</f>
        <v>0</v>
      </c>
      <c r="SR2" s="5">
        <f>IF(ISERROR(LOOKUP(SR$1,$S2:$HK2,csv!$L2:$HD2)),NA(),LOOKUP(SR$1,$S2:$HK2,csv!$L2:$HD2))</f>
        <v>0</v>
      </c>
      <c r="SS2" s="5">
        <f>IF(ISERROR(LOOKUP(SS$1,$S2:$HK2,csv!$L2:$HD2)),NA(),LOOKUP(SS$1,$S2:$HK2,csv!$L2:$HD2))</f>
        <v>0</v>
      </c>
      <c r="ST2" s="5">
        <f>IF(ISERROR(LOOKUP(ST$1,$S2:$HK2,csv!$L2:$HD2)),NA(),LOOKUP(ST$1,$S2:$HK2,csv!$L2:$HD2))</f>
        <v>0</v>
      </c>
      <c r="SU2" s="5">
        <f>IF(ISERROR(LOOKUP(SU$1,$S2:$HK2,csv!$L2:$HD2)),NA(),LOOKUP(SU$1,$S2:$HK2,csv!$L2:$HD2))</f>
        <v>0</v>
      </c>
      <c r="SV2" s="5">
        <f>IF(ISERROR(LOOKUP(SV$1,$S2:$HK2,csv!$L2:$HD2)),NA(),LOOKUP(SV$1,$S2:$HK2,csv!$L2:$HD2))</f>
        <v>0</v>
      </c>
      <c r="SW2" s="5">
        <f>IF(ISERROR(LOOKUP(SW$1,$S2:$HK2,csv!$L2:$HD2)),NA(),LOOKUP(SW$1,$S2:$HK2,csv!$L2:$HD2))</f>
        <v>0</v>
      </c>
      <c r="SX2" s="5">
        <f>IF(ISERROR(LOOKUP(SX$1,$S2:$HK2,csv!$L2:$HD2)),NA(),LOOKUP(SX$1,$S2:$HK2,csv!$L2:$HD2))</f>
        <v>0</v>
      </c>
      <c r="SY2" s="5">
        <f>IF(ISERROR(LOOKUP(SY$1,$S2:$HK2,csv!$L2:$HD2)),NA(),LOOKUP(SY$1,$S2:$HK2,csv!$L2:$HD2))</f>
        <v>0</v>
      </c>
      <c r="SZ2" s="5">
        <f>IF(ISERROR(LOOKUP(SZ$1,$S2:$HK2,csv!$L2:$HD2)),NA(),LOOKUP(SZ$1,$S2:$HK2,csv!$L2:$HD2))</f>
        <v>0</v>
      </c>
      <c r="TA2" s="5">
        <f>IF(ISERROR(LOOKUP(TA$1,$S2:$HK2,csv!$L2:$HD2)),NA(),LOOKUP(TA$1,$S2:$HK2,csv!$L2:$HD2))</f>
        <v>0</v>
      </c>
      <c r="TB2" s="5">
        <f>IF(ISERROR(LOOKUP(TB$1,$S2:$HK2,csv!$L2:$HD2)),NA(),LOOKUP(TB$1,$S2:$HK2,csv!$L2:$HD2))</f>
        <v>0</v>
      </c>
      <c r="TD2">
        <f>csv!HG2/10</f>
        <v>0</v>
      </c>
    </row>
    <row r="3" spans="1:524" x14ac:dyDescent="0.15">
      <c r="A3" s="3" t="s">
        <v>182</v>
      </c>
      <c r="C3" s="32" t="str">
        <f>TEXT(csv!B3&amp;"/"&amp;csv!C3&amp;"-"&amp;csv!E3&amp;"/"&amp;csv!F3,"mm/dd")</f>
        <v>/-/</v>
      </c>
      <c r="D3">
        <f>csv!A3*10000+csv!B3*100+csv!C3</f>
        <v>0</v>
      </c>
      <c r="E3">
        <f>(IF(csv!HG3&lt;-1000,NA(),csv!HG3)+csv!K3)/10</f>
        <v>0</v>
      </c>
      <c r="F3">
        <f>(IF(csv!HG16&lt;-1000,NA(),csv!HG16)+csv!K16)/10</f>
        <v>0</v>
      </c>
      <c r="G3">
        <f>(IF(csv!HG29&lt;-1000,NA(),csv!HG29)+csv!K29)/10</f>
        <v>0</v>
      </c>
      <c r="H3">
        <f>IF(csv!HG3&lt;-1000,NA(),csv!HG3/10)</f>
        <v>0</v>
      </c>
      <c r="I3">
        <f>IF(csv!HG16&lt;-1000,NA(),csv!HG16/10)</f>
        <v>0</v>
      </c>
      <c r="J3">
        <f>IF(csv!HG29&lt;-1000,NA(),csv!HG29/10)</f>
        <v>0</v>
      </c>
      <c r="K3">
        <f>IF(csv!HF3&lt;-1000,NA(),csv!HF3/10)</f>
        <v>0</v>
      </c>
      <c r="L3">
        <f>IF(csv!HF16&lt;-1000,NA(),csv!HF16/10)</f>
        <v>0</v>
      </c>
      <c r="M3">
        <f>IF(csv!HF29&lt;-1000,NA(),csv!HF29/10)</f>
        <v>0</v>
      </c>
      <c r="N3">
        <f>IF(csv!HE3&lt;-1000,NA(),csv!HE3/10)</f>
        <v>0</v>
      </c>
      <c r="O3">
        <f>IF(csv!HE16&lt;-1000,NA(),csv!HE16/10)</f>
        <v>0</v>
      </c>
      <c r="P3">
        <f>IF(csv!HE29&lt;-1000,NA(),csv!HE29/10)</f>
        <v>0</v>
      </c>
      <c r="S3" s="4">
        <f>ROUND((csv!$HG3/10+calc!S$1),1)</f>
        <v>-10</v>
      </c>
      <c r="T3" s="4">
        <f>ROUND((csv!$HG3/10+calc!T$1),1)</f>
        <v>-9.9</v>
      </c>
      <c r="U3" s="4">
        <f>ROUND((csv!$HG3/10+calc!U$1),1)</f>
        <v>-9.8000000000000007</v>
      </c>
      <c r="V3" s="4">
        <f>ROUND((csv!$HG3/10+calc!V$1),1)</f>
        <v>-9.6999999999999993</v>
      </c>
      <c r="W3" s="4">
        <f>ROUND((csv!$HG3/10+calc!W$1),1)</f>
        <v>-9.6</v>
      </c>
      <c r="X3" s="4">
        <f>ROUND((csv!$HG3/10+calc!X$1),1)</f>
        <v>-9.5</v>
      </c>
      <c r="Y3" s="4">
        <f>ROUND((csv!$HG3/10+calc!Y$1),1)</f>
        <v>-9.4</v>
      </c>
      <c r="Z3" s="4">
        <f>ROUND((csv!$HG3/10+calc!Z$1),1)</f>
        <v>-9.3000000000000007</v>
      </c>
      <c r="AA3" s="4">
        <f>ROUND((csv!$HG3/10+calc!AA$1),1)</f>
        <v>-9.1999999999999993</v>
      </c>
      <c r="AB3" s="4">
        <f>ROUND((csv!$HG3/10+calc!AB$1),1)</f>
        <v>-9.1</v>
      </c>
      <c r="AC3" s="4">
        <f>ROUND((csv!$HG3/10+calc!AC$1),1)</f>
        <v>-9</v>
      </c>
      <c r="AD3" s="4">
        <f>ROUND((csv!$HG3/10+calc!AD$1),1)</f>
        <v>-8.9</v>
      </c>
      <c r="AE3" s="4">
        <f>ROUND((csv!$HG3/10+calc!AE$1),1)</f>
        <v>-8.8000000000000007</v>
      </c>
      <c r="AF3" s="4">
        <f>ROUND((csv!$HG3/10+calc!AF$1),1)</f>
        <v>-8.6999999999999993</v>
      </c>
      <c r="AG3" s="4">
        <f>ROUND((csv!$HG3/10+calc!AG$1),1)</f>
        <v>-8.6</v>
      </c>
      <c r="AH3" s="4">
        <f>ROUND((csv!$HG3/10+calc!AH$1),1)</f>
        <v>-8.5</v>
      </c>
      <c r="AI3" s="4">
        <f>ROUND((csv!$HG3/10+calc!AI$1),1)</f>
        <v>-8.4</v>
      </c>
      <c r="AJ3" s="4">
        <f>ROUND((csv!$HG3/10+calc!AJ$1),1)</f>
        <v>-8.3000000000000007</v>
      </c>
      <c r="AK3" s="4">
        <f>ROUND((csv!$HG3/10+calc!AK$1),1)</f>
        <v>-8.1999999999999993</v>
      </c>
      <c r="AL3" s="4">
        <f>ROUND((csv!$HG3/10+calc!AL$1),1)</f>
        <v>-8.1</v>
      </c>
      <c r="AM3" s="4">
        <f>ROUND((csv!$HG3/10+calc!AM$1),1)</f>
        <v>-8</v>
      </c>
      <c r="AN3" s="4">
        <f>ROUND((csv!$HG3/10+calc!AN$1),1)</f>
        <v>-7.9</v>
      </c>
      <c r="AO3" s="4">
        <f>ROUND((csv!$HG3/10+calc!AO$1),1)</f>
        <v>-7.8</v>
      </c>
      <c r="AP3" s="4">
        <f>ROUND((csv!$HG3/10+calc!AP$1),1)</f>
        <v>-7.7</v>
      </c>
      <c r="AQ3" s="4">
        <f>ROUND((csv!$HG3/10+calc!AQ$1),1)</f>
        <v>-7.6</v>
      </c>
      <c r="AR3" s="4">
        <f>ROUND((csv!$HG3/10+calc!AR$1),1)</f>
        <v>-7.5</v>
      </c>
      <c r="AS3" s="4">
        <f>ROUND((csv!$HG3/10+calc!AS$1),1)</f>
        <v>-7.4</v>
      </c>
      <c r="AT3" s="4">
        <f>ROUND((csv!$HG3/10+calc!AT$1),1)</f>
        <v>-7.3</v>
      </c>
      <c r="AU3" s="4">
        <f>ROUND((csv!$HG3/10+calc!AU$1),1)</f>
        <v>-7.2</v>
      </c>
      <c r="AV3" s="4">
        <f>ROUND((csv!$HG3/10+calc!AV$1),1)</f>
        <v>-7.1</v>
      </c>
      <c r="AW3" s="4">
        <f>ROUND((csv!$HG3/10+calc!AW$1),1)</f>
        <v>-7</v>
      </c>
      <c r="AX3" s="4">
        <f>ROUND((csv!$HG3/10+calc!AX$1),1)</f>
        <v>-6.9</v>
      </c>
      <c r="AY3" s="4">
        <f>ROUND((csv!$HG3/10+calc!AY$1),1)</f>
        <v>-6.8</v>
      </c>
      <c r="AZ3" s="4">
        <f>ROUND((csv!$HG3/10+calc!AZ$1),1)</f>
        <v>-6.7</v>
      </c>
      <c r="BA3" s="4">
        <f>ROUND((csv!$HG3/10+calc!BA$1),1)</f>
        <v>-6.6</v>
      </c>
      <c r="BB3" s="4">
        <f>ROUND((csv!$HG3/10+calc!BB$1),1)</f>
        <v>-6.5</v>
      </c>
      <c r="BC3" s="4">
        <f>ROUND((csv!$HG3/10+calc!BC$1),1)</f>
        <v>-6.4</v>
      </c>
      <c r="BD3" s="4">
        <f>ROUND((csv!$HG3/10+calc!BD$1),1)</f>
        <v>-6.3</v>
      </c>
      <c r="BE3" s="4">
        <f>ROUND((csv!$HG3/10+calc!BE$1),1)</f>
        <v>-6.2</v>
      </c>
      <c r="BF3" s="4">
        <f>ROUND((csv!$HG3/10+calc!BF$1),1)</f>
        <v>-6.1</v>
      </c>
      <c r="BG3" s="4">
        <f>ROUND((csv!$HG3/10+calc!BG$1),1)</f>
        <v>-6</v>
      </c>
      <c r="BH3" s="4">
        <f>ROUND((csv!$HG3/10+calc!BH$1),1)</f>
        <v>-5.9</v>
      </c>
      <c r="BI3" s="4">
        <f>ROUND((csv!$HG3/10+calc!BI$1),1)</f>
        <v>-5.8</v>
      </c>
      <c r="BJ3" s="4">
        <f>ROUND((csv!$HG3/10+calc!BJ$1),1)</f>
        <v>-5.7</v>
      </c>
      <c r="BK3" s="4">
        <f>ROUND((csv!$HG3/10+calc!BK$1),1)</f>
        <v>-5.6</v>
      </c>
      <c r="BL3" s="4">
        <f>ROUND((csv!$HG3/10+calc!BL$1),1)</f>
        <v>-5.5</v>
      </c>
      <c r="BM3" s="4">
        <f>ROUND((csv!$HG3/10+calc!BM$1),1)</f>
        <v>-5.4</v>
      </c>
      <c r="BN3" s="4">
        <f>ROUND((csv!$HG3/10+calc!BN$1),1)</f>
        <v>-5.3</v>
      </c>
      <c r="BO3" s="4">
        <f>ROUND((csv!$HG3/10+calc!BO$1),1)</f>
        <v>-5.2</v>
      </c>
      <c r="BP3" s="4">
        <f>ROUND((csv!$HG3/10+calc!BP$1),1)</f>
        <v>-5.0999999999999996</v>
      </c>
      <c r="BQ3" s="4">
        <f>ROUND((csv!$HG3/10+calc!BQ$1),1)</f>
        <v>-5</v>
      </c>
      <c r="BR3" s="4">
        <f>ROUND((csv!$HG3/10+calc!BR$1),1)</f>
        <v>-4.9000000000000004</v>
      </c>
      <c r="BS3" s="4">
        <f>ROUND((csv!$HG3/10+calc!BS$1),1)</f>
        <v>-4.8</v>
      </c>
      <c r="BT3" s="4">
        <f>ROUND((csv!$HG3/10+calc!BT$1),1)</f>
        <v>-4.7</v>
      </c>
      <c r="BU3" s="4">
        <f>ROUND((csv!$HG3/10+calc!BU$1),1)</f>
        <v>-4.5999999999999996</v>
      </c>
      <c r="BV3" s="4">
        <f>ROUND((csv!$HG3/10+calc!BV$1),1)</f>
        <v>-4.5</v>
      </c>
      <c r="BW3" s="4">
        <f>ROUND((csv!$HG3/10+calc!BW$1),1)</f>
        <v>-4.4000000000000004</v>
      </c>
      <c r="BX3" s="4">
        <f>ROUND((csv!$HG3/10+calc!BX$1),1)</f>
        <v>-4.3</v>
      </c>
      <c r="BY3" s="4">
        <f>ROUND((csv!$HG3/10+calc!BY$1),1)</f>
        <v>-4.2</v>
      </c>
      <c r="BZ3" s="4">
        <f>ROUND((csv!$HG3/10+calc!BZ$1),1)</f>
        <v>-4.0999999999999996</v>
      </c>
      <c r="CA3" s="4">
        <f>ROUND((csv!$HG3/10+calc!CA$1),1)</f>
        <v>-4</v>
      </c>
      <c r="CB3" s="4">
        <f>ROUND((csv!$HG3/10+calc!CB$1),1)</f>
        <v>-3.9</v>
      </c>
      <c r="CC3" s="4">
        <f>ROUND((csv!$HG3/10+calc!CC$1),1)</f>
        <v>-3.8</v>
      </c>
      <c r="CD3" s="4">
        <f>ROUND((csv!$HG3/10+calc!CD$1),1)</f>
        <v>-3.7</v>
      </c>
      <c r="CE3" s="4">
        <f>ROUND((csv!$HG3/10+calc!CE$1),1)</f>
        <v>-3.6</v>
      </c>
      <c r="CF3" s="4">
        <f>ROUND((csv!$HG3/10+calc!CF$1),1)</f>
        <v>-3.5</v>
      </c>
      <c r="CG3" s="4">
        <f>ROUND((csv!$HG3/10+calc!CG$1),1)</f>
        <v>-3.4</v>
      </c>
      <c r="CH3" s="4">
        <f>ROUND((csv!$HG3/10+calc!CH$1),1)</f>
        <v>-3.3</v>
      </c>
      <c r="CI3" s="4">
        <f>ROUND((csv!$HG3/10+calc!CI$1),1)</f>
        <v>-3.2</v>
      </c>
      <c r="CJ3" s="4">
        <f>ROUND((csv!$HG3/10+calc!CJ$1),1)</f>
        <v>-3.1</v>
      </c>
      <c r="CK3" s="4">
        <f>ROUND((csv!$HG3/10+calc!CK$1),1)</f>
        <v>-3</v>
      </c>
      <c r="CL3" s="4">
        <f>ROUND((csv!$HG3/10+calc!CL$1),1)</f>
        <v>-2.9</v>
      </c>
      <c r="CM3" s="4">
        <f>ROUND((csv!$HG3/10+calc!CM$1),1)</f>
        <v>-2.8</v>
      </c>
      <c r="CN3" s="4">
        <f>ROUND((csv!$HG3/10+calc!CN$1),1)</f>
        <v>-2.7</v>
      </c>
      <c r="CO3" s="4">
        <f>ROUND((csv!$HG3/10+calc!CO$1),1)</f>
        <v>-2.6</v>
      </c>
      <c r="CP3" s="4">
        <f>ROUND((csv!$HG3/10+calc!CP$1),1)</f>
        <v>-2.5</v>
      </c>
      <c r="CQ3" s="4">
        <f>ROUND((csv!$HG3/10+calc!CQ$1),1)</f>
        <v>-2.4</v>
      </c>
      <c r="CR3" s="4">
        <f>ROUND((csv!$HG3/10+calc!CR$1),1)</f>
        <v>-2.2999999999999998</v>
      </c>
      <c r="CS3" s="4">
        <f>ROUND((csv!$HG3/10+calc!CS$1),1)</f>
        <v>-2.2000000000000002</v>
      </c>
      <c r="CT3" s="4">
        <f>ROUND((csv!$HG3/10+calc!CT$1),1)</f>
        <v>-2.1</v>
      </c>
      <c r="CU3" s="4">
        <f>ROUND((csv!$HG3/10+calc!CU$1),1)</f>
        <v>-2</v>
      </c>
      <c r="CV3" s="4">
        <f>ROUND((csv!$HG3/10+calc!CV$1),1)</f>
        <v>-1.9</v>
      </c>
      <c r="CW3" s="4">
        <f>ROUND((csv!$HG3/10+calc!CW$1),1)</f>
        <v>-1.8</v>
      </c>
      <c r="CX3" s="4">
        <f>ROUND((csv!$HG3/10+calc!CX$1),1)</f>
        <v>-1.7</v>
      </c>
      <c r="CY3" s="4">
        <f>ROUND((csv!$HG3/10+calc!CY$1),1)</f>
        <v>-1.6</v>
      </c>
      <c r="CZ3" s="4">
        <f>ROUND((csv!$HG3/10+calc!CZ$1),1)</f>
        <v>-1.5</v>
      </c>
      <c r="DA3" s="4">
        <f>ROUND((csv!$HG3/10+calc!DA$1),1)</f>
        <v>-1.4</v>
      </c>
      <c r="DB3" s="4">
        <f>ROUND((csv!$HG3/10+calc!DB$1),1)</f>
        <v>-1.3</v>
      </c>
      <c r="DC3" s="4">
        <f>ROUND((csv!$HG3/10+calc!DC$1),1)</f>
        <v>-1.2</v>
      </c>
      <c r="DD3" s="4">
        <f>ROUND((csv!$HG3/10+calc!DD$1),1)</f>
        <v>-1.1000000000000001</v>
      </c>
      <c r="DE3" s="4">
        <f>ROUND((csv!$HG3/10+calc!DE$1),1)</f>
        <v>-1</v>
      </c>
      <c r="DF3" s="4">
        <f>ROUND((csv!$HG3/10+calc!DF$1),1)</f>
        <v>-0.9</v>
      </c>
      <c r="DG3" s="4">
        <f>ROUND((csv!$HG3/10+calc!DG$1),1)</f>
        <v>-0.8</v>
      </c>
      <c r="DH3" s="4">
        <f>ROUND((csv!$HG3/10+calc!DH$1),1)</f>
        <v>-0.7</v>
      </c>
      <c r="DI3" s="4">
        <f>ROUND((csv!$HG3/10+calc!DI$1),1)</f>
        <v>-0.6</v>
      </c>
      <c r="DJ3" s="4">
        <f>ROUND((csv!$HG3/10+calc!DJ$1),1)</f>
        <v>-0.5</v>
      </c>
      <c r="DK3" s="4">
        <f>ROUND((csv!$HG3/10+calc!DK$1),1)</f>
        <v>-0.4</v>
      </c>
      <c r="DL3" s="4">
        <f>ROUND((csv!$HG3/10+calc!DL$1),1)</f>
        <v>-0.3</v>
      </c>
      <c r="DM3" s="4">
        <f>ROUND((csv!$HG3/10+calc!DM$1),1)</f>
        <v>-0.2</v>
      </c>
      <c r="DN3" s="4">
        <f>ROUND((csv!$HG3/10+calc!DN$1),1)</f>
        <v>-0.1</v>
      </c>
      <c r="DO3" s="4">
        <f>ROUND((csv!$HG3/10+calc!DO$1),1)</f>
        <v>0</v>
      </c>
      <c r="DP3" s="4">
        <f>ROUND((csv!$HG3/10+calc!DP$1),1)</f>
        <v>0.1</v>
      </c>
      <c r="DQ3" s="4">
        <f>ROUND((csv!$HG3/10+calc!DQ$1),1)</f>
        <v>0.2</v>
      </c>
      <c r="DR3" s="4">
        <f>ROUND((csv!$HG3/10+calc!DR$1),1)</f>
        <v>0.3</v>
      </c>
      <c r="DS3" s="4">
        <f>ROUND((csv!$HG3/10+calc!DS$1),1)</f>
        <v>0.4</v>
      </c>
      <c r="DT3" s="4">
        <f>ROUND((csv!$HG3/10+calc!DT$1),1)</f>
        <v>0.5</v>
      </c>
      <c r="DU3" s="4">
        <f>ROUND((csv!$HG3/10+calc!DU$1),1)</f>
        <v>0.6</v>
      </c>
      <c r="DV3" s="4">
        <f>ROUND((csv!$HG3/10+calc!DV$1),1)</f>
        <v>0.7</v>
      </c>
      <c r="DW3" s="4">
        <f>ROUND((csv!$HG3/10+calc!DW$1),1)</f>
        <v>0.8</v>
      </c>
      <c r="DX3" s="4">
        <f>ROUND((csv!$HG3/10+calc!DX$1),1)</f>
        <v>0.9</v>
      </c>
      <c r="DY3" s="4">
        <f>ROUND((csv!$HG3/10+calc!DY$1),1)</f>
        <v>1</v>
      </c>
      <c r="DZ3" s="4">
        <f>ROUND((csv!$HG3/10+calc!DZ$1),1)</f>
        <v>1.1000000000000001</v>
      </c>
      <c r="EA3" s="4">
        <f>ROUND((csv!$HG3/10+calc!EA$1),1)</f>
        <v>1.2</v>
      </c>
      <c r="EB3" s="4">
        <f>ROUND((csv!$HG3/10+calc!EB$1),1)</f>
        <v>1.3</v>
      </c>
      <c r="EC3" s="4">
        <f>ROUND((csv!$HG3/10+calc!EC$1),1)</f>
        <v>1.4</v>
      </c>
      <c r="ED3" s="4">
        <f>ROUND((csv!$HG3/10+calc!ED$1),1)</f>
        <v>1.5</v>
      </c>
      <c r="EE3" s="4">
        <f>ROUND((csv!$HG3/10+calc!EE$1),1)</f>
        <v>1.6</v>
      </c>
      <c r="EF3" s="4">
        <f>ROUND((csv!$HG3/10+calc!EF$1),1)</f>
        <v>1.7</v>
      </c>
      <c r="EG3" s="4">
        <f>ROUND((csv!$HG3/10+calc!EG$1),1)</f>
        <v>1.8</v>
      </c>
      <c r="EH3" s="4">
        <f>ROUND((csv!$HG3/10+calc!EH$1),1)</f>
        <v>1.9</v>
      </c>
      <c r="EI3" s="4">
        <f>ROUND((csv!$HG3/10+calc!EI$1),1)</f>
        <v>2</v>
      </c>
      <c r="EJ3" s="4">
        <f>ROUND((csv!$HG3/10+calc!EJ$1),1)</f>
        <v>2.1</v>
      </c>
      <c r="EK3" s="4">
        <f>ROUND((csv!$HG3/10+calc!EK$1),1)</f>
        <v>2.2000000000000002</v>
      </c>
      <c r="EL3" s="4">
        <f>ROUND((csv!$HG3/10+calc!EL$1),1)</f>
        <v>2.2999999999999998</v>
      </c>
      <c r="EM3" s="4">
        <f>ROUND((csv!$HG3/10+calc!EM$1),1)</f>
        <v>2.4</v>
      </c>
      <c r="EN3" s="4">
        <f>ROUND((csv!$HG3/10+calc!EN$1),1)</f>
        <v>2.5</v>
      </c>
      <c r="EO3" s="4">
        <f>ROUND((csv!$HG3/10+calc!EO$1),1)</f>
        <v>2.6</v>
      </c>
      <c r="EP3" s="4">
        <f>ROUND((csv!$HG3/10+calc!EP$1),1)</f>
        <v>2.7</v>
      </c>
      <c r="EQ3" s="4">
        <f>ROUND((csv!$HG3/10+calc!EQ$1),1)</f>
        <v>2.8</v>
      </c>
      <c r="ER3" s="4">
        <f>ROUND((csv!$HG3/10+calc!ER$1),1)</f>
        <v>2.9</v>
      </c>
      <c r="ES3" s="4">
        <f>ROUND((csv!$HG3/10+calc!ES$1),1)</f>
        <v>3</v>
      </c>
      <c r="ET3" s="4">
        <f>ROUND((csv!$HG3/10+calc!ET$1),1)</f>
        <v>3.1</v>
      </c>
      <c r="EU3" s="4">
        <f>ROUND((csv!$HG3/10+calc!EU$1),1)</f>
        <v>3.2</v>
      </c>
      <c r="EV3" s="4">
        <f>ROUND((csv!$HG3/10+calc!EV$1),1)</f>
        <v>3.3</v>
      </c>
      <c r="EW3" s="4">
        <f>ROUND((csv!$HG3/10+calc!EW$1),1)</f>
        <v>3.4</v>
      </c>
      <c r="EX3" s="4">
        <f>ROUND((csv!$HG3/10+calc!EX$1),1)</f>
        <v>3.5</v>
      </c>
      <c r="EY3" s="4">
        <f>ROUND((csv!$HG3/10+calc!EY$1),1)</f>
        <v>3.6</v>
      </c>
      <c r="EZ3" s="4">
        <f>ROUND((csv!$HG3/10+calc!EZ$1),1)</f>
        <v>3.7</v>
      </c>
      <c r="FA3" s="4">
        <f>ROUND((csv!$HG3/10+calc!FA$1),1)</f>
        <v>3.8</v>
      </c>
      <c r="FB3" s="4">
        <f>ROUND((csv!$HG3/10+calc!FB$1),1)</f>
        <v>3.9</v>
      </c>
      <c r="FC3" s="4">
        <f>ROUND((csv!$HG3/10+calc!FC$1),1)</f>
        <v>4</v>
      </c>
      <c r="FD3" s="4">
        <f>ROUND((csv!$HG3/10+calc!FD$1),1)</f>
        <v>4.0999999999999996</v>
      </c>
      <c r="FE3" s="4">
        <f>ROUND((csv!$HG3/10+calc!FE$1),1)</f>
        <v>4.2</v>
      </c>
      <c r="FF3" s="4">
        <f>ROUND((csv!$HG3/10+calc!FF$1),1)</f>
        <v>4.3</v>
      </c>
      <c r="FG3" s="4">
        <f>ROUND((csv!$HG3/10+calc!FG$1),1)</f>
        <v>4.4000000000000004</v>
      </c>
      <c r="FH3" s="4">
        <f>ROUND((csv!$HG3/10+calc!FH$1),1)</f>
        <v>4.5</v>
      </c>
      <c r="FI3" s="4">
        <f>ROUND((csv!$HG3/10+calc!FI$1),1)</f>
        <v>4.5999999999999996</v>
      </c>
      <c r="FJ3" s="4">
        <f>ROUND((csv!$HG3/10+calc!FJ$1),1)</f>
        <v>4.7</v>
      </c>
      <c r="FK3" s="4">
        <f>ROUND((csv!$HG3/10+calc!FK$1),1)</f>
        <v>4.8</v>
      </c>
      <c r="FL3" s="4">
        <f>ROUND((csv!$HG3/10+calc!FL$1),1)</f>
        <v>4.9000000000000004</v>
      </c>
      <c r="FM3" s="4">
        <f>ROUND((csv!$HG3/10+calc!FM$1),1)</f>
        <v>5</v>
      </c>
      <c r="FN3" s="4">
        <f>ROUND((csv!$HG3/10+calc!FN$1),1)</f>
        <v>5.0999999999999996</v>
      </c>
      <c r="FO3" s="4">
        <f>ROUND((csv!$HG3/10+calc!FO$1),1)</f>
        <v>5.2</v>
      </c>
      <c r="FP3" s="4">
        <f>ROUND((csv!$HG3/10+calc!FP$1),1)</f>
        <v>5.3</v>
      </c>
      <c r="FQ3" s="4">
        <f>ROUND((csv!$HG3/10+calc!FQ$1),1)</f>
        <v>5.4</v>
      </c>
      <c r="FR3" s="4">
        <f>ROUND((csv!$HG3/10+calc!FR$1),1)</f>
        <v>5.5</v>
      </c>
      <c r="FS3" s="4">
        <f>ROUND((csv!$HG3/10+calc!FS$1),1)</f>
        <v>5.6</v>
      </c>
      <c r="FT3" s="4">
        <f>ROUND((csv!$HG3/10+calc!FT$1),1)</f>
        <v>5.7</v>
      </c>
      <c r="FU3" s="4">
        <f>ROUND((csv!$HG3/10+calc!FU$1),1)</f>
        <v>5.8</v>
      </c>
      <c r="FV3" s="4">
        <f>ROUND((csv!$HG3/10+calc!FV$1),1)</f>
        <v>5.9</v>
      </c>
      <c r="FW3" s="4">
        <f>ROUND((csv!$HG3/10+calc!FW$1),1)</f>
        <v>6</v>
      </c>
      <c r="FX3" s="4">
        <f>ROUND((csv!$HG3/10+calc!FX$1),1)</f>
        <v>6.1</v>
      </c>
      <c r="FY3" s="4">
        <f>ROUND((csv!$HG3/10+calc!FY$1),1)</f>
        <v>6.2</v>
      </c>
      <c r="FZ3" s="4">
        <f>ROUND((csv!$HG3/10+calc!FZ$1),1)</f>
        <v>6.3</v>
      </c>
      <c r="GA3" s="4">
        <f>ROUND((csv!$HG3/10+calc!GA$1),1)</f>
        <v>6.4</v>
      </c>
      <c r="GB3" s="4">
        <f>ROUND((csv!$HG3/10+calc!GB$1),1)</f>
        <v>6.5</v>
      </c>
      <c r="GC3" s="4">
        <f>ROUND((csv!$HG3/10+calc!GC$1),1)</f>
        <v>6.6</v>
      </c>
      <c r="GD3" s="4">
        <f>ROUND((csv!$HG3/10+calc!GD$1),1)</f>
        <v>6.7</v>
      </c>
      <c r="GE3" s="4">
        <f>ROUND((csv!$HG3/10+calc!GE$1),1)</f>
        <v>6.8</v>
      </c>
      <c r="GF3" s="4">
        <f>ROUND((csv!$HG3/10+calc!GF$1),1)</f>
        <v>6.9</v>
      </c>
      <c r="GG3" s="4">
        <f>ROUND((csv!$HG3/10+calc!GG$1),1)</f>
        <v>7</v>
      </c>
      <c r="GH3" s="4">
        <f>ROUND((csv!$HG3/10+calc!GH$1),1)</f>
        <v>7.1</v>
      </c>
      <c r="GI3" s="4">
        <f>ROUND((csv!$HG3/10+calc!GI$1),1)</f>
        <v>7.2</v>
      </c>
      <c r="GJ3" s="4">
        <f>ROUND((csv!$HG3/10+calc!GJ$1),1)</f>
        <v>7.3</v>
      </c>
      <c r="GK3" s="4">
        <f>ROUND((csv!$HG3/10+calc!GK$1),1)</f>
        <v>7.4</v>
      </c>
      <c r="GL3" s="4">
        <f>ROUND((csv!$HG3/10+calc!GL$1),1)</f>
        <v>7.5</v>
      </c>
      <c r="GM3" s="4">
        <f>ROUND((csv!$HG3/10+calc!GM$1),1)</f>
        <v>7.6</v>
      </c>
      <c r="GN3" s="4">
        <f>ROUND((csv!$HG3/10+calc!GN$1),1)</f>
        <v>7.7</v>
      </c>
      <c r="GO3" s="4">
        <f>ROUND((csv!$HG3/10+calc!GO$1),1)</f>
        <v>7.8</v>
      </c>
      <c r="GP3" s="4">
        <f>ROUND((csv!$HG3/10+calc!GP$1),1)</f>
        <v>7.9</v>
      </c>
      <c r="GQ3" s="4">
        <f>ROUND((csv!$HG3/10+calc!GQ$1),1)</f>
        <v>8</v>
      </c>
      <c r="GR3" s="4">
        <f>ROUND((csv!$HG3/10+calc!GR$1),1)</f>
        <v>8.1</v>
      </c>
      <c r="GS3" s="4">
        <f>ROUND((csv!$HG3/10+calc!GS$1),1)</f>
        <v>8.1999999999999993</v>
      </c>
      <c r="GT3" s="4">
        <f>ROUND((csv!$HG3/10+calc!GT$1),1)</f>
        <v>8.3000000000000007</v>
      </c>
      <c r="GU3" s="4">
        <f>ROUND((csv!$HG3/10+calc!GU$1),1)</f>
        <v>8.4</v>
      </c>
      <c r="GV3" s="4">
        <f>ROUND((csv!$HG3/10+calc!GV$1),1)</f>
        <v>8.5</v>
      </c>
      <c r="GW3" s="4">
        <f>ROUND((csv!$HG3/10+calc!GW$1),1)</f>
        <v>8.6</v>
      </c>
      <c r="GX3" s="4">
        <f>ROUND((csv!$HG3/10+calc!GX$1),1)</f>
        <v>8.6999999999999993</v>
      </c>
      <c r="GY3" s="4">
        <f>ROUND((csv!$HG3/10+calc!GY$1),1)</f>
        <v>8.8000000000000007</v>
      </c>
      <c r="GZ3" s="4">
        <f>ROUND((csv!$HG3/10+calc!GZ$1),1)</f>
        <v>8.9</v>
      </c>
      <c r="HA3" s="4">
        <f>ROUND((csv!$HG3/10+calc!HA$1),1)</f>
        <v>9</v>
      </c>
      <c r="HB3" s="4">
        <f>ROUND((csv!$HG3/10+calc!HB$1),1)</f>
        <v>9.1</v>
      </c>
      <c r="HC3" s="4">
        <f>ROUND((csv!$HG3/10+calc!HC$1),1)</f>
        <v>9.1999999999999993</v>
      </c>
      <c r="HD3" s="4">
        <f>ROUND((csv!$HG3/10+calc!HD$1),1)</f>
        <v>9.3000000000000007</v>
      </c>
      <c r="HE3" s="4">
        <f>ROUND((csv!$HG3/10+calc!HE$1),1)</f>
        <v>9.4</v>
      </c>
      <c r="HF3" s="4">
        <f>ROUND((csv!$HG3/10+calc!HF$1),1)</f>
        <v>9.5</v>
      </c>
      <c r="HG3" s="4">
        <f>ROUND((csv!$HG3/10+calc!HG$1),1)</f>
        <v>9.6</v>
      </c>
      <c r="HH3" s="4">
        <f>ROUND((csv!$HG3/10+calc!HH$1),1)</f>
        <v>9.6999999999999993</v>
      </c>
      <c r="HI3" s="4">
        <f>ROUND((csv!$HG3/10+calc!HI$1),1)</f>
        <v>9.8000000000000007</v>
      </c>
      <c r="HJ3" s="4">
        <f>ROUND((csv!$HG3/10+calc!HJ$1),1)</f>
        <v>9.9</v>
      </c>
      <c r="HK3" s="4">
        <f>ROUND((csv!$HG3/10+calc!HK$1),1)</f>
        <v>10</v>
      </c>
      <c r="HM3" s="2">
        <f>csv!A3*10000+csv!B3*100+csv!C3</f>
        <v>0</v>
      </c>
      <c r="HN3" s="5">
        <f>IF(ISERROR(LOOKUP(HN$1,$S3:$HK3,csv!$L3:$HD3)),NA(),LOOKUP(HN$1,$S3:$HK3,csv!$L3:$HD3))</f>
        <v>0</v>
      </c>
      <c r="HO3" s="5">
        <f>IF(ISERROR(LOOKUP(HO$1,$S3:$HK3,csv!$L3:$HD3)),NA(),LOOKUP(HO$1,$S3:$HK3,csv!$L3:$HD3))</f>
        <v>0</v>
      </c>
      <c r="HP3" s="5">
        <f>IF(ISERROR(LOOKUP(HP$1,$S3:$HK3,csv!$L3:$HD3)),NA(),LOOKUP(HP$1,$S3:$HK3,csv!$L3:$HD3))</f>
        <v>0</v>
      </c>
      <c r="HQ3" s="5">
        <f>IF(ISERROR(LOOKUP(HQ$1,$S3:$HK3,csv!$L3:$HD3)),NA(),LOOKUP(HQ$1,$S3:$HK3,csv!$L3:$HD3))</f>
        <v>0</v>
      </c>
      <c r="HR3" s="5">
        <f>IF(ISERROR(LOOKUP(HR$1,$S3:$HK3,csv!$L3:$HD3)),NA(),LOOKUP(HR$1,$S3:$HK3,csv!$L3:$HD3))</f>
        <v>0</v>
      </c>
      <c r="HS3" s="5">
        <f>IF(ISERROR(LOOKUP(HS$1,$S3:$HK3,csv!$L3:$HD3)),NA(),LOOKUP(HS$1,$S3:$HK3,csv!$L3:$HD3))</f>
        <v>0</v>
      </c>
      <c r="HT3" s="5">
        <f>IF(ISERROR(LOOKUP(HT$1,$S3:$HK3,csv!$L3:$HD3)),NA(),LOOKUP(HT$1,$S3:$HK3,csv!$L3:$HD3))</f>
        <v>0</v>
      </c>
      <c r="HU3" s="5">
        <f>IF(ISERROR(LOOKUP(HU$1,$S3:$HK3,csv!$L3:$HD3)),NA(),LOOKUP(HU$1,$S3:$HK3,csv!$L3:$HD3))</f>
        <v>0</v>
      </c>
      <c r="HV3" s="5">
        <f>IF(ISERROR(LOOKUP(HV$1,$S3:$HK3,csv!$L3:$HD3)),NA(),LOOKUP(HV$1,$S3:$HK3,csv!$L3:$HD3))</f>
        <v>0</v>
      </c>
      <c r="HW3" s="5">
        <f>IF(ISERROR(LOOKUP(HW$1,$S3:$HK3,csv!$L3:$HD3)),NA(),LOOKUP(HW$1,$S3:$HK3,csv!$L3:$HD3))</f>
        <v>0</v>
      </c>
      <c r="HX3" s="5">
        <f>IF(ISERROR(LOOKUP(HX$1,$S3:$HK3,csv!$L3:$HD3)),NA(),LOOKUP(HX$1,$S3:$HK3,csv!$L3:$HD3))</f>
        <v>0</v>
      </c>
      <c r="HY3" s="5">
        <f>IF(ISERROR(LOOKUP(HY$1,$S3:$HK3,csv!$L3:$HD3)),NA(),LOOKUP(HY$1,$S3:$HK3,csv!$L3:$HD3))</f>
        <v>0</v>
      </c>
      <c r="HZ3" s="5">
        <f>IF(ISERROR(LOOKUP(HZ$1,$S3:$HK3,csv!$L3:$HD3)),NA(),LOOKUP(HZ$1,$S3:$HK3,csv!$L3:$HD3))</f>
        <v>0</v>
      </c>
      <c r="IA3" s="5">
        <f>IF(ISERROR(LOOKUP(IA$1,$S3:$HK3,csv!$L3:$HD3)),NA(),LOOKUP(IA$1,$S3:$HK3,csv!$L3:$HD3))</f>
        <v>0</v>
      </c>
      <c r="IB3" s="5">
        <f>IF(ISERROR(LOOKUP(IB$1,$S3:$HK3,csv!$L3:$HD3)),NA(),LOOKUP(IB$1,$S3:$HK3,csv!$L3:$HD3))</f>
        <v>0</v>
      </c>
      <c r="IC3" s="5">
        <f>IF(ISERROR(LOOKUP(IC$1,$S3:$HK3,csv!$L3:$HD3)),NA(),LOOKUP(IC$1,$S3:$HK3,csv!$L3:$HD3))</f>
        <v>0</v>
      </c>
      <c r="ID3" s="5">
        <f>IF(ISERROR(LOOKUP(ID$1,$S3:$HK3,csv!$L3:$HD3)),NA(),LOOKUP(ID$1,$S3:$HK3,csv!$L3:$HD3))</f>
        <v>0</v>
      </c>
      <c r="IE3" s="5">
        <f>IF(ISERROR(LOOKUP(IE$1,$S3:$HK3,csv!$L3:$HD3)),NA(),LOOKUP(IE$1,$S3:$HK3,csv!$L3:$HD3))</f>
        <v>0</v>
      </c>
      <c r="IF3" s="5">
        <f>IF(ISERROR(LOOKUP(IF$1,$S3:$HK3,csv!$L3:$HD3)),NA(),LOOKUP(IF$1,$S3:$HK3,csv!$L3:$HD3))</f>
        <v>0</v>
      </c>
      <c r="IG3" s="5">
        <f>IF(ISERROR(LOOKUP(IG$1,$S3:$HK3,csv!$L3:$HD3)),NA(),LOOKUP(IG$1,$S3:$HK3,csv!$L3:$HD3))</f>
        <v>0</v>
      </c>
      <c r="IH3" s="5">
        <f>IF(ISERROR(LOOKUP(IH$1,$S3:$HK3,csv!$L3:$HD3)),NA(),LOOKUP(IH$1,$S3:$HK3,csv!$L3:$HD3))</f>
        <v>0</v>
      </c>
      <c r="II3" s="5">
        <f>IF(ISERROR(LOOKUP(II$1,$S3:$HK3,csv!$L3:$HD3)),NA(),LOOKUP(II$1,$S3:$HK3,csv!$L3:$HD3))</f>
        <v>0</v>
      </c>
      <c r="IJ3" s="5">
        <f>IF(ISERROR(LOOKUP(IJ$1,$S3:$HK3,csv!$L3:$HD3)),NA(),LOOKUP(IJ$1,$S3:$HK3,csv!$L3:$HD3))</f>
        <v>0</v>
      </c>
      <c r="IK3" s="5">
        <f>IF(ISERROR(LOOKUP(IK$1,$S3:$HK3,csv!$L3:$HD3)),NA(),LOOKUP(IK$1,$S3:$HK3,csv!$L3:$HD3))</f>
        <v>0</v>
      </c>
      <c r="IL3" s="5">
        <f>IF(ISERROR(LOOKUP(IL$1,$S3:$HK3,csv!$L3:$HD3)),NA(),LOOKUP(IL$1,$S3:$HK3,csv!$L3:$HD3))</f>
        <v>0</v>
      </c>
      <c r="IM3" s="5">
        <f>IF(ISERROR(LOOKUP(IM$1,$S3:$HK3,csv!$L3:$HD3)),NA(),LOOKUP(IM$1,$S3:$HK3,csv!$L3:$HD3))</f>
        <v>0</v>
      </c>
      <c r="IN3" s="5">
        <f>IF(ISERROR(LOOKUP(IN$1,$S3:$HK3,csv!$L3:$HD3)),NA(),LOOKUP(IN$1,$S3:$HK3,csv!$L3:$HD3))</f>
        <v>0</v>
      </c>
      <c r="IO3" s="5">
        <f>IF(ISERROR(LOOKUP(IO$1,$S3:$HK3,csv!$L3:$HD3)),NA(),LOOKUP(IO$1,$S3:$HK3,csv!$L3:$HD3))</f>
        <v>0</v>
      </c>
      <c r="IP3" s="5">
        <f>IF(ISERROR(LOOKUP(IP$1,$S3:$HK3,csv!$L3:$HD3)),NA(),LOOKUP(IP$1,$S3:$HK3,csv!$L3:$HD3))</f>
        <v>0</v>
      </c>
      <c r="IQ3" s="5">
        <f>IF(ISERROR(LOOKUP(IQ$1,$S3:$HK3,csv!$L3:$HD3)),NA(),LOOKUP(IQ$1,$S3:$HK3,csv!$L3:$HD3))</f>
        <v>0</v>
      </c>
      <c r="IR3" s="5">
        <f>IF(ISERROR(LOOKUP(IR$1,$S3:$HK3,csv!$L3:$HD3)),NA(),LOOKUP(IR$1,$S3:$HK3,csv!$L3:$HD3))</f>
        <v>0</v>
      </c>
      <c r="IS3" s="5">
        <f>IF(ISERROR(LOOKUP(IS$1,$S3:$HK3,csv!$L3:$HD3)),NA(),LOOKUP(IS$1,$S3:$HK3,csv!$L3:$HD3))</f>
        <v>0</v>
      </c>
      <c r="IT3" s="5">
        <f>IF(ISERROR(LOOKUP(IT$1,$S3:$HK3,csv!$L3:$HD3)),NA(),LOOKUP(IT$1,$S3:$HK3,csv!$L3:$HD3))</f>
        <v>0</v>
      </c>
      <c r="IU3" s="5">
        <f>IF(ISERROR(LOOKUP(IU$1,$S3:$HK3,csv!$L3:$HD3)),NA(),LOOKUP(IU$1,$S3:$HK3,csv!$L3:$HD3))</f>
        <v>0</v>
      </c>
      <c r="IV3" s="5">
        <f>IF(ISERROR(LOOKUP(IV$1,$S3:$HK3,csv!$L3:$HD3)),NA(),LOOKUP(IV$1,$S3:$HK3,csv!$L3:$HD3))</f>
        <v>0</v>
      </c>
      <c r="IW3" s="5">
        <f>IF(ISERROR(LOOKUP(IW$1,$S3:$HK3,csv!$L3:$HD3)),NA(),LOOKUP(IW$1,$S3:$HK3,csv!$L3:$HD3))</f>
        <v>0</v>
      </c>
      <c r="IX3" s="5">
        <f>IF(ISERROR(LOOKUP(IX$1,$S3:$HK3,csv!$L3:$HD3)),NA(),LOOKUP(IX$1,$S3:$HK3,csv!$L3:$HD3))</f>
        <v>0</v>
      </c>
      <c r="IY3" s="5">
        <f>IF(ISERROR(LOOKUP(IY$1,$S3:$HK3,csv!$L3:$HD3)),NA(),LOOKUP(IY$1,$S3:$HK3,csv!$L3:$HD3))</f>
        <v>0</v>
      </c>
      <c r="IZ3" s="5">
        <f>IF(ISERROR(LOOKUP(IZ$1,$S3:$HK3,csv!$L3:$HD3)),NA(),LOOKUP(IZ$1,$S3:$HK3,csv!$L3:$HD3))</f>
        <v>0</v>
      </c>
      <c r="JA3" s="5">
        <f>IF(ISERROR(LOOKUP(JA$1,$S3:$HK3,csv!$L3:$HD3)),NA(),LOOKUP(JA$1,$S3:$HK3,csv!$L3:$HD3))</f>
        <v>0</v>
      </c>
      <c r="JB3" s="5">
        <f>IF(ISERROR(LOOKUP(JB$1,$S3:$HK3,csv!$L3:$HD3)),NA(),LOOKUP(JB$1,$S3:$HK3,csv!$L3:$HD3))</f>
        <v>0</v>
      </c>
      <c r="JC3" s="5">
        <f>IF(ISERROR(LOOKUP(JC$1,$S3:$HK3,csv!$L3:$HD3)),NA(),LOOKUP(JC$1,$S3:$HK3,csv!$L3:$HD3))</f>
        <v>0</v>
      </c>
      <c r="JD3" s="5">
        <f>IF(ISERROR(LOOKUP(JD$1,$S3:$HK3,csv!$L3:$HD3)),NA(),LOOKUP(JD$1,$S3:$HK3,csv!$L3:$HD3))</f>
        <v>0</v>
      </c>
      <c r="JE3" s="5">
        <f>IF(ISERROR(LOOKUP(JE$1,$S3:$HK3,csv!$L3:$HD3)),NA(),LOOKUP(JE$1,$S3:$HK3,csv!$L3:$HD3))</f>
        <v>0</v>
      </c>
      <c r="JF3" s="5">
        <f>IF(ISERROR(LOOKUP(JF$1,$S3:$HK3,csv!$L3:$HD3)),NA(),LOOKUP(JF$1,$S3:$HK3,csv!$L3:$HD3))</f>
        <v>0</v>
      </c>
      <c r="JG3" s="5">
        <f>IF(ISERROR(LOOKUP(JG$1,$S3:$HK3,csv!$L3:$HD3)),NA(),LOOKUP(JG$1,$S3:$HK3,csv!$L3:$HD3))</f>
        <v>0</v>
      </c>
      <c r="JH3" s="5">
        <f>IF(ISERROR(LOOKUP(JH$1,$S3:$HK3,csv!$L3:$HD3)),NA(),LOOKUP(JH$1,$S3:$HK3,csv!$L3:$HD3))</f>
        <v>0</v>
      </c>
      <c r="JI3" s="5">
        <f>IF(ISERROR(LOOKUP(JI$1,$S3:$HK3,csv!$L3:$HD3)),NA(),LOOKUP(JI$1,$S3:$HK3,csv!$L3:$HD3))</f>
        <v>0</v>
      </c>
      <c r="JJ3" s="5">
        <f>IF(ISERROR(LOOKUP(JJ$1,$S3:$HK3,csv!$L3:$HD3)),NA(),LOOKUP(JJ$1,$S3:$HK3,csv!$L3:$HD3))</f>
        <v>0</v>
      </c>
      <c r="JK3" s="5">
        <f>IF(ISERROR(LOOKUP(JK$1,$S3:$HK3,csv!$L3:$HD3)),NA(),LOOKUP(JK$1,$S3:$HK3,csv!$L3:$HD3))</f>
        <v>0</v>
      </c>
      <c r="JL3" s="5">
        <f>IF(ISERROR(LOOKUP(JL$1,$S3:$HK3,csv!$L3:$HD3)),NA(),LOOKUP(JL$1,$S3:$HK3,csv!$L3:$HD3))</f>
        <v>0</v>
      </c>
      <c r="JM3" s="5">
        <f>IF(ISERROR(LOOKUP(JM$1,$S3:$HK3,csv!$L3:$HD3)),NA(),LOOKUP(JM$1,$S3:$HK3,csv!$L3:$HD3))</f>
        <v>0</v>
      </c>
      <c r="JN3" s="5">
        <f>IF(ISERROR(LOOKUP(JN$1,$S3:$HK3,csv!$L3:$HD3)),NA(),LOOKUP(JN$1,$S3:$HK3,csv!$L3:$HD3))</f>
        <v>0</v>
      </c>
      <c r="JO3" s="5">
        <f>IF(ISERROR(LOOKUP(JO$1,$S3:$HK3,csv!$L3:$HD3)),NA(),LOOKUP(JO$1,$S3:$HK3,csv!$L3:$HD3))</f>
        <v>0</v>
      </c>
      <c r="JP3" s="5">
        <f>IF(ISERROR(LOOKUP(JP$1,$S3:$HK3,csv!$L3:$HD3)),NA(),LOOKUP(JP$1,$S3:$HK3,csv!$L3:$HD3))</f>
        <v>0</v>
      </c>
      <c r="JQ3" s="5">
        <f>IF(ISERROR(LOOKUP(JQ$1,$S3:$HK3,csv!$L3:$HD3)),NA(),LOOKUP(JQ$1,$S3:$HK3,csv!$L3:$HD3))</f>
        <v>0</v>
      </c>
      <c r="JR3" s="5">
        <f>IF(ISERROR(LOOKUP(JR$1,$S3:$HK3,csv!$L3:$HD3)),NA(),LOOKUP(JR$1,$S3:$HK3,csv!$L3:$HD3))</f>
        <v>0</v>
      </c>
      <c r="JS3" s="5">
        <f>IF(ISERROR(LOOKUP(JS$1,$S3:$HK3,csv!$L3:$HD3)),NA(),LOOKUP(JS$1,$S3:$HK3,csv!$L3:$HD3))</f>
        <v>0</v>
      </c>
      <c r="JT3" s="5">
        <f>IF(ISERROR(LOOKUP(JT$1,$S3:$HK3,csv!$L3:$HD3)),NA(),LOOKUP(JT$1,$S3:$HK3,csv!$L3:$HD3))</f>
        <v>0</v>
      </c>
      <c r="JU3" s="5">
        <f>IF(ISERROR(LOOKUP(JU$1,$S3:$HK3,csv!$L3:$HD3)),NA(),LOOKUP(JU$1,$S3:$HK3,csv!$L3:$HD3))</f>
        <v>0</v>
      </c>
      <c r="JV3" s="5">
        <f>IF(ISERROR(LOOKUP(JV$1,$S3:$HK3,csv!$L3:$HD3)),NA(),LOOKUP(JV$1,$S3:$HK3,csv!$L3:$HD3))</f>
        <v>0</v>
      </c>
      <c r="JW3" s="5">
        <f>IF(ISERROR(LOOKUP(JW$1,$S3:$HK3,csv!$L3:$HD3)),NA(),LOOKUP(JW$1,$S3:$HK3,csv!$L3:$HD3))</f>
        <v>0</v>
      </c>
      <c r="JX3" s="5">
        <f>IF(ISERROR(LOOKUP(JX$1,$S3:$HK3,csv!$L3:$HD3)),NA(),LOOKUP(JX$1,$S3:$HK3,csv!$L3:$HD3))</f>
        <v>0</v>
      </c>
      <c r="JY3" s="5">
        <f>IF(ISERROR(LOOKUP(JY$1,$S3:$HK3,csv!$L3:$HD3)),NA(),LOOKUP(JY$1,$S3:$HK3,csv!$L3:$HD3))</f>
        <v>0</v>
      </c>
      <c r="JZ3" s="5">
        <f>IF(ISERROR(LOOKUP(JZ$1,$S3:$HK3,csv!$L3:$HD3)),NA(),LOOKUP(JZ$1,$S3:$HK3,csv!$L3:$HD3))</f>
        <v>0</v>
      </c>
      <c r="KA3" s="5">
        <f>IF(ISERROR(LOOKUP(KA$1,$S3:$HK3,csv!$L3:$HD3)),NA(),LOOKUP(KA$1,$S3:$HK3,csv!$L3:$HD3))</f>
        <v>0</v>
      </c>
      <c r="KB3" s="5">
        <f>IF(ISERROR(LOOKUP(KB$1,$S3:$HK3,csv!$L3:$HD3)),NA(),LOOKUP(KB$1,$S3:$HK3,csv!$L3:$HD3))</f>
        <v>0</v>
      </c>
      <c r="KC3" s="5">
        <f>IF(ISERROR(LOOKUP(KC$1,$S3:$HK3,csv!$L3:$HD3)),NA(),LOOKUP(KC$1,$S3:$HK3,csv!$L3:$HD3))</f>
        <v>0</v>
      </c>
      <c r="KD3" s="5">
        <f>IF(ISERROR(LOOKUP(KD$1,$S3:$HK3,csv!$L3:$HD3)),NA(),LOOKUP(KD$1,$S3:$HK3,csv!$L3:$HD3))</f>
        <v>0</v>
      </c>
      <c r="KE3" s="5">
        <f>IF(ISERROR(LOOKUP(KE$1,$S3:$HK3,csv!$L3:$HD3)),NA(),LOOKUP(KE$1,$S3:$HK3,csv!$L3:$HD3))</f>
        <v>0</v>
      </c>
      <c r="KF3" s="5">
        <f>IF(ISERROR(LOOKUP(KF$1,$S3:$HK3,csv!$L3:$HD3)),NA(),LOOKUP(KF$1,$S3:$HK3,csv!$L3:$HD3))</f>
        <v>0</v>
      </c>
      <c r="KG3" s="5">
        <f>IF(ISERROR(LOOKUP(KG$1,$S3:$HK3,csv!$L3:$HD3)),NA(),LOOKUP(KG$1,$S3:$HK3,csv!$L3:$HD3))</f>
        <v>0</v>
      </c>
      <c r="KH3" s="5">
        <f>IF(ISERROR(LOOKUP(KH$1,$S3:$HK3,csv!$L3:$HD3)),NA(),LOOKUP(KH$1,$S3:$HK3,csv!$L3:$HD3))</f>
        <v>0</v>
      </c>
      <c r="KI3" s="5">
        <f>IF(ISERROR(LOOKUP(KI$1,$S3:$HK3,csv!$L3:$HD3)),NA(),LOOKUP(KI$1,$S3:$HK3,csv!$L3:$HD3))</f>
        <v>0</v>
      </c>
      <c r="KJ3" s="5">
        <f>IF(ISERROR(LOOKUP(KJ$1,$S3:$HK3,csv!$L3:$HD3)),NA(),LOOKUP(KJ$1,$S3:$HK3,csv!$L3:$HD3))</f>
        <v>0</v>
      </c>
      <c r="KK3" s="5">
        <f>IF(ISERROR(LOOKUP(KK$1,$S3:$HK3,csv!$L3:$HD3)),NA(),LOOKUP(KK$1,$S3:$HK3,csv!$L3:$HD3))</f>
        <v>0</v>
      </c>
      <c r="KL3" s="5">
        <f>IF(ISERROR(LOOKUP(KL$1,$S3:$HK3,csv!$L3:$HD3)),NA(),LOOKUP(KL$1,$S3:$HK3,csv!$L3:$HD3))</f>
        <v>0</v>
      </c>
      <c r="KM3" s="5">
        <f>IF(ISERROR(LOOKUP(KM$1,$S3:$HK3,csv!$L3:$HD3)),NA(),LOOKUP(KM$1,$S3:$HK3,csv!$L3:$HD3))</f>
        <v>0</v>
      </c>
      <c r="KN3" s="5">
        <f>IF(ISERROR(LOOKUP(KN$1,$S3:$HK3,csv!$L3:$HD3)),NA(),LOOKUP(KN$1,$S3:$HK3,csv!$L3:$HD3))</f>
        <v>0</v>
      </c>
      <c r="KO3" s="5">
        <f>IF(ISERROR(LOOKUP(KO$1,$S3:$HK3,csv!$L3:$HD3)),NA(),LOOKUP(KO$1,$S3:$HK3,csv!$L3:$HD3))</f>
        <v>0</v>
      </c>
      <c r="KP3" s="5">
        <f>IF(ISERROR(LOOKUP(KP$1,$S3:$HK3,csv!$L3:$HD3)),NA(),LOOKUP(KP$1,$S3:$HK3,csv!$L3:$HD3))</f>
        <v>0</v>
      </c>
      <c r="KQ3" s="5">
        <f>IF(ISERROR(LOOKUP(KQ$1,$S3:$HK3,csv!$L3:$HD3)),NA(),LOOKUP(KQ$1,$S3:$HK3,csv!$L3:$HD3))</f>
        <v>0</v>
      </c>
      <c r="KR3" s="5">
        <f>IF(ISERROR(LOOKUP(KR$1,$S3:$HK3,csv!$L3:$HD3)),NA(),LOOKUP(KR$1,$S3:$HK3,csv!$L3:$HD3))</f>
        <v>0</v>
      </c>
      <c r="KS3" s="5">
        <f>IF(ISERROR(LOOKUP(KS$1,$S3:$HK3,csv!$L3:$HD3)),NA(),LOOKUP(KS$1,$S3:$HK3,csv!$L3:$HD3))</f>
        <v>0</v>
      </c>
      <c r="KT3" s="5">
        <f>IF(ISERROR(LOOKUP(KT$1,$S3:$HK3,csv!$L3:$HD3)),NA(),LOOKUP(KT$1,$S3:$HK3,csv!$L3:$HD3))</f>
        <v>0</v>
      </c>
      <c r="KU3" s="5">
        <f>IF(ISERROR(LOOKUP(KU$1,$S3:$HK3,csv!$L3:$HD3)),NA(),LOOKUP(KU$1,$S3:$HK3,csv!$L3:$HD3))</f>
        <v>0</v>
      </c>
      <c r="KV3" s="5">
        <f>IF(ISERROR(LOOKUP(KV$1,$S3:$HK3,csv!$L3:$HD3)),NA(),LOOKUP(KV$1,$S3:$HK3,csv!$L3:$HD3))</f>
        <v>0</v>
      </c>
      <c r="KW3" s="5">
        <f>IF(ISERROR(LOOKUP(KW$1,$S3:$HK3,csv!$L3:$HD3)),NA(),LOOKUP(KW$1,$S3:$HK3,csv!$L3:$HD3))</f>
        <v>0</v>
      </c>
      <c r="KX3" s="5">
        <f>IF(ISERROR(LOOKUP(KX$1,$S3:$HK3,csv!$L3:$HD3)),NA(),LOOKUP(KX$1,$S3:$HK3,csv!$L3:$HD3))</f>
        <v>0</v>
      </c>
      <c r="KY3" s="5">
        <f>IF(ISERROR(LOOKUP(KY$1,$S3:$HK3,csv!$L3:$HD3)),NA(),LOOKUP(KY$1,$S3:$HK3,csv!$L3:$HD3))</f>
        <v>0</v>
      </c>
      <c r="KZ3" s="5">
        <f>IF(ISERROR(LOOKUP(KZ$1,$S3:$HK3,csv!$L3:$HD3)),NA(),LOOKUP(KZ$1,$S3:$HK3,csv!$L3:$HD3))</f>
        <v>0</v>
      </c>
      <c r="LA3" s="5">
        <f>IF(ISERROR(LOOKUP(LA$1,$S3:$HK3,csv!$L3:$HD3)),NA(),LOOKUP(LA$1,$S3:$HK3,csv!$L3:$HD3))</f>
        <v>0</v>
      </c>
      <c r="LB3" s="5">
        <f>IF(ISERROR(LOOKUP(LB$1,$S3:$HK3,csv!$L3:$HD3)),NA(),LOOKUP(LB$1,$S3:$HK3,csv!$L3:$HD3))</f>
        <v>0</v>
      </c>
      <c r="LC3" s="5">
        <f>IF(ISERROR(LOOKUP(LC$1,$S3:$HK3,csv!$L3:$HD3)),NA(),LOOKUP(LC$1,$S3:$HK3,csv!$L3:$HD3))</f>
        <v>0</v>
      </c>
      <c r="LD3" s="5">
        <f>IF(ISERROR(LOOKUP(LD$1,$S3:$HK3,csv!$L3:$HD3)),NA(),LOOKUP(LD$1,$S3:$HK3,csv!$L3:$HD3))</f>
        <v>0</v>
      </c>
      <c r="LE3" s="5">
        <f>IF(ISERROR(LOOKUP(LE$1,$S3:$HK3,csv!$L3:$HD3)),NA(),LOOKUP(LE$1,$S3:$HK3,csv!$L3:$HD3))</f>
        <v>0</v>
      </c>
      <c r="LF3" s="5">
        <f>IF(ISERROR(LOOKUP(LF$1,$S3:$HK3,csv!$L3:$HD3)),NA(),LOOKUP(LF$1,$S3:$HK3,csv!$L3:$HD3))</f>
        <v>0</v>
      </c>
      <c r="LG3" s="5">
        <f>IF(ISERROR(LOOKUP(LG$1,$S3:$HK3,csv!$L3:$HD3)),NA(),LOOKUP(LG$1,$S3:$HK3,csv!$L3:$HD3))</f>
        <v>0</v>
      </c>
      <c r="LH3" s="5">
        <f>IF(ISERROR(LOOKUP(LH$1,$S3:$HK3,csv!$L3:$HD3)),NA(),LOOKUP(LH$1,$S3:$HK3,csv!$L3:$HD3))</f>
        <v>0</v>
      </c>
      <c r="LI3" s="5">
        <f>IF(ISERROR(LOOKUP(LI$1,$S3:$HK3,csv!$L3:$HD3)),NA(),LOOKUP(LI$1,$S3:$HK3,csv!$L3:$HD3))</f>
        <v>0</v>
      </c>
      <c r="LJ3" s="5">
        <f>IF(ISERROR(LOOKUP(LJ$1,$S3:$HK3,csv!$L3:$HD3)),NA(),LOOKUP(LJ$1,$S3:$HK3,csv!$L3:$HD3))</f>
        <v>0</v>
      </c>
      <c r="LK3" s="5">
        <f>IF(ISERROR(LOOKUP(LK$1,$S3:$HK3,csv!$L3:$HD3)),NA(),LOOKUP(LK$1,$S3:$HK3,csv!$L3:$HD3))</f>
        <v>0</v>
      </c>
      <c r="LL3" s="5">
        <f>IF(ISERROR(LOOKUP(LL$1,$S3:$HK3,csv!$L3:$HD3)),NA(),LOOKUP(LL$1,$S3:$HK3,csv!$L3:$HD3))</f>
        <v>0</v>
      </c>
      <c r="LM3" s="5">
        <f>IF(ISERROR(LOOKUP(LM$1,$S3:$HK3,csv!$L3:$HD3)),NA(),LOOKUP(LM$1,$S3:$HK3,csv!$L3:$HD3))</f>
        <v>0</v>
      </c>
      <c r="LN3" s="5">
        <f>IF(ISERROR(LOOKUP(LN$1,$S3:$HK3,csv!$L3:$HD3)),NA(),LOOKUP(LN$1,$S3:$HK3,csv!$L3:$HD3))</f>
        <v>0</v>
      </c>
      <c r="LO3" s="5">
        <f>IF(ISERROR(LOOKUP(LO$1,$S3:$HK3,csv!$L3:$HD3)),NA(),LOOKUP(LO$1,$S3:$HK3,csv!$L3:$HD3))</f>
        <v>0</v>
      </c>
      <c r="LP3" s="5">
        <f>IF(ISERROR(LOOKUP(LP$1,$S3:$HK3,csv!$L3:$HD3)),NA(),LOOKUP(LP$1,$S3:$HK3,csv!$L3:$HD3))</f>
        <v>0</v>
      </c>
      <c r="LQ3" s="5">
        <f>IF(ISERROR(LOOKUP(LQ$1,$S3:$HK3,csv!$L3:$HD3)),NA(),LOOKUP(LQ$1,$S3:$HK3,csv!$L3:$HD3))</f>
        <v>0</v>
      </c>
      <c r="LR3" s="5">
        <f>IF(ISERROR(LOOKUP(LR$1,$S3:$HK3,csv!$L3:$HD3)),NA(),LOOKUP(LR$1,$S3:$HK3,csv!$L3:$HD3))</f>
        <v>0</v>
      </c>
      <c r="LS3" s="5">
        <f>IF(ISERROR(LOOKUP(LS$1,$S3:$HK3,csv!$L3:$HD3)),NA(),LOOKUP(LS$1,$S3:$HK3,csv!$L3:$HD3))</f>
        <v>0</v>
      </c>
      <c r="LT3" s="5">
        <f>IF(ISERROR(LOOKUP(LT$1,$S3:$HK3,csv!$L3:$HD3)),NA(),LOOKUP(LT$1,$S3:$HK3,csv!$L3:$HD3))</f>
        <v>0</v>
      </c>
      <c r="LU3" s="5">
        <f>IF(ISERROR(LOOKUP(LU$1,$S3:$HK3,csv!$L3:$HD3)),NA(),LOOKUP(LU$1,$S3:$HK3,csv!$L3:$HD3))</f>
        <v>0</v>
      </c>
      <c r="LV3" s="5">
        <f>IF(ISERROR(LOOKUP(LV$1,$S3:$HK3,csv!$L3:$HD3)),NA(),LOOKUP(LV$1,$S3:$HK3,csv!$L3:$HD3))</f>
        <v>0</v>
      </c>
      <c r="LW3" s="5">
        <f>IF(ISERROR(LOOKUP(LW$1,$S3:$HK3,csv!$L3:$HD3)),NA(),LOOKUP(LW$1,$S3:$HK3,csv!$L3:$HD3))</f>
        <v>0</v>
      </c>
      <c r="LX3" s="5">
        <f>IF(ISERROR(LOOKUP(LX$1,$S3:$HK3,csv!$L3:$HD3)),NA(),LOOKUP(LX$1,$S3:$HK3,csv!$L3:$HD3))</f>
        <v>0</v>
      </c>
      <c r="LY3" s="5">
        <f>IF(ISERROR(LOOKUP(LY$1,$S3:$HK3,csv!$L3:$HD3)),NA(),LOOKUP(LY$1,$S3:$HK3,csv!$L3:$HD3))</f>
        <v>0</v>
      </c>
      <c r="LZ3" s="5">
        <f>IF(ISERROR(LOOKUP(LZ$1,$S3:$HK3,csv!$L3:$HD3)),NA(),LOOKUP(LZ$1,$S3:$HK3,csv!$L3:$HD3))</f>
        <v>0</v>
      </c>
      <c r="MA3" s="5">
        <f>IF(ISERROR(LOOKUP(MA$1,$S3:$HK3,csv!$L3:$HD3)),NA(),LOOKUP(MA$1,$S3:$HK3,csv!$L3:$HD3))</f>
        <v>0</v>
      </c>
      <c r="MB3" s="5">
        <f>IF(ISERROR(LOOKUP(MB$1,$S3:$HK3,csv!$L3:$HD3)),NA(),LOOKUP(MB$1,$S3:$HK3,csv!$L3:$HD3))</f>
        <v>0</v>
      </c>
      <c r="MC3" s="5">
        <f>IF(ISERROR(LOOKUP(MC$1,$S3:$HK3,csv!$L3:$HD3)),NA(),LOOKUP(MC$1,$S3:$HK3,csv!$L3:$HD3))</f>
        <v>0</v>
      </c>
      <c r="MD3" s="5">
        <f>IF(ISERROR(LOOKUP(MD$1,$S3:$HK3,csv!$L3:$HD3)),NA(),LOOKUP(MD$1,$S3:$HK3,csv!$L3:$HD3))</f>
        <v>0</v>
      </c>
      <c r="ME3" s="5">
        <f>IF(ISERROR(LOOKUP(ME$1,$S3:$HK3,csv!$L3:$HD3)),NA(),LOOKUP(ME$1,$S3:$HK3,csv!$L3:$HD3))</f>
        <v>0</v>
      </c>
      <c r="MF3" s="5">
        <f>IF(ISERROR(LOOKUP(MF$1,$S3:$HK3,csv!$L3:$HD3)),NA(),LOOKUP(MF$1,$S3:$HK3,csv!$L3:$HD3))</f>
        <v>0</v>
      </c>
      <c r="MG3" s="5">
        <f>IF(ISERROR(LOOKUP(MG$1,$S3:$HK3,csv!$L3:$HD3)),NA(),LOOKUP(MG$1,$S3:$HK3,csv!$L3:$HD3))</f>
        <v>0</v>
      </c>
      <c r="MH3" s="5">
        <f>IF(ISERROR(LOOKUP(MH$1,$S3:$HK3,csv!$L3:$HD3)),NA(),LOOKUP(MH$1,$S3:$HK3,csv!$L3:$HD3))</f>
        <v>0</v>
      </c>
      <c r="MI3" s="5">
        <f>IF(ISERROR(LOOKUP(MI$1,$S3:$HK3,csv!$L3:$HD3)),NA(),LOOKUP(MI$1,$S3:$HK3,csv!$L3:$HD3))</f>
        <v>0</v>
      </c>
      <c r="MJ3" s="5">
        <f>IF(ISERROR(LOOKUP(MJ$1,$S3:$HK3,csv!$L3:$HD3)),NA(),LOOKUP(MJ$1,$S3:$HK3,csv!$L3:$HD3))</f>
        <v>0</v>
      </c>
      <c r="MK3" s="5">
        <f>IF(ISERROR(LOOKUP(MK$1,$S3:$HK3,csv!$L3:$HD3)),NA(),LOOKUP(MK$1,$S3:$HK3,csv!$L3:$HD3))</f>
        <v>0</v>
      </c>
      <c r="ML3" s="5">
        <f>IF(ISERROR(LOOKUP(ML$1,$S3:$HK3,csv!$L3:$HD3)),NA(),LOOKUP(ML$1,$S3:$HK3,csv!$L3:$HD3))</f>
        <v>0</v>
      </c>
      <c r="MM3" s="5">
        <f>IF(ISERROR(LOOKUP(MM$1,$S3:$HK3,csv!$L3:$HD3)),NA(),LOOKUP(MM$1,$S3:$HK3,csv!$L3:$HD3))</f>
        <v>0</v>
      </c>
      <c r="MN3" s="5">
        <f>IF(ISERROR(LOOKUP(MN$1,$S3:$HK3,csv!$L3:$HD3)),NA(),LOOKUP(MN$1,$S3:$HK3,csv!$L3:$HD3))</f>
        <v>0</v>
      </c>
      <c r="MO3" s="5">
        <f>IF(ISERROR(LOOKUP(MO$1,$S3:$HK3,csv!$L3:$HD3)),NA(),LOOKUP(MO$1,$S3:$HK3,csv!$L3:$HD3))</f>
        <v>0</v>
      </c>
      <c r="MP3" s="5">
        <f>IF(ISERROR(LOOKUP(MP$1,$S3:$HK3,csv!$L3:$HD3)),NA(),LOOKUP(MP$1,$S3:$HK3,csv!$L3:$HD3))</f>
        <v>0</v>
      </c>
      <c r="MQ3" s="5">
        <f>IF(ISERROR(LOOKUP(MQ$1,$S3:$HK3,csv!$L3:$HD3)),NA(),LOOKUP(MQ$1,$S3:$HK3,csv!$L3:$HD3))</f>
        <v>0</v>
      </c>
      <c r="MR3" s="5">
        <f>IF(ISERROR(LOOKUP(MR$1,$S3:$HK3,csv!$L3:$HD3)),NA(),LOOKUP(MR$1,$S3:$HK3,csv!$L3:$HD3))</f>
        <v>0</v>
      </c>
      <c r="MS3" s="5">
        <f>IF(ISERROR(LOOKUP(MS$1,$S3:$HK3,csv!$L3:$HD3)),NA(),LOOKUP(MS$1,$S3:$HK3,csv!$L3:$HD3))</f>
        <v>0</v>
      </c>
      <c r="MT3" s="5">
        <f>IF(ISERROR(LOOKUP(MT$1,$S3:$HK3,csv!$L3:$HD3)),NA(),LOOKUP(MT$1,$S3:$HK3,csv!$L3:$HD3))</f>
        <v>0</v>
      </c>
      <c r="MU3" s="5">
        <f>IF(ISERROR(LOOKUP(MU$1,$S3:$HK3,csv!$L3:$HD3)),NA(),LOOKUP(MU$1,$S3:$HK3,csv!$L3:$HD3))</f>
        <v>0</v>
      </c>
      <c r="MV3" s="5">
        <f>IF(ISERROR(LOOKUP(MV$1,$S3:$HK3,csv!$L3:$HD3)),NA(),LOOKUP(MV$1,$S3:$HK3,csv!$L3:$HD3))</f>
        <v>0</v>
      </c>
      <c r="MW3" s="5">
        <f>IF(ISERROR(LOOKUP(MW$1,$S3:$HK3,csv!$L3:$HD3)),NA(),LOOKUP(MW$1,$S3:$HK3,csv!$L3:$HD3))</f>
        <v>0</v>
      </c>
      <c r="MX3" s="5">
        <f>IF(ISERROR(LOOKUP(MX$1,$S3:$HK3,csv!$L3:$HD3)),NA(),LOOKUP(MX$1,$S3:$HK3,csv!$L3:$HD3))</f>
        <v>0</v>
      </c>
      <c r="MY3" s="5">
        <f>IF(ISERROR(LOOKUP(MY$1,$S3:$HK3,csv!$L3:$HD3)),NA(),LOOKUP(MY$1,$S3:$HK3,csv!$L3:$HD3))</f>
        <v>0</v>
      </c>
      <c r="MZ3" s="5">
        <f>IF(ISERROR(LOOKUP(MZ$1,$S3:$HK3,csv!$L3:$HD3)),NA(),LOOKUP(MZ$1,$S3:$HK3,csv!$L3:$HD3))</f>
        <v>0</v>
      </c>
      <c r="NA3" s="5">
        <f>IF(ISERROR(LOOKUP(NA$1,$S3:$HK3,csv!$L3:$HD3)),NA(),LOOKUP(NA$1,$S3:$HK3,csv!$L3:$HD3))</f>
        <v>0</v>
      </c>
      <c r="NB3" s="5">
        <f>IF(ISERROR(LOOKUP(NB$1,$S3:$HK3,csv!$L3:$HD3)),NA(),LOOKUP(NB$1,$S3:$HK3,csv!$L3:$HD3))</f>
        <v>0</v>
      </c>
      <c r="NC3" s="5">
        <f>IF(ISERROR(LOOKUP(NC$1,$S3:$HK3,csv!$L3:$HD3)),NA(),LOOKUP(NC$1,$S3:$HK3,csv!$L3:$HD3))</f>
        <v>0</v>
      </c>
      <c r="ND3" s="5">
        <f>IF(ISERROR(LOOKUP(ND$1,$S3:$HK3,csv!$L3:$HD3)),NA(),LOOKUP(ND$1,$S3:$HK3,csv!$L3:$HD3))</f>
        <v>0</v>
      </c>
      <c r="NE3" s="5">
        <f>IF(ISERROR(LOOKUP(NE$1,$S3:$HK3,csv!$L3:$HD3)),NA(),LOOKUP(NE$1,$S3:$HK3,csv!$L3:$HD3))</f>
        <v>0</v>
      </c>
      <c r="NF3" s="5">
        <f>IF(ISERROR(LOOKUP(NF$1,$S3:$HK3,csv!$L3:$HD3)),NA(),LOOKUP(NF$1,$S3:$HK3,csv!$L3:$HD3))</f>
        <v>0</v>
      </c>
      <c r="NG3" s="5">
        <f>IF(ISERROR(LOOKUP(NG$1,$S3:$HK3,csv!$L3:$HD3)),NA(),LOOKUP(NG$1,$S3:$HK3,csv!$L3:$HD3))</f>
        <v>0</v>
      </c>
      <c r="NH3" s="5">
        <f>IF(ISERROR(LOOKUP(NH$1,$S3:$HK3,csv!$L3:$HD3)),NA(),LOOKUP(NH$1,$S3:$HK3,csv!$L3:$HD3))</f>
        <v>0</v>
      </c>
      <c r="NI3" s="5">
        <f>IF(ISERROR(LOOKUP(NI$1,$S3:$HK3,csv!$L3:$HD3)),NA(),LOOKUP(NI$1,$S3:$HK3,csv!$L3:$HD3))</f>
        <v>0</v>
      </c>
      <c r="NJ3" s="5">
        <f>IF(ISERROR(LOOKUP(NJ$1,$S3:$HK3,csv!$L3:$HD3)),NA(),LOOKUP(NJ$1,$S3:$HK3,csv!$L3:$HD3))</f>
        <v>0</v>
      </c>
      <c r="NK3" s="5">
        <f>IF(ISERROR(LOOKUP(NK$1,$S3:$HK3,csv!$L3:$HD3)),NA(),LOOKUP(NK$1,$S3:$HK3,csv!$L3:$HD3))</f>
        <v>0</v>
      </c>
      <c r="NL3" s="5">
        <f>IF(ISERROR(LOOKUP(NL$1,$S3:$HK3,csv!$L3:$HD3)),NA(),LOOKUP(NL$1,$S3:$HK3,csv!$L3:$HD3))</f>
        <v>0</v>
      </c>
      <c r="NM3" s="5">
        <f>IF(ISERROR(LOOKUP(NM$1,$S3:$HK3,csv!$L3:$HD3)),NA(),LOOKUP(NM$1,$S3:$HK3,csv!$L3:$HD3))</f>
        <v>0</v>
      </c>
      <c r="NN3" s="5">
        <f>IF(ISERROR(LOOKUP(NN$1,$S3:$HK3,csv!$L3:$HD3)),NA(),LOOKUP(NN$1,$S3:$HK3,csv!$L3:$HD3))</f>
        <v>0</v>
      </c>
      <c r="NO3" s="5">
        <f>IF(ISERROR(LOOKUP(NO$1,$S3:$HK3,csv!$L3:$HD3)),NA(),LOOKUP(NO$1,$S3:$HK3,csv!$L3:$HD3))</f>
        <v>0</v>
      </c>
      <c r="NP3" s="5">
        <f>IF(ISERROR(LOOKUP(NP$1,$S3:$HK3,csv!$L3:$HD3)),NA(),LOOKUP(NP$1,$S3:$HK3,csv!$L3:$HD3))</f>
        <v>0</v>
      </c>
      <c r="NQ3" s="5">
        <f>IF(ISERROR(LOOKUP(NQ$1,$S3:$HK3,csv!$L3:$HD3)),NA(),LOOKUP(NQ$1,$S3:$HK3,csv!$L3:$HD3))</f>
        <v>0</v>
      </c>
      <c r="NR3" s="5">
        <f>IF(ISERROR(LOOKUP(NR$1,$S3:$HK3,csv!$L3:$HD3)),NA(),LOOKUP(NR$1,$S3:$HK3,csv!$L3:$HD3))</f>
        <v>0</v>
      </c>
      <c r="NS3" s="5">
        <f>IF(ISERROR(LOOKUP(NS$1,$S3:$HK3,csv!$L3:$HD3)),NA(),LOOKUP(NS$1,$S3:$HK3,csv!$L3:$HD3))</f>
        <v>0</v>
      </c>
      <c r="NT3" s="5">
        <f>IF(ISERROR(LOOKUP(NT$1,$S3:$HK3,csv!$L3:$HD3)),NA(),LOOKUP(NT$1,$S3:$HK3,csv!$L3:$HD3))</f>
        <v>0</v>
      </c>
      <c r="NU3" s="5">
        <f>IF(ISERROR(LOOKUP(NU$1,$S3:$HK3,csv!$L3:$HD3)),NA(),LOOKUP(NU$1,$S3:$HK3,csv!$L3:$HD3))</f>
        <v>0</v>
      </c>
      <c r="NV3" s="5">
        <f>IF(ISERROR(LOOKUP(NV$1,$S3:$HK3,csv!$L3:$HD3)),NA(),LOOKUP(NV$1,$S3:$HK3,csv!$L3:$HD3))</f>
        <v>0</v>
      </c>
      <c r="NW3" s="5">
        <f>IF(ISERROR(LOOKUP(NW$1,$S3:$HK3,csv!$L3:$HD3)),NA(),LOOKUP(NW$1,$S3:$HK3,csv!$L3:$HD3))</f>
        <v>0</v>
      </c>
      <c r="NX3" s="5">
        <f>IF(ISERROR(LOOKUP(NX$1,$S3:$HK3,csv!$L3:$HD3)),NA(),LOOKUP(NX$1,$S3:$HK3,csv!$L3:$HD3))</f>
        <v>0</v>
      </c>
      <c r="NY3" s="5">
        <f>IF(ISERROR(LOOKUP(NY$1,$S3:$HK3,csv!$L3:$HD3)),NA(),LOOKUP(NY$1,$S3:$HK3,csv!$L3:$HD3))</f>
        <v>0</v>
      </c>
      <c r="NZ3" s="5">
        <f>IF(ISERROR(LOOKUP(NZ$1,$S3:$HK3,csv!$L3:$HD3)),NA(),LOOKUP(NZ$1,$S3:$HK3,csv!$L3:$HD3))</f>
        <v>0</v>
      </c>
      <c r="OA3" s="5">
        <f>IF(ISERROR(LOOKUP(OA$1,$S3:$HK3,csv!$L3:$HD3)),NA(),LOOKUP(OA$1,$S3:$HK3,csv!$L3:$HD3))</f>
        <v>0</v>
      </c>
      <c r="OB3" s="5">
        <f>IF(ISERROR(LOOKUP(OB$1,$S3:$HK3,csv!$L3:$HD3)),NA(),LOOKUP(OB$1,$S3:$HK3,csv!$L3:$HD3))</f>
        <v>0</v>
      </c>
      <c r="OC3" s="5">
        <f>IF(ISERROR(LOOKUP(OC$1,$S3:$HK3,csv!$L3:$HD3)),NA(),LOOKUP(OC$1,$S3:$HK3,csv!$L3:$HD3))</f>
        <v>0</v>
      </c>
      <c r="OD3" s="5">
        <f>IF(ISERROR(LOOKUP(OD$1,$S3:$HK3,csv!$L3:$HD3)),NA(),LOOKUP(OD$1,$S3:$HK3,csv!$L3:$HD3))</f>
        <v>0</v>
      </c>
      <c r="OE3" s="5">
        <f>IF(ISERROR(LOOKUP(OE$1,$S3:$HK3,csv!$L3:$HD3)),NA(),LOOKUP(OE$1,$S3:$HK3,csv!$L3:$HD3))</f>
        <v>0</v>
      </c>
      <c r="OF3" s="5">
        <f>IF(ISERROR(LOOKUP(OF$1,$S3:$HK3,csv!$L3:$HD3)),NA(),LOOKUP(OF$1,$S3:$HK3,csv!$L3:$HD3))</f>
        <v>0</v>
      </c>
      <c r="OG3" s="5">
        <f>IF(ISERROR(LOOKUP(OG$1,$S3:$HK3,csv!$L3:$HD3)),NA(),LOOKUP(OG$1,$S3:$HK3,csv!$L3:$HD3))</f>
        <v>0</v>
      </c>
      <c r="OH3" s="5">
        <f>IF(ISERROR(LOOKUP(OH$1,$S3:$HK3,csv!$L3:$HD3)),NA(),LOOKUP(OH$1,$S3:$HK3,csv!$L3:$HD3))</f>
        <v>0</v>
      </c>
      <c r="OI3" s="5">
        <f>IF(ISERROR(LOOKUP(OI$1,$S3:$HK3,csv!$L3:$HD3)),NA(),LOOKUP(OI$1,$S3:$HK3,csv!$L3:$HD3))</f>
        <v>0</v>
      </c>
      <c r="OJ3" s="5">
        <f>IF(ISERROR(LOOKUP(OJ$1,$S3:$HK3,csv!$L3:$HD3)),NA(),LOOKUP(OJ$1,$S3:$HK3,csv!$L3:$HD3))</f>
        <v>0</v>
      </c>
      <c r="OK3" s="5">
        <f>IF(ISERROR(LOOKUP(OK$1,$S3:$HK3,csv!$L3:$HD3)),NA(),LOOKUP(OK$1,$S3:$HK3,csv!$L3:$HD3))</f>
        <v>0</v>
      </c>
      <c r="OL3" s="5">
        <f>IF(ISERROR(LOOKUP(OL$1,$S3:$HK3,csv!$L3:$HD3)),NA(),LOOKUP(OL$1,$S3:$HK3,csv!$L3:$HD3))</f>
        <v>0</v>
      </c>
      <c r="OM3" s="5">
        <f>IF(ISERROR(LOOKUP(OM$1,$S3:$HK3,csv!$L3:$HD3)),NA(),LOOKUP(OM$1,$S3:$HK3,csv!$L3:$HD3))</f>
        <v>0</v>
      </c>
      <c r="ON3" s="5">
        <f>IF(ISERROR(LOOKUP(ON$1,$S3:$HK3,csv!$L3:$HD3)),NA(),LOOKUP(ON$1,$S3:$HK3,csv!$L3:$HD3))</f>
        <v>0</v>
      </c>
      <c r="OO3" s="5">
        <f>IF(ISERROR(LOOKUP(OO$1,$S3:$HK3,csv!$L3:$HD3)),NA(),LOOKUP(OO$1,$S3:$HK3,csv!$L3:$HD3))</f>
        <v>0</v>
      </c>
      <c r="OP3" s="5">
        <f>IF(ISERROR(LOOKUP(OP$1,$S3:$HK3,csv!$L3:$HD3)),NA(),LOOKUP(OP$1,$S3:$HK3,csv!$L3:$HD3))</f>
        <v>0</v>
      </c>
      <c r="OQ3" s="5">
        <f>IF(ISERROR(LOOKUP(OQ$1,$S3:$HK3,csv!$L3:$HD3)),NA(),LOOKUP(OQ$1,$S3:$HK3,csv!$L3:$HD3))</f>
        <v>0</v>
      </c>
      <c r="OR3" s="5">
        <f>IF(ISERROR(LOOKUP(OR$1,$S3:$HK3,csv!$L3:$HD3)),NA(),LOOKUP(OR$1,$S3:$HK3,csv!$L3:$HD3))</f>
        <v>0</v>
      </c>
      <c r="OS3" s="5">
        <f>IF(ISERROR(LOOKUP(OS$1,$S3:$HK3,csv!$L3:$HD3)),NA(),LOOKUP(OS$1,$S3:$HK3,csv!$L3:$HD3))</f>
        <v>0</v>
      </c>
      <c r="OT3" s="5">
        <f>IF(ISERROR(LOOKUP(OT$1,$S3:$HK3,csv!$L3:$HD3)),NA(),LOOKUP(OT$1,$S3:$HK3,csv!$L3:$HD3))</f>
        <v>0</v>
      </c>
      <c r="OU3" s="5">
        <f>IF(ISERROR(LOOKUP(OU$1,$S3:$HK3,csv!$L3:$HD3)),NA(),LOOKUP(OU$1,$S3:$HK3,csv!$L3:$HD3))</f>
        <v>0</v>
      </c>
      <c r="OV3" s="5">
        <f>IF(ISERROR(LOOKUP(OV$1,$S3:$HK3,csv!$L3:$HD3)),NA(),LOOKUP(OV$1,$S3:$HK3,csv!$L3:$HD3))</f>
        <v>0</v>
      </c>
      <c r="OW3" s="5">
        <f>IF(ISERROR(LOOKUP(OW$1,$S3:$HK3,csv!$L3:$HD3)),NA(),LOOKUP(OW$1,$S3:$HK3,csv!$L3:$HD3))</f>
        <v>0</v>
      </c>
      <c r="OX3" s="5">
        <f>IF(ISERROR(LOOKUP(OX$1,$S3:$HK3,csv!$L3:$HD3)),NA(),LOOKUP(OX$1,$S3:$HK3,csv!$L3:$HD3))</f>
        <v>0</v>
      </c>
      <c r="OY3" s="5">
        <f>IF(ISERROR(LOOKUP(OY$1,$S3:$HK3,csv!$L3:$HD3)),NA(),LOOKUP(OY$1,$S3:$HK3,csv!$L3:$HD3))</f>
        <v>0</v>
      </c>
      <c r="OZ3" s="5">
        <f>IF(ISERROR(LOOKUP(OZ$1,$S3:$HK3,csv!$L3:$HD3)),NA(),LOOKUP(OZ$1,$S3:$HK3,csv!$L3:$HD3))</f>
        <v>0</v>
      </c>
      <c r="PA3" s="5">
        <f>IF(ISERROR(LOOKUP(PA$1,$S3:$HK3,csv!$L3:$HD3)),NA(),LOOKUP(PA$1,$S3:$HK3,csv!$L3:$HD3))</f>
        <v>0</v>
      </c>
      <c r="PB3" s="5">
        <f>IF(ISERROR(LOOKUP(PB$1,$S3:$HK3,csv!$L3:$HD3)),NA(),LOOKUP(PB$1,$S3:$HK3,csv!$L3:$HD3))</f>
        <v>0</v>
      </c>
      <c r="PC3" s="5">
        <f>IF(ISERROR(LOOKUP(PC$1,$S3:$HK3,csv!$L3:$HD3)),NA(),LOOKUP(PC$1,$S3:$HK3,csv!$L3:$HD3))</f>
        <v>0</v>
      </c>
      <c r="PD3" s="5">
        <f>IF(ISERROR(LOOKUP(PD$1,$S3:$HK3,csv!$L3:$HD3)),NA(),LOOKUP(PD$1,$S3:$HK3,csv!$L3:$HD3))</f>
        <v>0</v>
      </c>
      <c r="PE3" s="5">
        <f>IF(ISERROR(LOOKUP(PE$1,$S3:$HK3,csv!$L3:$HD3)),NA(),LOOKUP(PE$1,$S3:$HK3,csv!$L3:$HD3))</f>
        <v>0</v>
      </c>
      <c r="PF3" s="5">
        <f>IF(ISERROR(LOOKUP(PF$1,$S3:$HK3,csv!$L3:$HD3)),NA(),LOOKUP(PF$1,$S3:$HK3,csv!$L3:$HD3))</f>
        <v>0</v>
      </c>
      <c r="PG3" s="5">
        <f>IF(ISERROR(LOOKUP(PG$1,$S3:$HK3,csv!$L3:$HD3)),NA(),LOOKUP(PG$1,$S3:$HK3,csv!$L3:$HD3))</f>
        <v>0</v>
      </c>
      <c r="PH3" s="5">
        <f>IF(ISERROR(LOOKUP(PH$1,$S3:$HK3,csv!$L3:$HD3)),NA(),LOOKUP(PH$1,$S3:$HK3,csv!$L3:$HD3))</f>
        <v>0</v>
      </c>
      <c r="PI3" s="5">
        <f>IF(ISERROR(LOOKUP(PI$1,$S3:$HK3,csv!$L3:$HD3)),NA(),LOOKUP(PI$1,$S3:$HK3,csv!$L3:$HD3))</f>
        <v>0</v>
      </c>
      <c r="PJ3" s="5">
        <f>IF(ISERROR(LOOKUP(PJ$1,$S3:$HK3,csv!$L3:$HD3)),NA(),LOOKUP(PJ$1,$S3:$HK3,csv!$L3:$HD3))</f>
        <v>0</v>
      </c>
      <c r="PK3" s="5">
        <f>IF(ISERROR(LOOKUP(PK$1,$S3:$HK3,csv!$L3:$HD3)),NA(),LOOKUP(PK$1,$S3:$HK3,csv!$L3:$HD3))</f>
        <v>0</v>
      </c>
      <c r="PL3" s="5">
        <f>IF(ISERROR(LOOKUP(PL$1,$S3:$HK3,csv!$L3:$HD3)),NA(),LOOKUP(PL$1,$S3:$HK3,csv!$L3:$HD3))</f>
        <v>0</v>
      </c>
      <c r="PM3" s="5">
        <f>IF(ISERROR(LOOKUP(PM$1,$S3:$HK3,csv!$L3:$HD3)),NA(),LOOKUP(PM$1,$S3:$HK3,csv!$L3:$HD3))</f>
        <v>0</v>
      </c>
      <c r="PN3" s="5">
        <f>IF(ISERROR(LOOKUP(PN$1,$S3:$HK3,csv!$L3:$HD3)),NA(),LOOKUP(PN$1,$S3:$HK3,csv!$L3:$HD3))</f>
        <v>0</v>
      </c>
      <c r="PO3" s="5">
        <f>IF(ISERROR(LOOKUP(PO$1,$S3:$HK3,csv!$L3:$HD3)),NA(),LOOKUP(PO$1,$S3:$HK3,csv!$L3:$HD3))</f>
        <v>0</v>
      </c>
      <c r="PP3" s="5">
        <f>IF(ISERROR(LOOKUP(PP$1,$S3:$HK3,csv!$L3:$HD3)),NA(),LOOKUP(PP$1,$S3:$HK3,csv!$L3:$HD3))</f>
        <v>0</v>
      </c>
      <c r="PQ3" s="5">
        <f>IF(ISERROR(LOOKUP(PQ$1,$S3:$HK3,csv!$L3:$HD3)),NA(),LOOKUP(PQ$1,$S3:$HK3,csv!$L3:$HD3))</f>
        <v>0</v>
      </c>
      <c r="PR3" s="5">
        <f>IF(ISERROR(LOOKUP(PR$1,$S3:$HK3,csv!$L3:$HD3)),NA(),LOOKUP(PR$1,$S3:$HK3,csv!$L3:$HD3))</f>
        <v>0</v>
      </c>
      <c r="PS3" s="5">
        <f>IF(ISERROR(LOOKUP(PS$1,$S3:$HK3,csv!$L3:$HD3)),NA(),LOOKUP(PS$1,$S3:$HK3,csv!$L3:$HD3))</f>
        <v>0</v>
      </c>
      <c r="PT3" s="5">
        <f>IF(ISERROR(LOOKUP(PT$1,$S3:$HK3,csv!$L3:$HD3)),NA(),LOOKUP(PT$1,$S3:$HK3,csv!$L3:$HD3))</f>
        <v>0</v>
      </c>
      <c r="PU3" s="5">
        <f>IF(ISERROR(LOOKUP(PU$1,$S3:$HK3,csv!$L3:$HD3)),NA(),LOOKUP(PU$1,$S3:$HK3,csv!$L3:$HD3))</f>
        <v>0</v>
      </c>
      <c r="PV3" s="5">
        <f>IF(ISERROR(LOOKUP(PV$1,$S3:$HK3,csv!$L3:$HD3)),NA(),LOOKUP(PV$1,$S3:$HK3,csv!$L3:$HD3))</f>
        <v>0</v>
      </c>
      <c r="PW3" s="5">
        <f>IF(ISERROR(LOOKUP(PW$1,$S3:$HK3,csv!$L3:$HD3)),NA(),LOOKUP(PW$1,$S3:$HK3,csv!$L3:$HD3))</f>
        <v>0</v>
      </c>
      <c r="PX3" s="5">
        <f>IF(ISERROR(LOOKUP(PX$1,$S3:$HK3,csv!$L3:$HD3)),NA(),LOOKUP(PX$1,$S3:$HK3,csv!$L3:$HD3))</f>
        <v>0</v>
      </c>
      <c r="PY3" s="5">
        <f>IF(ISERROR(LOOKUP(PY$1,$S3:$HK3,csv!$L3:$HD3)),NA(),LOOKUP(PY$1,$S3:$HK3,csv!$L3:$HD3))</f>
        <v>0</v>
      </c>
      <c r="PZ3" s="5">
        <f>IF(ISERROR(LOOKUP(PZ$1,$S3:$HK3,csv!$L3:$HD3)),NA(),LOOKUP(PZ$1,$S3:$HK3,csv!$L3:$HD3))</f>
        <v>0</v>
      </c>
      <c r="QA3" s="5">
        <f>IF(ISERROR(LOOKUP(QA$1,$S3:$HK3,csv!$L3:$HD3)),NA(),LOOKUP(QA$1,$S3:$HK3,csv!$L3:$HD3))</f>
        <v>0</v>
      </c>
      <c r="QB3" s="5">
        <f>IF(ISERROR(LOOKUP(QB$1,$S3:$HK3,csv!$L3:$HD3)),NA(),LOOKUP(QB$1,$S3:$HK3,csv!$L3:$HD3))</f>
        <v>0</v>
      </c>
      <c r="QC3" s="5">
        <f>IF(ISERROR(LOOKUP(QC$1,$S3:$HK3,csv!$L3:$HD3)),NA(),LOOKUP(QC$1,$S3:$HK3,csv!$L3:$HD3))</f>
        <v>0</v>
      </c>
      <c r="QD3" s="5">
        <f>IF(ISERROR(LOOKUP(QD$1,$S3:$HK3,csv!$L3:$HD3)),NA(),LOOKUP(QD$1,$S3:$HK3,csv!$L3:$HD3))</f>
        <v>0</v>
      </c>
      <c r="QE3" s="5">
        <f>IF(ISERROR(LOOKUP(QE$1,$S3:$HK3,csv!$L3:$HD3)),NA(),LOOKUP(QE$1,$S3:$HK3,csv!$L3:$HD3))</f>
        <v>0</v>
      </c>
      <c r="QF3" s="5">
        <f>IF(ISERROR(LOOKUP(QF$1,$S3:$HK3,csv!$L3:$HD3)),NA(),LOOKUP(QF$1,$S3:$HK3,csv!$L3:$HD3))</f>
        <v>0</v>
      </c>
      <c r="QG3" s="5">
        <f>IF(ISERROR(LOOKUP(QG$1,$S3:$HK3,csv!$L3:$HD3)),NA(),LOOKUP(QG$1,$S3:$HK3,csv!$L3:$HD3))</f>
        <v>0</v>
      </c>
      <c r="QH3" s="5">
        <f>IF(ISERROR(LOOKUP(QH$1,$S3:$HK3,csv!$L3:$HD3)),NA(),LOOKUP(QH$1,$S3:$HK3,csv!$L3:$HD3))</f>
        <v>0</v>
      </c>
      <c r="QI3" s="5">
        <f>IF(ISERROR(LOOKUP(QI$1,$S3:$HK3,csv!$L3:$HD3)),NA(),LOOKUP(QI$1,$S3:$HK3,csv!$L3:$HD3))</f>
        <v>0</v>
      </c>
      <c r="QJ3" s="5">
        <f>IF(ISERROR(LOOKUP(QJ$1,$S3:$HK3,csv!$L3:$HD3)),NA(),LOOKUP(QJ$1,$S3:$HK3,csv!$L3:$HD3))</f>
        <v>0</v>
      </c>
      <c r="QK3" s="5">
        <f>IF(ISERROR(LOOKUP(QK$1,$S3:$HK3,csv!$L3:$HD3)),NA(),LOOKUP(QK$1,$S3:$HK3,csv!$L3:$HD3))</f>
        <v>0</v>
      </c>
      <c r="QL3" s="5">
        <f>IF(ISERROR(LOOKUP(QL$1,$S3:$HK3,csv!$L3:$HD3)),NA(),LOOKUP(QL$1,$S3:$HK3,csv!$L3:$HD3))</f>
        <v>0</v>
      </c>
      <c r="QM3" s="5">
        <f>IF(ISERROR(LOOKUP(QM$1,$S3:$HK3,csv!$L3:$HD3)),NA(),LOOKUP(QM$1,$S3:$HK3,csv!$L3:$HD3))</f>
        <v>0</v>
      </c>
      <c r="QN3" s="5">
        <f>IF(ISERROR(LOOKUP(QN$1,$S3:$HK3,csv!$L3:$HD3)),NA(),LOOKUP(QN$1,$S3:$HK3,csv!$L3:$HD3))</f>
        <v>0</v>
      </c>
      <c r="QO3" s="5">
        <f>IF(ISERROR(LOOKUP(QO$1,$S3:$HK3,csv!$L3:$HD3)),NA(),LOOKUP(QO$1,$S3:$HK3,csv!$L3:$HD3))</f>
        <v>0</v>
      </c>
      <c r="QP3" s="5">
        <f>IF(ISERROR(LOOKUP(QP$1,$S3:$HK3,csv!$L3:$HD3)),NA(),LOOKUP(QP$1,$S3:$HK3,csv!$L3:$HD3))</f>
        <v>0</v>
      </c>
      <c r="QQ3" s="5">
        <f>IF(ISERROR(LOOKUP(QQ$1,$S3:$HK3,csv!$L3:$HD3)),NA(),LOOKUP(QQ$1,$S3:$HK3,csv!$L3:$HD3))</f>
        <v>0</v>
      </c>
      <c r="QR3" s="5">
        <f>IF(ISERROR(LOOKUP(QR$1,$S3:$HK3,csv!$L3:$HD3)),NA(),LOOKUP(QR$1,$S3:$HK3,csv!$L3:$HD3))</f>
        <v>0</v>
      </c>
      <c r="QS3" s="5">
        <f>IF(ISERROR(LOOKUP(QS$1,$S3:$HK3,csv!$L3:$HD3)),NA(),LOOKUP(QS$1,$S3:$HK3,csv!$L3:$HD3))</f>
        <v>0</v>
      </c>
      <c r="QT3" s="5">
        <f>IF(ISERROR(LOOKUP(QT$1,$S3:$HK3,csv!$L3:$HD3)),NA(),LOOKUP(QT$1,$S3:$HK3,csv!$L3:$HD3))</f>
        <v>0</v>
      </c>
      <c r="QU3" s="5">
        <f>IF(ISERROR(LOOKUP(QU$1,$S3:$HK3,csv!$L3:$HD3)),NA(),LOOKUP(QU$1,$S3:$HK3,csv!$L3:$HD3))</f>
        <v>0</v>
      </c>
      <c r="QV3" s="5">
        <f>IF(ISERROR(LOOKUP(QV$1,$S3:$HK3,csv!$L3:$HD3)),NA(),LOOKUP(QV$1,$S3:$HK3,csv!$L3:$HD3))</f>
        <v>0</v>
      </c>
      <c r="QW3" s="5">
        <f>IF(ISERROR(LOOKUP(QW$1,$S3:$HK3,csv!$L3:$HD3)),NA(),LOOKUP(QW$1,$S3:$HK3,csv!$L3:$HD3))</f>
        <v>0</v>
      </c>
      <c r="QX3" s="5">
        <f>IF(ISERROR(LOOKUP(QX$1,$S3:$HK3,csv!$L3:$HD3)),NA(),LOOKUP(QX$1,$S3:$HK3,csv!$L3:$HD3))</f>
        <v>0</v>
      </c>
      <c r="QY3" s="5">
        <f>IF(ISERROR(LOOKUP(QY$1,$S3:$HK3,csv!$L3:$HD3)),NA(),LOOKUP(QY$1,$S3:$HK3,csv!$L3:$HD3))</f>
        <v>0</v>
      </c>
      <c r="QZ3" s="5">
        <f>IF(ISERROR(LOOKUP(QZ$1,$S3:$HK3,csv!$L3:$HD3)),NA(),LOOKUP(QZ$1,$S3:$HK3,csv!$L3:$HD3))</f>
        <v>0</v>
      </c>
      <c r="RA3" s="5">
        <f>IF(ISERROR(LOOKUP(RA$1,$S3:$HK3,csv!$L3:$HD3)),NA(),LOOKUP(RA$1,$S3:$HK3,csv!$L3:$HD3))</f>
        <v>0</v>
      </c>
      <c r="RB3" s="5">
        <f>IF(ISERROR(LOOKUP(RB$1,$S3:$HK3,csv!$L3:$HD3)),NA(),LOOKUP(RB$1,$S3:$HK3,csv!$L3:$HD3))</f>
        <v>0</v>
      </c>
      <c r="RC3" s="5">
        <f>IF(ISERROR(LOOKUP(RC$1,$S3:$HK3,csv!$L3:$HD3)),NA(),LOOKUP(RC$1,$S3:$HK3,csv!$L3:$HD3))</f>
        <v>0</v>
      </c>
      <c r="RD3" s="5">
        <f>IF(ISERROR(LOOKUP(RD$1,$S3:$HK3,csv!$L3:$HD3)),NA(),LOOKUP(RD$1,$S3:$HK3,csv!$L3:$HD3))</f>
        <v>0</v>
      </c>
      <c r="RE3" s="5">
        <f>IF(ISERROR(LOOKUP(RE$1,$S3:$HK3,csv!$L3:$HD3)),NA(),LOOKUP(RE$1,$S3:$HK3,csv!$L3:$HD3))</f>
        <v>0</v>
      </c>
      <c r="RF3" s="5">
        <f>IF(ISERROR(LOOKUP(RF$1,$S3:$HK3,csv!$L3:$HD3)),NA(),LOOKUP(RF$1,$S3:$HK3,csv!$L3:$HD3))</f>
        <v>0</v>
      </c>
      <c r="RG3" s="5">
        <f>IF(ISERROR(LOOKUP(RG$1,$S3:$HK3,csv!$L3:$HD3)),NA(),LOOKUP(RG$1,$S3:$HK3,csv!$L3:$HD3))</f>
        <v>0</v>
      </c>
      <c r="RH3" s="5">
        <f>IF(ISERROR(LOOKUP(RH$1,$S3:$HK3,csv!$L3:$HD3)),NA(),LOOKUP(RH$1,$S3:$HK3,csv!$L3:$HD3))</f>
        <v>0</v>
      </c>
      <c r="RI3" s="5">
        <f>IF(ISERROR(LOOKUP(RI$1,$S3:$HK3,csv!$L3:$HD3)),NA(),LOOKUP(RI$1,$S3:$HK3,csv!$L3:$HD3))</f>
        <v>0</v>
      </c>
      <c r="RJ3" s="5">
        <f>IF(ISERROR(LOOKUP(RJ$1,$S3:$HK3,csv!$L3:$HD3)),NA(),LOOKUP(RJ$1,$S3:$HK3,csv!$L3:$HD3))</f>
        <v>0</v>
      </c>
      <c r="RK3" s="5">
        <f>IF(ISERROR(LOOKUP(RK$1,$S3:$HK3,csv!$L3:$HD3)),NA(),LOOKUP(RK$1,$S3:$HK3,csv!$L3:$HD3))</f>
        <v>0</v>
      </c>
      <c r="RL3" s="5">
        <f>IF(ISERROR(LOOKUP(RL$1,$S3:$HK3,csv!$L3:$HD3)),NA(),LOOKUP(RL$1,$S3:$HK3,csv!$L3:$HD3))</f>
        <v>0</v>
      </c>
      <c r="RM3" s="5">
        <f>IF(ISERROR(LOOKUP(RM$1,$S3:$HK3,csv!$L3:$HD3)),NA(),LOOKUP(RM$1,$S3:$HK3,csv!$L3:$HD3))</f>
        <v>0</v>
      </c>
      <c r="RN3" s="5">
        <f>IF(ISERROR(LOOKUP(RN$1,$S3:$HK3,csv!$L3:$HD3)),NA(),LOOKUP(RN$1,$S3:$HK3,csv!$L3:$HD3))</f>
        <v>0</v>
      </c>
      <c r="RO3" s="5">
        <f>IF(ISERROR(LOOKUP(RO$1,$S3:$HK3,csv!$L3:$HD3)),NA(),LOOKUP(RO$1,$S3:$HK3,csv!$L3:$HD3))</f>
        <v>0</v>
      </c>
      <c r="RP3" s="5">
        <f>IF(ISERROR(LOOKUP(RP$1,$S3:$HK3,csv!$L3:$HD3)),NA(),LOOKUP(RP$1,$S3:$HK3,csv!$L3:$HD3))</f>
        <v>0</v>
      </c>
      <c r="RQ3" s="5">
        <f>IF(ISERROR(LOOKUP(RQ$1,$S3:$HK3,csv!$L3:$HD3)),NA(),LOOKUP(RQ$1,$S3:$HK3,csv!$L3:$HD3))</f>
        <v>0</v>
      </c>
      <c r="RR3" s="5">
        <f>IF(ISERROR(LOOKUP(RR$1,$S3:$HK3,csv!$L3:$HD3)),NA(),LOOKUP(RR$1,$S3:$HK3,csv!$L3:$HD3))</f>
        <v>0</v>
      </c>
      <c r="RS3" s="5">
        <f>IF(ISERROR(LOOKUP(RS$1,$S3:$HK3,csv!$L3:$HD3)),NA(),LOOKUP(RS$1,$S3:$HK3,csv!$L3:$HD3))</f>
        <v>0</v>
      </c>
      <c r="RT3" s="5">
        <f>IF(ISERROR(LOOKUP(RT$1,$S3:$HK3,csv!$L3:$HD3)),NA(),LOOKUP(RT$1,$S3:$HK3,csv!$L3:$HD3))</f>
        <v>0</v>
      </c>
      <c r="RU3" s="5">
        <f>IF(ISERROR(LOOKUP(RU$1,$S3:$HK3,csv!$L3:$HD3)),NA(),LOOKUP(RU$1,$S3:$HK3,csv!$L3:$HD3))</f>
        <v>0</v>
      </c>
      <c r="RV3" s="5">
        <f>IF(ISERROR(LOOKUP(RV$1,$S3:$HK3,csv!$L3:$HD3)),NA(),LOOKUP(RV$1,$S3:$HK3,csv!$L3:$HD3))</f>
        <v>0</v>
      </c>
      <c r="RW3" s="5">
        <f>IF(ISERROR(LOOKUP(RW$1,$S3:$HK3,csv!$L3:$HD3)),NA(),LOOKUP(RW$1,$S3:$HK3,csv!$L3:$HD3))</f>
        <v>0</v>
      </c>
      <c r="RX3" s="5">
        <f>IF(ISERROR(LOOKUP(RX$1,$S3:$HK3,csv!$L3:$HD3)),NA(),LOOKUP(RX$1,$S3:$HK3,csv!$L3:$HD3))</f>
        <v>0</v>
      </c>
      <c r="RY3" s="5">
        <f>IF(ISERROR(LOOKUP(RY$1,$S3:$HK3,csv!$L3:$HD3)),NA(),LOOKUP(RY$1,$S3:$HK3,csv!$L3:$HD3))</f>
        <v>0</v>
      </c>
      <c r="RZ3" s="5">
        <f>IF(ISERROR(LOOKUP(RZ$1,$S3:$HK3,csv!$L3:$HD3)),NA(),LOOKUP(RZ$1,$S3:$HK3,csv!$L3:$HD3))</f>
        <v>0</v>
      </c>
      <c r="SA3" s="5">
        <f>IF(ISERROR(LOOKUP(SA$1,$S3:$HK3,csv!$L3:$HD3)),NA(),LOOKUP(SA$1,$S3:$HK3,csv!$L3:$HD3))</f>
        <v>0</v>
      </c>
      <c r="SB3" s="5">
        <f>IF(ISERROR(LOOKUP(SB$1,$S3:$HK3,csv!$L3:$HD3)),NA(),LOOKUP(SB$1,$S3:$HK3,csv!$L3:$HD3))</f>
        <v>0</v>
      </c>
      <c r="SC3" s="5">
        <f>IF(ISERROR(LOOKUP(SC$1,$S3:$HK3,csv!$L3:$HD3)),NA(),LOOKUP(SC$1,$S3:$HK3,csv!$L3:$HD3))</f>
        <v>0</v>
      </c>
      <c r="SD3" s="5">
        <f>IF(ISERROR(LOOKUP(SD$1,$S3:$HK3,csv!$L3:$HD3)),NA(),LOOKUP(SD$1,$S3:$HK3,csv!$L3:$HD3))</f>
        <v>0</v>
      </c>
      <c r="SE3" s="5">
        <f>IF(ISERROR(LOOKUP(SE$1,$S3:$HK3,csv!$L3:$HD3)),NA(),LOOKUP(SE$1,$S3:$HK3,csv!$L3:$HD3))</f>
        <v>0</v>
      </c>
      <c r="SF3" s="5">
        <f>IF(ISERROR(LOOKUP(SF$1,$S3:$HK3,csv!$L3:$HD3)),NA(),LOOKUP(SF$1,$S3:$HK3,csv!$L3:$HD3))</f>
        <v>0</v>
      </c>
      <c r="SG3" s="5">
        <f>IF(ISERROR(LOOKUP(SG$1,$S3:$HK3,csv!$L3:$HD3)),NA(),LOOKUP(SG$1,$S3:$HK3,csv!$L3:$HD3))</f>
        <v>0</v>
      </c>
      <c r="SH3" s="5">
        <f>IF(ISERROR(LOOKUP(SH$1,$S3:$HK3,csv!$L3:$HD3)),NA(),LOOKUP(SH$1,$S3:$HK3,csv!$L3:$HD3))</f>
        <v>0</v>
      </c>
      <c r="SI3" s="5">
        <f>IF(ISERROR(LOOKUP(SI$1,$S3:$HK3,csv!$L3:$HD3)),NA(),LOOKUP(SI$1,$S3:$HK3,csv!$L3:$HD3))</f>
        <v>0</v>
      </c>
      <c r="SJ3" s="5">
        <f>IF(ISERROR(LOOKUP(SJ$1,$S3:$HK3,csv!$L3:$HD3)),NA(),LOOKUP(SJ$1,$S3:$HK3,csv!$L3:$HD3))</f>
        <v>0</v>
      </c>
      <c r="SK3" s="5">
        <f>IF(ISERROR(LOOKUP(SK$1,$S3:$HK3,csv!$L3:$HD3)),NA(),LOOKUP(SK$1,$S3:$HK3,csv!$L3:$HD3))</f>
        <v>0</v>
      </c>
      <c r="SL3" s="5">
        <f>IF(ISERROR(LOOKUP(SL$1,$S3:$HK3,csv!$L3:$HD3)),NA(),LOOKUP(SL$1,$S3:$HK3,csv!$L3:$HD3))</f>
        <v>0</v>
      </c>
      <c r="SM3" s="5">
        <f>IF(ISERROR(LOOKUP(SM$1,$S3:$HK3,csv!$L3:$HD3)),NA(),LOOKUP(SM$1,$S3:$HK3,csv!$L3:$HD3))</f>
        <v>0</v>
      </c>
      <c r="SN3" s="5">
        <f>IF(ISERROR(LOOKUP(SN$1,$S3:$HK3,csv!$L3:$HD3)),NA(),LOOKUP(SN$1,$S3:$HK3,csv!$L3:$HD3))</f>
        <v>0</v>
      </c>
      <c r="SO3" s="5">
        <f>IF(ISERROR(LOOKUP(SO$1,$S3:$HK3,csv!$L3:$HD3)),NA(),LOOKUP(SO$1,$S3:$HK3,csv!$L3:$HD3))</f>
        <v>0</v>
      </c>
      <c r="SP3" s="5">
        <f>IF(ISERROR(LOOKUP(SP$1,$S3:$HK3,csv!$L3:$HD3)),NA(),LOOKUP(SP$1,$S3:$HK3,csv!$L3:$HD3))</f>
        <v>0</v>
      </c>
      <c r="SQ3" s="5">
        <f>IF(ISERROR(LOOKUP(SQ$1,$S3:$HK3,csv!$L3:$HD3)),NA(),LOOKUP(SQ$1,$S3:$HK3,csv!$L3:$HD3))</f>
        <v>0</v>
      </c>
      <c r="SR3" s="5">
        <f>IF(ISERROR(LOOKUP(SR$1,$S3:$HK3,csv!$L3:$HD3)),NA(),LOOKUP(SR$1,$S3:$HK3,csv!$L3:$HD3))</f>
        <v>0</v>
      </c>
      <c r="SS3" s="5">
        <f>IF(ISERROR(LOOKUP(SS$1,$S3:$HK3,csv!$L3:$HD3)),NA(),LOOKUP(SS$1,$S3:$HK3,csv!$L3:$HD3))</f>
        <v>0</v>
      </c>
      <c r="ST3" s="5">
        <f>IF(ISERROR(LOOKUP(ST$1,$S3:$HK3,csv!$L3:$HD3)),NA(),LOOKUP(ST$1,$S3:$HK3,csv!$L3:$HD3))</f>
        <v>0</v>
      </c>
      <c r="SU3" s="5">
        <f>IF(ISERROR(LOOKUP(SU$1,$S3:$HK3,csv!$L3:$HD3)),NA(),LOOKUP(SU$1,$S3:$HK3,csv!$L3:$HD3))</f>
        <v>0</v>
      </c>
      <c r="SV3" s="5">
        <f>IF(ISERROR(LOOKUP(SV$1,$S3:$HK3,csv!$L3:$HD3)),NA(),LOOKUP(SV$1,$S3:$HK3,csv!$L3:$HD3))</f>
        <v>0</v>
      </c>
      <c r="SW3" s="5">
        <f>IF(ISERROR(LOOKUP(SW$1,$S3:$HK3,csv!$L3:$HD3)),NA(),LOOKUP(SW$1,$S3:$HK3,csv!$L3:$HD3))</f>
        <v>0</v>
      </c>
      <c r="SX3" s="5">
        <f>IF(ISERROR(LOOKUP(SX$1,$S3:$HK3,csv!$L3:$HD3)),NA(),LOOKUP(SX$1,$S3:$HK3,csv!$L3:$HD3))</f>
        <v>0</v>
      </c>
      <c r="SY3" s="5">
        <f>IF(ISERROR(LOOKUP(SY$1,$S3:$HK3,csv!$L3:$HD3)),NA(),LOOKUP(SY$1,$S3:$HK3,csv!$L3:$HD3))</f>
        <v>0</v>
      </c>
      <c r="SZ3" s="5">
        <f>IF(ISERROR(LOOKUP(SZ$1,$S3:$HK3,csv!$L3:$HD3)),NA(),LOOKUP(SZ$1,$S3:$HK3,csv!$L3:$HD3))</f>
        <v>0</v>
      </c>
      <c r="TA3" s="5">
        <f>IF(ISERROR(LOOKUP(TA$1,$S3:$HK3,csv!$L3:$HD3)),NA(),LOOKUP(TA$1,$S3:$HK3,csv!$L3:$HD3))</f>
        <v>0</v>
      </c>
      <c r="TB3" s="5">
        <f>IF(ISERROR(LOOKUP(TB$1,$S3:$HK3,csv!$L3:$HD3)),NA(),LOOKUP(TB$1,$S3:$HK3,csv!$L3:$HD3))</f>
        <v>0</v>
      </c>
      <c r="TD3">
        <f>csv!HG3/10</f>
        <v>0</v>
      </c>
    </row>
    <row r="4" spans="1:524" x14ac:dyDescent="0.15">
      <c r="A4" s="3" t="e">
        <f>LOOKUP(csv!$H$2,table!$B$2:$B$176,table!$A$2:$A$176)</f>
        <v>#N/A</v>
      </c>
      <c r="C4" s="32" t="str">
        <f>TEXT(csv!B4&amp;"/"&amp;csv!C4&amp;"-"&amp;csv!E4&amp;"/"&amp;csv!F4,"mm/dd")</f>
        <v>/-/</v>
      </c>
      <c r="D4">
        <f>csv!A4*10000+csv!B4*100+csv!C4</f>
        <v>0</v>
      </c>
      <c r="E4">
        <f>(IF(csv!HG4&lt;-1000,NA(),csv!HG4)+csv!K4)/10</f>
        <v>0</v>
      </c>
      <c r="F4">
        <f>(IF(csv!HG17&lt;-1000,NA(),csv!HG17)+csv!K17)/10</f>
        <v>0</v>
      </c>
      <c r="G4">
        <f>(IF(csv!HG30&lt;-1000,NA(),csv!HG30)+csv!K30)/10</f>
        <v>0</v>
      </c>
      <c r="H4">
        <f>IF(csv!HG4&lt;-1000,NA(),csv!HG4/10)</f>
        <v>0</v>
      </c>
      <c r="I4">
        <f>IF(csv!HG17&lt;-1000,NA(),csv!HG17/10)</f>
        <v>0</v>
      </c>
      <c r="J4">
        <f>IF(csv!HG30&lt;-1000,NA(),csv!HG30/10)</f>
        <v>0</v>
      </c>
      <c r="K4">
        <f>IF(csv!HF4&lt;-1000,NA(),csv!HF4/10)</f>
        <v>0</v>
      </c>
      <c r="L4">
        <f>IF(csv!HF17&lt;-1000,NA(),csv!HF17/10)</f>
        <v>0</v>
      </c>
      <c r="M4">
        <f>IF(csv!HF30&lt;-1000,NA(),csv!HF30/10)</f>
        <v>0</v>
      </c>
      <c r="N4">
        <f>IF(csv!HE4&lt;-1000,NA(),csv!HE4/10)</f>
        <v>0</v>
      </c>
      <c r="O4">
        <f>IF(csv!HE17&lt;-1000,NA(),csv!HE17/10)</f>
        <v>0</v>
      </c>
      <c r="P4">
        <f>IF(csv!HE30&lt;-1000,NA(),csv!HE30/10)</f>
        <v>0</v>
      </c>
      <c r="S4" s="4">
        <f>ROUND((csv!$HG4/10+calc!S$1),1)</f>
        <v>-10</v>
      </c>
      <c r="T4" s="4">
        <f>ROUND((csv!$HG4/10+calc!T$1),1)</f>
        <v>-9.9</v>
      </c>
      <c r="U4" s="4">
        <f>ROUND((csv!$HG4/10+calc!U$1),1)</f>
        <v>-9.8000000000000007</v>
      </c>
      <c r="V4" s="4">
        <f>ROUND((csv!$HG4/10+calc!V$1),1)</f>
        <v>-9.6999999999999993</v>
      </c>
      <c r="W4" s="4">
        <f>ROUND((csv!$HG4/10+calc!W$1),1)</f>
        <v>-9.6</v>
      </c>
      <c r="X4" s="4">
        <f>ROUND((csv!$HG4/10+calc!X$1),1)</f>
        <v>-9.5</v>
      </c>
      <c r="Y4" s="4">
        <f>ROUND((csv!$HG4/10+calc!Y$1),1)</f>
        <v>-9.4</v>
      </c>
      <c r="Z4" s="4">
        <f>ROUND((csv!$HG4/10+calc!Z$1),1)</f>
        <v>-9.3000000000000007</v>
      </c>
      <c r="AA4" s="4">
        <f>ROUND((csv!$HG4/10+calc!AA$1),1)</f>
        <v>-9.1999999999999993</v>
      </c>
      <c r="AB4" s="4">
        <f>ROUND((csv!$HG4/10+calc!AB$1),1)</f>
        <v>-9.1</v>
      </c>
      <c r="AC4" s="4">
        <f>ROUND((csv!$HG4/10+calc!AC$1),1)</f>
        <v>-9</v>
      </c>
      <c r="AD4" s="4">
        <f>ROUND((csv!$HG4/10+calc!AD$1),1)</f>
        <v>-8.9</v>
      </c>
      <c r="AE4" s="4">
        <f>ROUND((csv!$HG4/10+calc!AE$1),1)</f>
        <v>-8.8000000000000007</v>
      </c>
      <c r="AF4" s="4">
        <f>ROUND((csv!$HG4/10+calc!AF$1),1)</f>
        <v>-8.6999999999999993</v>
      </c>
      <c r="AG4" s="4">
        <f>ROUND((csv!$HG4/10+calc!AG$1),1)</f>
        <v>-8.6</v>
      </c>
      <c r="AH4" s="4">
        <f>ROUND((csv!$HG4/10+calc!AH$1),1)</f>
        <v>-8.5</v>
      </c>
      <c r="AI4" s="4">
        <f>ROUND((csv!$HG4/10+calc!AI$1),1)</f>
        <v>-8.4</v>
      </c>
      <c r="AJ4" s="4">
        <f>ROUND((csv!$HG4/10+calc!AJ$1),1)</f>
        <v>-8.3000000000000007</v>
      </c>
      <c r="AK4" s="4">
        <f>ROUND((csv!$HG4/10+calc!AK$1),1)</f>
        <v>-8.1999999999999993</v>
      </c>
      <c r="AL4" s="4">
        <f>ROUND((csv!$HG4/10+calc!AL$1),1)</f>
        <v>-8.1</v>
      </c>
      <c r="AM4" s="4">
        <f>ROUND((csv!$HG4/10+calc!AM$1),1)</f>
        <v>-8</v>
      </c>
      <c r="AN4" s="4">
        <f>ROUND((csv!$HG4/10+calc!AN$1),1)</f>
        <v>-7.9</v>
      </c>
      <c r="AO4" s="4">
        <f>ROUND((csv!$HG4/10+calc!AO$1),1)</f>
        <v>-7.8</v>
      </c>
      <c r="AP4" s="4">
        <f>ROUND((csv!$HG4/10+calc!AP$1),1)</f>
        <v>-7.7</v>
      </c>
      <c r="AQ4" s="4">
        <f>ROUND((csv!$HG4/10+calc!AQ$1),1)</f>
        <v>-7.6</v>
      </c>
      <c r="AR4" s="4">
        <f>ROUND((csv!$HG4/10+calc!AR$1),1)</f>
        <v>-7.5</v>
      </c>
      <c r="AS4" s="4">
        <f>ROUND((csv!$HG4/10+calc!AS$1),1)</f>
        <v>-7.4</v>
      </c>
      <c r="AT4" s="4">
        <f>ROUND((csv!$HG4/10+calc!AT$1),1)</f>
        <v>-7.3</v>
      </c>
      <c r="AU4" s="4">
        <f>ROUND((csv!$HG4/10+calc!AU$1),1)</f>
        <v>-7.2</v>
      </c>
      <c r="AV4" s="4">
        <f>ROUND((csv!$HG4/10+calc!AV$1),1)</f>
        <v>-7.1</v>
      </c>
      <c r="AW4" s="4">
        <f>ROUND((csv!$HG4/10+calc!AW$1),1)</f>
        <v>-7</v>
      </c>
      <c r="AX4" s="4">
        <f>ROUND((csv!$HG4/10+calc!AX$1),1)</f>
        <v>-6.9</v>
      </c>
      <c r="AY4" s="4">
        <f>ROUND((csv!$HG4/10+calc!AY$1),1)</f>
        <v>-6.8</v>
      </c>
      <c r="AZ4" s="4">
        <f>ROUND((csv!$HG4/10+calc!AZ$1),1)</f>
        <v>-6.7</v>
      </c>
      <c r="BA4" s="4">
        <f>ROUND((csv!$HG4/10+calc!BA$1),1)</f>
        <v>-6.6</v>
      </c>
      <c r="BB4" s="4">
        <f>ROUND((csv!$HG4/10+calc!BB$1),1)</f>
        <v>-6.5</v>
      </c>
      <c r="BC4" s="4">
        <f>ROUND((csv!$HG4/10+calc!BC$1),1)</f>
        <v>-6.4</v>
      </c>
      <c r="BD4" s="4">
        <f>ROUND((csv!$HG4/10+calc!BD$1),1)</f>
        <v>-6.3</v>
      </c>
      <c r="BE4" s="4">
        <f>ROUND((csv!$HG4/10+calc!BE$1),1)</f>
        <v>-6.2</v>
      </c>
      <c r="BF4" s="4">
        <f>ROUND((csv!$HG4/10+calc!BF$1),1)</f>
        <v>-6.1</v>
      </c>
      <c r="BG4" s="4">
        <f>ROUND((csv!$HG4/10+calc!BG$1),1)</f>
        <v>-6</v>
      </c>
      <c r="BH4" s="4">
        <f>ROUND((csv!$HG4/10+calc!BH$1),1)</f>
        <v>-5.9</v>
      </c>
      <c r="BI4" s="4">
        <f>ROUND((csv!$HG4/10+calc!BI$1),1)</f>
        <v>-5.8</v>
      </c>
      <c r="BJ4" s="4">
        <f>ROUND((csv!$HG4/10+calc!BJ$1),1)</f>
        <v>-5.7</v>
      </c>
      <c r="BK4" s="4">
        <f>ROUND((csv!$HG4/10+calc!BK$1),1)</f>
        <v>-5.6</v>
      </c>
      <c r="BL4" s="4">
        <f>ROUND((csv!$HG4/10+calc!BL$1),1)</f>
        <v>-5.5</v>
      </c>
      <c r="BM4" s="4">
        <f>ROUND((csv!$HG4/10+calc!BM$1),1)</f>
        <v>-5.4</v>
      </c>
      <c r="BN4" s="4">
        <f>ROUND((csv!$HG4/10+calc!BN$1),1)</f>
        <v>-5.3</v>
      </c>
      <c r="BO4" s="4">
        <f>ROUND((csv!$HG4/10+calc!BO$1),1)</f>
        <v>-5.2</v>
      </c>
      <c r="BP4" s="4">
        <f>ROUND((csv!$HG4/10+calc!BP$1),1)</f>
        <v>-5.0999999999999996</v>
      </c>
      <c r="BQ4" s="4">
        <f>ROUND((csv!$HG4/10+calc!BQ$1),1)</f>
        <v>-5</v>
      </c>
      <c r="BR4" s="4">
        <f>ROUND((csv!$HG4/10+calc!BR$1),1)</f>
        <v>-4.9000000000000004</v>
      </c>
      <c r="BS4" s="4">
        <f>ROUND((csv!$HG4/10+calc!BS$1),1)</f>
        <v>-4.8</v>
      </c>
      <c r="BT4" s="4">
        <f>ROUND((csv!$HG4/10+calc!BT$1),1)</f>
        <v>-4.7</v>
      </c>
      <c r="BU4" s="4">
        <f>ROUND((csv!$HG4/10+calc!BU$1),1)</f>
        <v>-4.5999999999999996</v>
      </c>
      <c r="BV4" s="4">
        <f>ROUND((csv!$HG4/10+calc!BV$1),1)</f>
        <v>-4.5</v>
      </c>
      <c r="BW4" s="4">
        <f>ROUND((csv!$HG4/10+calc!BW$1),1)</f>
        <v>-4.4000000000000004</v>
      </c>
      <c r="BX4" s="4">
        <f>ROUND((csv!$HG4/10+calc!BX$1),1)</f>
        <v>-4.3</v>
      </c>
      <c r="BY4" s="4">
        <f>ROUND((csv!$HG4/10+calc!BY$1),1)</f>
        <v>-4.2</v>
      </c>
      <c r="BZ4" s="4">
        <f>ROUND((csv!$HG4/10+calc!BZ$1),1)</f>
        <v>-4.0999999999999996</v>
      </c>
      <c r="CA4" s="4">
        <f>ROUND((csv!$HG4/10+calc!CA$1),1)</f>
        <v>-4</v>
      </c>
      <c r="CB4" s="4">
        <f>ROUND((csv!$HG4/10+calc!CB$1),1)</f>
        <v>-3.9</v>
      </c>
      <c r="CC4" s="4">
        <f>ROUND((csv!$HG4/10+calc!CC$1),1)</f>
        <v>-3.8</v>
      </c>
      <c r="CD4" s="4">
        <f>ROUND((csv!$HG4/10+calc!CD$1),1)</f>
        <v>-3.7</v>
      </c>
      <c r="CE4" s="4">
        <f>ROUND((csv!$HG4/10+calc!CE$1),1)</f>
        <v>-3.6</v>
      </c>
      <c r="CF4" s="4">
        <f>ROUND((csv!$HG4/10+calc!CF$1),1)</f>
        <v>-3.5</v>
      </c>
      <c r="CG4" s="4">
        <f>ROUND((csv!$HG4/10+calc!CG$1),1)</f>
        <v>-3.4</v>
      </c>
      <c r="CH4" s="4">
        <f>ROUND((csv!$HG4/10+calc!CH$1),1)</f>
        <v>-3.3</v>
      </c>
      <c r="CI4" s="4">
        <f>ROUND((csv!$HG4/10+calc!CI$1),1)</f>
        <v>-3.2</v>
      </c>
      <c r="CJ4" s="4">
        <f>ROUND((csv!$HG4/10+calc!CJ$1),1)</f>
        <v>-3.1</v>
      </c>
      <c r="CK4" s="4">
        <f>ROUND((csv!$HG4/10+calc!CK$1),1)</f>
        <v>-3</v>
      </c>
      <c r="CL4" s="4">
        <f>ROUND((csv!$HG4/10+calc!CL$1),1)</f>
        <v>-2.9</v>
      </c>
      <c r="CM4" s="4">
        <f>ROUND((csv!$HG4/10+calc!CM$1),1)</f>
        <v>-2.8</v>
      </c>
      <c r="CN4" s="4">
        <f>ROUND((csv!$HG4/10+calc!CN$1),1)</f>
        <v>-2.7</v>
      </c>
      <c r="CO4" s="4">
        <f>ROUND((csv!$HG4/10+calc!CO$1),1)</f>
        <v>-2.6</v>
      </c>
      <c r="CP4" s="4">
        <f>ROUND((csv!$HG4/10+calc!CP$1),1)</f>
        <v>-2.5</v>
      </c>
      <c r="CQ4" s="4">
        <f>ROUND((csv!$HG4/10+calc!CQ$1),1)</f>
        <v>-2.4</v>
      </c>
      <c r="CR4" s="4">
        <f>ROUND((csv!$HG4/10+calc!CR$1),1)</f>
        <v>-2.2999999999999998</v>
      </c>
      <c r="CS4" s="4">
        <f>ROUND((csv!$HG4/10+calc!CS$1),1)</f>
        <v>-2.2000000000000002</v>
      </c>
      <c r="CT4" s="4">
        <f>ROUND((csv!$HG4/10+calc!CT$1),1)</f>
        <v>-2.1</v>
      </c>
      <c r="CU4" s="4">
        <f>ROUND((csv!$HG4/10+calc!CU$1),1)</f>
        <v>-2</v>
      </c>
      <c r="CV4" s="4">
        <f>ROUND((csv!$HG4/10+calc!CV$1),1)</f>
        <v>-1.9</v>
      </c>
      <c r="CW4" s="4">
        <f>ROUND((csv!$HG4/10+calc!CW$1),1)</f>
        <v>-1.8</v>
      </c>
      <c r="CX4" s="4">
        <f>ROUND((csv!$HG4/10+calc!CX$1),1)</f>
        <v>-1.7</v>
      </c>
      <c r="CY4" s="4">
        <f>ROUND((csv!$HG4/10+calc!CY$1),1)</f>
        <v>-1.6</v>
      </c>
      <c r="CZ4" s="4">
        <f>ROUND((csv!$HG4/10+calc!CZ$1),1)</f>
        <v>-1.5</v>
      </c>
      <c r="DA4" s="4">
        <f>ROUND((csv!$HG4/10+calc!DA$1),1)</f>
        <v>-1.4</v>
      </c>
      <c r="DB4" s="4">
        <f>ROUND((csv!$HG4/10+calc!DB$1),1)</f>
        <v>-1.3</v>
      </c>
      <c r="DC4" s="4">
        <f>ROUND((csv!$HG4/10+calc!DC$1),1)</f>
        <v>-1.2</v>
      </c>
      <c r="DD4" s="4">
        <f>ROUND((csv!$HG4/10+calc!DD$1),1)</f>
        <v>-1.1000000000000001</v>
      </c>
      <c r="DE4" s="4">
        <f>ROUND((csv!$HG4/10+calc!DE$1),1)</f>
        <v>-1</v>
      </c>
      <c r="DF4" s="4">
        <f>ROUND((csv!$HG4/10+calc!DF$1),1)</f>
        <v>-0.9</v>
      </c>
      <c r="DG4" s="4">
        <f>ROUND((csv!$HG4/10+calc!DG$1),1)</f>
        <v>-0.8</v>
      </c>
      <c r="DH4" s="4">
        <f>ROUND((csv!$HG4/10+calc!DH$1),1)</f>
        <v>-0.7</v>
      </c>
      <c r="DI4" s="4">
        <f>ROUND((csv!$HG4/10+calc!DI$1),1)</f>
        <v>-0.6</v>
      </c>
      <c r="DJ4" s="4">
        <f>ROUND((csv!$HG4/10+calc!DJ$1),1)</f>
        <v>-0.5</v>
      </c>
      <c r="DK4" s="4">
        <f>ROUND((csv!$HG4/10+calc!DK$1),1)</f>
        <v>-0.4</v>
      </c>
      <c r="DL4" s="4">
        <f>ROUND((csv!$HG4/10+calc!DL$1),1)</f>
        <v>-0.3</v>
      </c>
      <c r="DM4" s="4">
        <f>ROUND((csv!$HG4/10+calc!DM$1),1)</f>
        <v>-0.2</v>
      </c>
      <c r="DN4" s="4">
        <f>ROUND((csv!$HG4/10+calc!DN$1),1)</f>
        <v>-0.1</v>
      </c>
      <c r="DO4" s="4">
        <f>ROUND((csv!$HG4/10+calc!DO$1),1)</f>
        <v>0</v>
      </c>
      <c r="DP4" s="4">
        <f>ROUND((csv!$HG4/10+calc!DP$1),1)</f>
        <v>0.1</v>
      </c>
      <c r="DQ4" s="4">
        <f>ROUND((csv!$HG4/10+calc!DQ$1),1)</f>
        <v>0.2</v>
      </c>
      <c r="DR4" s="4">
        <f>ROUND((csv!$HG4/10+calc!DR$1),1)</f>
        <v>0.3</v>
      </c>
      <c r="DS4" s="4">
        <f>ROUND((csv!$HG4/10+calc!DS$1),1)</f>
        <v>0.4</v>
      </c>
      <c r="DT4" s="4">
        <f>ROUND((csv!$HG4/10+calc!DT$1),1)</f>
        <v>0.5</v>
      </c>
      <c r="DU4" s="4">
        <f>ROUND((csv!$HG4/10+calc!DU$1),1)</f>
        <v>0.6</v>
      </c>
      <c r="DV4" s="4">
        <f>ROUND((csv!$HG4/10+calc!DV$1),1)</f>
        <v>0.7</v>
      </c>
      <c r="DW4" s="4">
        <f>ROUND((csv!$HG4/10+calc!DW$1),1)</f>
        <v>0.8</v>
      </c>
      <c r="DX4" s="4">
        <f>ROUND((csv!$HG4/10+calc!DX$1),1)</f>
        <v>0.9</v>
      </c>
      <c r="DY4" s="4">
        <f>ROUND((csv!$HG4/10+calc!DY$1),1)</f>
        <v>1</v>
      </c>
      <c r="DZ4" s="4">
        <f>ROUND((csv!$HG4/10+calc!DZ$1),1)</f>
        <v>1.1000000000000001</v>
      </c>
      <c r="EA4" s="4">
        <f>ROUND((csv!$HG4/10+calc!EA$1),1)</f>
        <v>1.2</v>
      </c>
      <c r="EB4" s="4">
        <f>ROUND((csv!$HG4/10+calc!EB$1),1)</f>
        <v>1.3</v>
      </c>
      <c r="EC4" s="4">
        <f>ROUND((csv!$HG4/10+calc!EC$1),1)</f>
        <v>1.4</v>
      </c>
      <c r="ED4" s="4">
        <f>ROUND((csv!$HG4/10+calc!ED$1),1)</f>
        <v>1.5</v>
      </c>
      <c r="EE4" s="4">
        <f>ROUND((csv!$HG4/10+calc!EE$1),1)</f>
        <v>1.6</v>
      </c>
      <c r="EF4" s="4">
        <f>ROUND((csv!$HG4/10+calc!EF$1),1)</f>
        <v>1.7</v>
      </c>
      <c r="EG4" s="4">
        <f>ROUND((csv!$HG4/10+calc!EG$1),1)</f>
        <v>1.8</v>
      </c>
      <c r="EH4" s="4">
        <f>ROUND((csv!$HG4/10+calc!EH$1),1)</f>
        <v>1.9</v>
      </c>
      <c r="EI4" s="4">
        <f>ROUND((csv!$HG4/10+calc!EI$1),1)</f>
        <v>2</v>
      </c>
      <c r="EJ4" s="4">
        <f>ROUND((csv!$HG4/10+calc!EJ$1),1)</f>
        <v>2.1</v>
      </c>
      <c r="EK4" s="4">
        <f>ROUND((csv!$HG4/10+calc!EK$1),1)</f>
        <v>2.2000000000000002</v>
      </c>
      <c r="EL4" s="4">
        <f>ROUND((csv!$HG4/10+calc!EL$1),1)</f>
        <v>2.2999999999999998</v>
      </c>
      <c r="EM4" s="4">
        <f>ROUND((csv!$HG4/10+calc!EM$1),1)</f>
        <v>2.4</v>
      </c>
      <c r="EN4" s="4">
        <f>ROUND((csv!$HG4/10+calc!EN$1),1)</f>
        <v>2.5</v>
      </c>
      <c r="EO4" s="4">
        <f>ROUND((csv!$HG4/10+calc!EO$1),1)</f>
        <v>2.6</v>
      </c>
      <c r="EP4" s="4">
        <f>ROUND((csv!$HG4/10+calc!EP$1),1)</f>
        <v>2.7</v>
      </c>
      <c r="EQ4" s="4">
        <f>ROUND((csv!$HG4/10+calc!EQ$1),1)</f>
        <v>2.8</v>
      </c>
      <c r="ER4" s="4">
        <f>ROUND((csv!$HG4/10+calc!ER$1),1)</f>
        <v>2.9</v>
      </c>
      <c r="ES4" s="4">
        <f>ROUND((csv!$HG4/10+calc!ES$1),1)</f>
        <v>3</v>
      </c>
      <c r="ET4" s="4">
        <f>ROUND((csv!$HG4/10+calc!ET$1),1)</f>
        <v>3.1</v>
      </c>
      <c r="EU4" s="4">
        <f>ROUND((csv!$HG4/10+calc!EU$1),1)</f>
        <v>3.2</v>
      </c>
      <c r="EV4" s="4">
        <f>ROUND((csv!$HG4/10+calc!EV$1),1)</f>
        <v>3.3</v>
      </c>
      <c r="EW4" s="4">
        <f>ROUND((csv!$HG4/10+calc!EW$1),1)</f>
        <v>3.4</v>
      </c>
      <c r="EX4" s="4">
        <f>ROUND((csv!$HG4/10+calc!EX$1),1)</f>
        <v>3.5</v>
      </c>
      <c r="EY4" s="4">
        <f>ROUND((csv!$HG4/10+calc!EY$1),1)</f>
        <v>3.6</v>
      </c>
      <c r="EZ4" s="4">
        <f>ROUND((csv!$HG4/10+calc!EZ$1),1)</f>
        <v>3.7</v>
      </c>
      <c r="FA4" s="4">
        <f>ROUND((csv!$HG4/10+calc!FA$1),1)</f>
        <v>3.8</v>
      </c>
      <c r="FB4" s="4">
        <f>ROUND((csv!$HG4/10+calc!FB$1),1)</f>
        <v>3.9</v>
      </c>
      <c r="FC4" s="4">
        <f>ROUND((csv!$HG4/10+calc!FC$1),1)</f>
        <v>4</v>
      </c>
      <c r="FD4" s="4">
        <f>ROUND((csv!$HG4/10+calc!FD$1),1)</f>
        <v>4.0999999999999996</v>
      </c>
      <c r="FE4" s="4">
        <f>ROUND((csv!$HG4/10+calc!FE$1),1)</f>
        <v>4.2</v>
      </c>
      <c r="FF4" s="4">
        <f>ROUND((csv!$HG4/10+calc!FF$1),1)</f>
        <v>4.3</v>
      </c>
      <c r="FG4" s="4">
        <f>ROUND((csv!$HG4/10+calc!FG$1),1)</f>
        <v>4.4000000000000004</v>
      </c>
      <c r="FH4" s="4">
        <f>ROUND((csv!$HG4/10+calc!FH$1),1)</f>
        <v>4.5</v>
      </c>
      <c r="FI4" s="4">
        <f>ROUND((csv!$HG4/10+calc!FI$1),1)</f>
        <v>4.5999999999999996</v>
      </c>
      <c r="FJ4" s="4">
        <f>ROUND((csv!$HG4/10+calc!FJ$1),1)</f>
        <v>4.7</v>
      </c>
      <c r="FK4" s="4">
        <f>ROUND((csv!$HG4/10+calc!FK$1),1)</f>
        <v>4.8</v>
      </c>
      <c r="FL4" s="4">
        <f>ROUND((csv!$HG4/10+calc!FL$1),1)</f>
        <v>4.9000000000000004</v>
      </c>
      <c r="FM4" s="4">
        <f>ROUND((csv!$HG4/10+calc!FM$1),1)</f>
        <v>5</v>
      </c>
      <c r="FN4" s="4">
        <f>ROUND((csv!$HG4/10+calc!FN$1),1)</f>
        <v>5.0999999999999996</v>
      </c>
      <c r="FO4" s="4">
        <f>ROUND((csv!$HG4/10+calc!FO$1),1)</f>
        <v>5.2</v>
      </c>
      <c r="FP4" s="4">
        <f>ROUND((csv!$HG4/10+calc!FP$1),1)</f>
        <v>5.3</v>
      </c>
      <c r="FQ4" s="4">
        <f>ROUND((csv!$HG4/10+calc!FQ$1),1)</f>
        <v>5.4</v>
      </c>
      <c r="FR4" s="4">
        <f>ROUND((csv!$HG4/10+calc!FR$1),1)</f>
        <v>5.5</v>
      </c>
      <c r="FS4" s="4">
        <f>ROUND((csv!$HG4/10+calc!FS$1),1)</f>
        <v>5.6</v>
      </c>
      <c r="FT4" s="4">
        <f>ROUND((csv!$HG4/10+calc!FT$1),1)</f>
        <v>5.7</v>
      </c>
      <c r="FU4" s="4">
        <f>ROUND((csv!$HG4/10+calc!FU$1),1)</f>
        <v>5.8</v>
      </c>
      <c r="FV4" s="4">
        <f>ROUND((csv!$HG4/10+calc!FV$1),1)</f>
        <v>5.9</v>
      </c>
      <c r="FW4" s="4">
        <f>ROUND((csv!$HG4/10+calc!FW$1),1)</f>
        <v>6</v>
      </c>
      <c r="FX4" s="4">
        <f>ROUND((csv!$HG4/10+calc!FX$1),1)</f>
        <v>6.1</v>
      </c>
      <c r="FY4" s="4">
        <f>ROUND((csv!$HG4/10+calc!FY$1),1)</f>
        <v>6.2</v>
      </c>
      <c r="FZ4" s="4">
        <f>ROUND((csv!$HG4/10+calc!FZ$1),1)</f>
        <v>6.3</v>
      </c>
      <c r="GA4" s="4">
        <f>ROUND((csv!$HG4/10+calc!GA$1),1)</f>
        <v>6.4</v>
      </c>
      <c r="GB4" s="4">
        <f>ROUND((csv!$HG4/10+calc!GB$1),1)</f>
        <v>6.5</v>
      </c>
      <c r="GC4" s="4">
        <f>ROUND((csv!$HG4/10+calc!GC$1),1)</f>
        <v>6.6</v>
      </c>
      <c r="GD4" s="4">
        <f>ROUND((csv!$HG4/10+calc!GD$1),1)</f>
        <v>6.7</v>
      </c>
      <c r="GE4" s="4">
        <f>ROUND((csv!$HG4/10+calc!GE$1),1)</f>
        <v>6.8</v>
      </c>
      <c r="GF4" s="4">
        <f>ROUND((csv!$HG4/10+calc!GF$1),1)</f>
        <v>6.9</v>
      </c>
      <c r="GG4" s="4">
        <f>ROUND((csv!$HG4/10+calc!GG$1),1)</f>
        <v>7</v>
      </c>
      <c r="GH4" s="4">
        <f>ROUND((csv!$HG4/10+calc!GH$1),1)</f>
        <v>7.1</v>
      </c>
      <c r="GI4" s="4">
        <f>ROUND((csv!$HG4/10+calc!GI$1),1)</f>
        <v>7.2</v>
      </c>
      <c r="GJ4" s="4">
        <f>ROUND((csv!$HG4/10+calc!GJ$1),1)</f>
        <v>7.3</v>
      </c>
      <c r="GK4" s="4">
        <f>ROUND((csv!$HG4/10+calc!GK$1),1)</f>
        <v>7.4</v>
      </c>
      <c r="GL4" s="4">
        <f>ROUND((csv!$HG4/10+calc!GL$1),1)</f>
        <v>7.5</v>
      </c>
      <c r="GM4" s="4">
        <f>ROUND((csv!$HG4/10+calc!GM$1),1)</f>
        <v>7.6</v>
      </c>
      <c r="GN4" s="4">
        <f>ROUND((csv!$HG4/10+calc!GN$1),1)</f>
        <v>7.7</v>
      </c>
      <c r="GO4" s="4">
        <f>ROUND((csv!$HG4/10+calc!GO$1),1)</f>
        <v>7.8</v>
      </c>
      <c r="GP4" s="4">
        <f>ROUND((csv!$HG4/10+calc!GP$1),1)</f>
        <v>7.9</v>
      </c>
      <c r="GQ4" s="4">
        <f>ROUND((csv!$HG4/10+calc!GQ$1),1)</f>
        <v>8</v>
      </c>
      <c r="GR4" s="4">
        <f>ROUND((csv!$HG4/10+calc!GR$1),1)</f>
        <v>8.1</v>
      </c>
      <c r="GS4" s="4">
        <f>ROUND((csv!$HG4/10+calc!GS$1),1)</f>
        <v>8.1999999999999993</v>
      </c>
      <c r="GT4" s="4">
        <f>ROUND((csv!$HG4/10+calc!GT$1),1)</f>
        <v>8.3000000000000007</v>
      </c>
      <c r="GU4" s="4">
        <f>ROUND((csv!$HG4/10+calc!GU$1),1)</f>
        <v>8.4</v>
      </c>
      <c r="GV4" s="4">
        <f>ROUND((csv!$HG4/10+calc!GV$1),1)</f>
        <v>8.5</v>
      </c>
      <c r="GW4" s="4">
        <f>ROUND((csv!$HG4/10+calc!GW$1),1)</f>
        <v>8.6</v>
      </c>
      <c r="GX4" s="4">
        <f>ROUND((csv!$HG4/10+calc!GX$1),1)</f>
        <v>8.6999999999999993</v>
      </c>
      <c r="GY4" s="4">
        <f>ROUND((csv!$HG4/10+calc!GY$1),1)</f>
        <v>8.8000000000000007</v>
      </c>
      <c r="GZ4" s="4">
        <f>ROUND((csv!$HG4/10+calc!GZ$1),1)</f>
        <v>8.9</v>
      </c>
      <c r="HA4" s="4">
        <f>ROUND((csv!$HG4/10+calc!HA$1),1)</f>
        <v>9</v>
      </c>
      <c r="HB4" s="4">
        <f>ROUND((csv!$HG4/10+calc!HB$1),1)</f>
        <v>9.1</v>
      </c>
      <c r="HC4" s="4">
        <f>ROUND((csv!$HG4/10+calc!HC$1),1)</f>
        <v>9.1999999999999993</v>
      </c>
      <c r="HD4" s="4">
        <f>ROUND((csv!$HG4/10+calc!HD$1),1)</f>
        <v>9.3000000000000007</v>
      </c>
      <c r="HE4" s="4">
        <f>ROUND((csv!$HG4/10+calc!HE$1),1)</f>
        <v>9.4</v>
      </c>
      <c r="HF4" s="4">
        <f>ROUND((csv!$HG4/10+calc!HF$1),1)</f>
        <v>9.5</v>
      </c>
      <c r="HG4" s="4">
        <f>ROUND((csv!$HG4/10+calc!HG$1),1)</f>
        <v>9.6</v>
      </c>
      <c r="HH4" s="4">
        <f>ROUND((csv!$HG4/10+calc!HH$1),1)</f>
        <v>9.6999999999999993</v>
      </c>
      <c r="HI4" s="4">
        <f>ROUND((csv!$HG4/10+calc!HI$1),1)</f>
        <v>9.8000000000000007</v>
      </c>
      <c r="HJ4" s="4">
        <f>ROUND((csv!$HG4/10+calc!HJ$1),1)</f>
        <v>9.9</v>
      </c>
      <c r="HK4" s="4">
        <f>ROUND((csv!$HG4/10+calc!HK$1),1)</f>
        <v>10</v>
      </c>
      <c r="HM4" s="2">
        <f>csv!A4*10000+csv!B4*100+csv!C4</f>
        <v>0</v>
      </c>
      <c r="HN4" s="5">
        <f>IF(ISERROR(LOOKUP(HN$1,$S4:$HK4,csv!$L4:$HD4)),NA(),LOOKUP(HN$1,$S4:$HK4,csv!$L4:$HD4))</f>
        <v>0</v>
      </c>
      <c r="HO4" s="5">
        <f>IF(ISERROR(LOOKUP(HO$1,$S4:$HK4,csv!$L4:$HD4)),NA(),LOOKUP(HO$1,$S4:$HK4,csv!$L4:$HD4))</f>
        <v>0</v>
      </c>
      <c r="HP4" s="5">
        <f>IF(ISERROR(LOOKUP(HP$1,$S4:$HK4,csv!$L4:$HD4)),NA(),LOOKUP(HP$1,$S4:$HK4,csv!$L4:$HD4))</f>
        <v>0</v>
      </c>
      <c r="HQ4" s="5">
        <f>IF(ISERROR(LOOKUP(HQ$1,$S4:$HK4,csv!$L4:$HD4)),NA(),LOOKUP(HQ$1,$S4:$HK4,csv!$L4:$HD4))</f>
        <v>0</v>
      </c>
      <c r="HR4" s="5">
        <f>IF(ISERROR(LOOKUP(HR$1,$S4:$HK4,csv!$L4:$HD4)),NA(),LOOKUP(HR$1,$S4:$HK4,csv!$L4:$HD4))</f>
        <v>0</v>
      </c>
      <c r="HS4" s="5">
        <f>IF(ISERROR(LOOKUP(HS$1,$S4:$HK4,csv!$L4:$HD4)),NA(),LOOKUP(HS$1,$S4:$HK4,csv!$L4:$HD4))</f>
        <v>0</v>
      </c>
      <c r="HT4" s="5">
        <f>IF(ISERROR(LOOKUP(HT$1,$S4:$HK4,csv!$L4:$HD4)),NA(),LOOKUP(HT$1,$S4:$HK4,csv!$L4:$HD4))</f>
        <v>0</v>
      </c>
      <c r="HU4" s="5">
        <f>IF(ISERROR(LOOKUP(HU$1,$S4:$HK4,csv!$L4:$HD4)),NA(),LOOKUP(HU$1,$S4:$HK4,csv!$L4:$HD4))</f>
        <v>0</v>
      </c>
      <c r="HV4" s="5">
        <f>IF(ISERROR(LOOKUP(HV$1,$S4:$HK4,csv!$L4:$HD4)),NA(),LOOKUP(HV$1,$S4:$HK4,csv!$L4:$HD4))</f>
        <v>0</v>
      </c>
      <c r="HW4" s="5">
        <f>IF(ISERROR(LOOKUP(HW$1,$S4:$HK4,csv!$L4:$HD4)),NA(),LOOKUP(HW$1,$S4:$HK4,csv!$L4:$HD4))</f>
        <v>0</v>
      </c>
      <c r="HX4" s="5">
        <f>IF(ISERROR(LOOKUP(HX$1,$S4:$HK4,csv!$L4:$HD4)),NA(),LOOKUP(HX$1,$S4:$HK4,csv!$L4:$HD4))</f>
        <v>0</v>
      </c>
      <c r="HY4" s="5">
        <f>IF(ISERROR(LOOKUP(HY$1,$S4:$HK4,csv!$L4:$HD4)),NA(),LOOKUP(HY$1,$S4:$HK4,csv!$L4:$HD4))</f>
        <v>0</v>
      </c>
      <c r="HZ4" s="5">
        <f>IF(ISERROR(LOOKUP(HZ$1,$S4:$HK4,csv!$L4:$HD4)),NA(),LOOKUP(HZ$1,$S4:$HK4,csv!$L4:$HD4))</f>
        <v>0</v>
      </c>
      <c r="IA4" s="5">
        <f>IF(ISERROR(LOOKUP(IA$1,$S4:$HK4,csv!$L4:$HD4)),NA(),LOOKUP(IA$1,$S4:$HK4,csv!$L4:$HD4))</f>
        <v>0</v>
      </c>
      <c r="IB4" s="5">
        <f>IF(ISERROR(LOOKUP(IB$1,$S4:$HK4,csv!$L4:$HD4)),NA(),LOOKUP(IB$1,$S4:$HK4,csv!$L4:$HD4))</f>
        <v>0</v>
      </c>
      <c r="IC4" s="5">
        <f>IF(ISERROR(LOOKUP(IC$1,$S4:$HK4,csv!$L4:$HD4)),NA(),LOOKUP(IC$1,$S4:$HK4,csv!$L4:$HD4))</f>
        <v>0</v>
      </c>
      <c r="ID4" s="5">
        <f>IF(ISERROR(LOOKUP(ID$1,$S4:$HK4,csv!$L4:$HD4)),NA(),LOOKUP(ID$1,$S4:$HK4,csv!$L4:$HD4))</f>
        <v>0</v>
      </c>
      <c r="IE4" s="5">
        <f>IF(ISERROR(LOOKUP(IE$1,$S4:$HK4,csv!$L4:$HD4)),NA(),LOOKUP(IE$1,$S4:$HK4,csv!$L4:$HD4))</f>
        <v>0</v>
      </c>
      <c r="IF4" s="5">
        <f>IF(ISERROR(LOOKUP(IF$1,$S4:$HK4,csv!$L4:$HD4)),NA(),LOOKUP(IF$1,$S4:$HK4,csv!$L4:$HD4))</f>
        <v>0</v>
      </c>
      <c r="IG4" s="5">
        <f>IF(ISERROR(LOOKUP(IG$1,$S4:$HK4,csv!$L4:$HD4)),NA(),LOOKUP(IG$1,$S4:$HK4,csv!$L4:$HD4))</f>
        <v>0</v>
      </c>
      <c r="IH4" s="5">
        <f>IF(ISERROR(LOOKUP(IH$1,$S4:$HK4,csv!$L4:$HD4)),NA(),LOOKUP(IH$1,$S4:$HK4,csv!$L4:$HD4))</f>
        <v>0</v>
      </c>
      <c r="II4" s="5">
        <f>IF(ISERROR(LOOKUP(II$1,$S4:$HK4,csv!$L4:$HD4)),NA(),LOOKUP(II$1,$S4:$HK4,csv!$L4:$HD4))</f>
        <v>0</v>
      </c>
      <c r="IJ4" s="5">
        <f>IF(ISERROR(LOOKUP(IJ$1,$S4:$HK4,csv!$L4:$HD4)),NA(),LOOKUP(IJ$1,$S4:$HK4,csv!$L4:$HD4))</f>
        <v>0</v>
      </c>
      <c r="IK4" s="5">
        <f>IF(ISERROR(LOOKUP(IK$1,$S4:$HK4,csv!$L4:$HD4)),NA(),LOOKUP(IK$1,$S4:$HK4,csv!$L4:$HD4))</f>
        <v>0</v>
      </c>
      <c r="IL4" s="5">
        <f>IF(ISERROR(LOOKUP(IL$1,$S4:$HK4,csv!$L4:$HD4)),NA(),LOOKUP(IL$1,$S4:$HK4,csv!$L4:$HD4))</f>
        <v>0</v>
      </c>
      <c r="IM4" s="5">
        <f>IF(ISERROR(LOOKUP(IM$1,$S4:$HK4,csv!$L4:$HD4)),NA(),LOOKUP(IM$1,$S4:$HK4,csv!$L4:$HD4))</f>
        <v>0</v>
      </c>
      <c r="IN4" s="5">
        <f>IF(ISERROR(LOOKUP(IN$1,$S4:$HK4,csv!$L4:$HD4)),NA(),LOOKUP(IN$1,$S4:$HK4,csv!$L4:$HD4))</f>
        <v>0</v>
      </c>
      <c r="IO4" s="5">
        <f>IF(ISERROR(LOOKUP(IO$1,$S4:$HK4,csv!$L4:$HD4)),NA(),LOOKUP(IO$1,$S4:$HK4,csv!$L4:$HD4))</f>
        <v>0</v>
      </c>
      <c r="IP4" s="5">
        <f>IF(ISERROR(LOOKUP(IP$1,$S4:$HK4,csv!$L4:$HD4)),NA(),LOOKUP(IP$1,$S4:$HK4,csv!$L4:$HD4))</f>
        <v>0</v>
      </c>
      <c r="IQ4" s="5">
        <f>IF(ISERROR(LOOKUP(IQ$1,$S4:$HK4,csv!$L4:$HD4)),NA(),LOOKUP(IQ$1,$S4:$HK4,csv!$L4:$HD4))</f>
        <v>0</v>
      </c>
      <c r="IR4" s="5">
        <f>IF(ISERROR(LOOKUP(IR$1,$S4:$HK4,csv!$L4:$HD4)),NA(),LOOKUP(IR$1,$S4:$HK4,csv!$L4:$HD4))</f>
        <v>0</v>
      </c>
      <c r="IS4" s="5">
        <f>IF(ISERROR(LOOKUP(IS$1,$S4:$HK4,csv!$L4:$HD4)),NA(),LOOKUP(IS$1,$S4:$HK4,csv!$L4:$HD4))</f>
        <v>0</v>
      </c>
      <c r="IT4" s="5">
        <f>IF(ISERROR(LOOKUP(IT$1,$S4:$HK4,csv!$L4:$HD4)),NA(),LOOKUP(IT$1,$S4:$HK4,csv!$L4:$HD4))</f>
        <v>0</v>
      </c>
      <c r="IU4" s="5">
        <f>IF(ISERROR(LOOKUP(IU$1,$S4:$HK4,csv!$L4:$HD4)),NA(),LOOKUP(IU$1,$S4:$HK4,csv!$L4:$HD4))</f>
        <v>0</v>
      </c>
      <c r="IV4" s="5">
        <f>IF(ISERROR(LOOKUP(IV$1,$S4:$HK4,csv!$L4:$HD4)),NA(),LOOKUP(IV$1,$S4:$HK4,csv!$L4:$HD4))</f>
        <v>0</v>
      </c>
      <c r="IW4" s="5">
        <f>IF(ISERROR(LOOKUP(IW$1,$S4:$HK4,csv!$L4:$HD4)),NA(),LOOKUP(IW$1,$S4:$HK4,csv!$L4:$HD4))</f>
        <v>0</v>
      </c>
      <c r="IX4" s="5">
        <f>IF(ISERROR(LOOKUP(IX$1,$S4:$HK4,csv!$L4:$HD4)),NA(),LOOKUP(IX$1,$S4:$HK4,csv!$L4:$HD4))</f>
        <v>0</v>
      </c>
      <c r="IY4" s="5">
        <f>IF(ISERROR(LOOKUP(IY$1,$S4:$HK4,csv!$L4:$HD4)),NA(),LOOKUP(IY$1,$S4:$HK4,csv!$L4:$HD4))</f>
        <v>0</v>
      </c>
      <c r="IZ4" s="5">
        <f>IF(ISERROR(LOOKUP(IZ$1,$S4:$HK4,csv!$L4:$HD4)),NA(),LOOKUP(IZ$1,$S4:$HK4,csv!$L4:$HD4))</f>
        <v>0</v>
      </c>
      <c r="JA4" s="5">
        <f>IF(ISERROR(LOOKUP(JA$1,$S4:$HK4,csv!$L4:$HD4)),NA(),LOOKUP(JA$1,$S4:$HK4,csv!$L4:$HD4))</f>
        <v>0</v>
      </c>
      <c r="JB4" s="5">
        <f>IF(ISERROR(LOOKUP(JB$1,$S4:$HK4,csv!$L4:$HD4)),NA(),LOOKUP(JB$1,$S4:$HK4,csv!$L4:$HD4))</f>
        <v>0</v>
      </c>
      <c r="JC4" s="5">
        <f>IF(ISERROR(LOOKUP(JC$1,$S4:$HK4,csv!$L4:$HD4)),NA(),LOOKUP(JC$1,$S4:$HK4,csv!$L4:$HD4))</f>
        <v>0</v>
      </c>
      <c r="JD4" s="5">
        <f>IF(ISERROR(LOOKUP(JD$1,$S4:$HK4,csv!$L4:$HD4)),NA(),LOOKUP(JD$1,$S4:$HK4,csv!$L4:$HD4))</f>
        <v>0</v>
      </c>
      <c r="JE4" s="5">
        <f>IF(ISERROR(LOOKUP(JE$1,$S4:$HK4,csv!$L4:$HD4)),NA(),LOOKUP(JE$1,$S4:$HK4,csv!$L4:$HD4))</f>
        <v>0</v>
      </c>
      <c r="JF4" s="5">
        <f>IF(ISERROR(LOOKUP(JF$1,$S4:$HK4,csv!$L4:$HD4)),NA(),LOOKUP(JF$1,$S4:$HK4,csv!$L4:$HD4))</f>
        <v>0</v>
      </c>
      <c r="JG4" s="5">
        <f>IF(ISERROR(LOOKUP(JG$1,$S4:$HK4,csv!$L4:$HD4)),NA(),LOOKUP(JG$1,$S4:$HK4,csv!$L4:$HD4))</f>
        <v>0</v>
      </c>
      <c r="JH4" s="5">
        <f>IF(ISERROR(LOOKUP(JH$1,$S4:$HK4,csv!$L4:$HD4)),NA(),LOOKUP(JH$1,$S4:$HK4,csv!$L4:$HD4))</f>
        <v>0</v>
      </c>
      <c r="JI4" s="5">
        <f>IF(ISERROR(LOOKUP(JI$1,$S4:$HK4,csv!$L4:$HD4)),NA(),LOOKUP(JI$1,$S4:$HK4,csv!$L4:$HD4))</f>
        <v>0</v>
      </c>
      <c r="JJ4" s="5">
        <f>IF(ISERROR(LOOKUP(JJ$1,$S4:$HK4,csv!$L4:$HD4)),NA(),LOOKUP(JJ$1,$S4:$HK4,csv!$L4:$HD4))</f>
        <v>0</v>
      </c>
      <c r="JK4" s="5">
        <f>IF(ISERROR(LOOKUP(JK$1,$S4:$HK4,csv!$L4:$HD4)),NA(),LOOKUP(JK$1,$S4:$HK4,csv!$L4:$HD4))</f>
        <v>0</v>
      </c>
      <c r="JL4" s="5">
        <f>IF(ISERROR(LOOKUP(JL$1,$S4:$HK4,csv!$L4:$HD4)),NA(),LOOKUP(JL$1,$S4:$HK4,csv!$L4:$HD4))</f>
        <v>0</v>
      </c>
      <c r="JM4" s="5">
        <f>IF(ISERROR(LOOKUP(JM$1,$S4:$HK4,csv!$L4:$HD4)),NA(),LOOKUP(JM$1,$S4:$HK4,csv!$L4:$HD4))</f>
        <v>0</v>
      </c>
      <c r="JN4" s="5">
        <f>IF(ISERROR(LOOKUP(JN$1,$S4:$HK4,csv!$L4:$HD4)),NA(),LOOKUP(JN$1,$S4:$HK4,csv!$L4:$HD4))</f>
        <v>0</v>
      </c>
      <c r="JO4" s="5">
        <f>IF(ISERROR(LOOKUP(JO$1,$S4:$HK4,csv!$L4:$HD4)),NA(),LOOKUP(JO$1,$S4:$HK4,csv!$L4:$HD4))</f>
        <v>0</v>
      </c>
      <c r="JP4" s="5">
        <f>IF(ISERROR(LOOKUP(JP$1,$S4:$HK4,csv!$L4:$HD4)),NA(),LOOKUP(JP$1,$S4:$HK4,csv!$L4:$HD4))</f>
        <v>0</v>
      </c>
      <c r="JQ4" s="5">
        <f>IF(ISERROR(LOOKUP(JQ$1,$S4:$HK4,csv!$L4:$HD4)),NA(),LOOKUP(JQ$1,$S4:$HK4,csv!$L4:$HD4))</f>
        <v>0</v>
      </c>
      <c r="JR4" s="5">
        <f>IF(ISERROR(LOOKUP(JR$1,$S4:$HK4,csv!$L4:$HD4)),NA(),LOOKUP(JR$1,$S4:$HK4,csv!$L4:$HD4))</f>
        <v>0</v>
      </c>
      <c r="JS4" s="5">
        <f>IF(ISERROR(LOOKUP(JS$1,$S4:$HK4,csv!$L4:$HD4)),NA(),LOOKUP(JS$1,$S4:$HK4,csv!$L4:$HD4))</f>
        <v>0</v>
      </c>
      <c r="JT4" s="5">
        <f>IF(ISERROR(LOOKUP(JT$1,$S4:$HK4,csv!$L4:$HD4)),NA(),LOOKUP(JT$1,$S4:$HK4,csv!$L4:$HD4))</f>
        <v>0</v>
      </c>
      <c r="JU4" s="5">
        <f>IF(ISERROR(LOOKUP(JU$1,$S4:$HK4,csv!$L4:$HD4)),NA(),LOOKUP(JU$1,$S4:$HK4,csv!$L4:$HD4))</f>
        <v>0</v>
      </c>
      <c r="JV4" s="5">
        <f>IF(ISERROR(LOOKUP(JV$1,$S4:$HK4,csv!$L4:$HD4)),NA(),LOOKUP(JV$1,$S4:$HK4,csv!$L4:$HD4))</f>
        <v>0</v>
      </c>
      <c r="JW4" s="5">
        <f>IF(ISERROR(LOOKUP(JW$1,$S4:$HK4,csv!$L4:$HD4)),NA(),LOOKUP(JW$1,$S4:$HK4,csv!$L4:$HD4))</f>
        <v>0</v>
      </c>
      <c r="JX4" s="5">
        <f>IF(ISERROR(LOOKUP(JX$1,$S4:$HK4,csv!$L4:$HD4)),NA(),LOOKUP(JX$1,$S4:$HK4,csv!$L4:$HD4))</f>
        <v>0</v>
      </c>
      <c r="JY4" s="5">
        <f>IF(ISERROR(LOOKUP(JY$1,$S4:$HK4,csv!$L4:$HD4)),NA(),LOOKUP(JY$1,$S4:$HK4,csv!$L4:$HD4))</f>
        <v>0</v>
      </c>
      <c r="JZ4" s="5">
        <f>IF(ISERROR(LOOKUP(JZ$1,$S4:$HK4,csv!$L4:$HD4)),NA(),LOOKUP(JZ$1,$S4:$HK4,csv!$L4:$HD4))</f>
        <v>0</v>
      </c>
      <c r="KA4" s="5">
        <f>IF(ISERROR(LOOKUP(KA$1,$S4:$HK4,csv!$L4:$HD4)),NA(),LOOKUP(KA$1,$S4:$HK4,csv!$L4:$HD4))</f>
        <v>0</v>
      </c>
      <c r="KB4" s="5">
        <f>IF(ISERROR(LOOKUP(KB$1,$S4:$HK4,csv!$L4:$HD4)),NA(),LOOKUP(KB$1,$S4:$HK4,csv!$L4:$HD4))</f>
        <v>0</v>
      </c>
      <c r="KC4" s="5">
        <f>IF(ISERROR(LOOKUP(KC$1,$S4:$HK4,csv!$L4:$HD4)),NA(),LOOKUP(KC$1,$S4:$HK4,csv!$L4:$HD4))</f>
        <v>0</v>
      </c>
      <c r="KD4" s="5">
        <f>IF(ISERROR(LOOKUP(KD$1,$S4:$HK4,csv!$L4:$HD4)),NA(),LOOKUP(KD$1,$S4:$HK4,csv!$L4:$HD4))</f>
        <v>0</v>
      </c>
      <c r="KE4" s="5">
        <f>IF(ISERROR(LOOKUP(KE$1,$S4:$HK4,csv!$L4:$HD4)),NA(),LOOKUP(KE$1,$S4:$HK4,csv!$L4:$HD4))</f>
        <v>0</v>
      </c>
      <c r="KF4" s="5">
        <f>IF(ISERROR(LOOKUP(KF$1,$S4:$HK4,csv!$L4:$HD4)),NA(),LOOKUP(KF$1,$S4:$HK4,csv!$L4:$HD4))</f>
        <v>0</v>
      </c>
      <c r="KG4" s="5">
        <f>IF(ISERROR(LOOKUP(KG$1,$S4:$HK4,csv!$L4:$HD4)),NA(),LOOKUP(KG$1,$S4:$HK4,csv!$L4:$HD4))</f>
        <v>0</v>
      </c>
      <c r="KH4" s="5">
        <f>IF(ISERROR(LOOKUP(KH$1,$S4:$HK4,csv!$L4:$HD4)),NA(),LOOKUP(KH$1,$S4:$HK4,csv!$L4:$HD4))</f>
        <v>0</v>
      </c>
      <c r="KI4" s="5">
        <f>IF(ISERROR(LOOKUP(KI$1,$S4:$HK4,csv!$L4:$HD4)),NA(),LOOKUP(KI$1,$S4:$HK4,csv!$L4:$HD4))</f>
        <v>0</v>
      </c>
      <c r="KJ4" s="5">
        <f>IF(ISERROR(LOOKUP(KJ$1,$S4:$HK4,csv!$L4:$HD4)),NA(),LOOKUP(KJ$1,$S4:$HK4,csv!$L4:$HD4))</f>
        <v>0</v>
      </c>
      <c r="KK4" s="5">
        <f>IF(ISERROR(LOOKUP(KK$1,$S4:$HK4,csv!$L4:$HD4)),NA(),LOOKUP(KK$1,$S4:$HK4,csv!$L4:$HD4))</f>
        <v>0</v>
      </c>
      <c r="KL4" s="5">
        <f>IF(ISERROR(LOOKUP(KL$1,$S4:$HK4,csv!$L4:$HD4)),NA(),LOOKUP(KL$1,$S4:$HK4,csv!$L4:$HD4))</f>
        <v>0</v>
      </c>
      <c r="KM4" s="5">
        <f>IF(ISERROR(LOOKUP(KM$1,$S4:$HK4,csv!$L4:$HD4)),NA(),LOOKUP(KM$1,$S4:$HK4,csv!$L4:$HD4))</f>
        <v>0</v>
      </c>
      <c r="KN4" s="5">
        <f>IF(ISERROR(LOOKUP(KN$1,$S4:$HK4,csv!$L4:$HD4)),NA(),LOOKUP(KN$1,$S4:$HK4,csv!$L4:$HD4))</f>
        <v>0</v>
      </c>
      <c r="KO4" s="5">
        <f>IF(ISERROR(LOOKUP(KO$1,$S4:$HK4,csv!$L4:$HD4)),NA(),LOOKUP(KO$1,$S4:$HK4,csv!$L4:$HD4))</f>
        <v>0</v>
      </c>
      <c r="KP4" s="5">
        <f>IF(ISERROR(LOOKUP(KP$1,$S4:$HK4,csv!$L4:$HD4)),NA(),LOOKUP(KP$1,$S4:$HK4,csv!$L4:$HD4))</f>
        <v>0</v>
      </c>
      <c r="KQ4" s="5">
        <f>IF(ISERROR(LOOKUP(KQ$1,$S4:$HK4,csv!$L4:$HD4)),NA(),LOOKUP(KQ$1,$S4:$HK4,csv!$L4:$HD4))</f>
        <v>0</v>
      </c>
      <c r="KR4" s="5">
        <f>IF(ISERROR(LOOKUP(KR$1,$S4:$HK4,csv!$L4:$HD4)),NA(),LOOKUP(KR$1,$S4:$HK4,csv!$L4:$HD4))</f>
        <v>0</v>
      </c>
      <c r="KS4" s="5">
        <f>IF(ISERROR(LOOKUP(KS$1,$S4:$HK4,csv!$L4:$HD4)),NA(),LOOKUP(KS$1,$S4:$HK4,csv!$L4:$HD4))</f>
        <v>0</v>
      </c>
      <c r="KT4" s="5">
        <f>IF(ISERROR(LOOKUP(KT$1,$S4:$HK4,csv!$L4:$HD4)),NA(),LOOKUP(KT$1,$S4:$HK4,csv!$L4:$HD4))</f>
        <v>0</v>
      </c>
      <c r="KU4" s="5">
        <f>IF(ISERROR(LOOKUP(KU$1,$S4:$HK4,csv!$L4:$HD4)),NA(),LOOKUP(KU$1,$S4:$HK4,csv!$L4:$HD4))</f>
        <v>0</v>
      </c>
      <c r="KV4" s="5">
        <f>IF(ISERROR(LOOKUP(KV$1,$S4:$HK4,csv!$L4:$HD4)),NA(),LOOKUP(KV$1,$S4:$HK4,csv!$L4:$HD4))</f>
        <v>0</v>
      </c>
      <c r="KW4" s="5">
        <f>IF(ISERROR(LOOKUP(KW$1,$S4:$HK4,csv!$L4:$HD4)),NA(),LOOKUP(KW$1,$S4:$HK4,csv!$L4:$HD4))</f>
        <v>0</v>
      </c>
      <c r="KX4" s="5">
        <f>IF(ISERROR(LOOKUP(KX$1,$S4:$HK4,csv!$L4:$HD4)),NA(),LOOKUP(KX$1,$S4:$HK4,csv!$L4:$HD4))</f>
        <v>0</v>
      </c>
      <c r="KY4" s="5">
        <f>IF(ISERROR(LOOKUP(KY$1,$S4:$HK4,csv!$L4:$HD4)),NA(),LOOKUP(KY$1,$S4:$HK4,csv!$L4:$HD4))</f>
        <v>0</v>
      </c>
      <c r="KZ4" s="5">
        <f>IF(ISERROR(LOOKUP(KZ$1,$S4:$HK4,csv!$L4:$HD4)),NA(),LOOKUP(KZ$1,$S4:$HK4,csv!$L4:$HD4))</f>
        <v>0</v>
      </c>
      <c r="LA4" s="5">
        <f>IF(ISERROR(LOOKUP(LA$1,$S4:$HK4,csv!$L4:$HD4)),NA(),LOOKUP(LA$1,$S4:$HK4,csv!$L4:$HD4))</f>
        <v>0</v>
      </c>
      <c r="LB4" s="5">
        <f>IF(ISERROR(LOOKUP(LB$1,$S4:$HK4,csv!$L4:$HD4)),NA(),LOOKUP(LB$1,$S4:$HK4,csv!$L4:$HD4))</f>
        <v>0</v>
      </c>
      <c r="LC4" s="5">
        <f>IF(ISERROR(LOOKUP(LC$1,$S4:$HK4,csv!$L4:$HD4)),NA(),LOOKUP(LC$1,$S4:$HK4,csv!$L4:$HD4))</f>
        <v>0</v>
      </c>
      <c r="LD4" s="5">
        <f>IF(ISERROR(LOOKUP(LD$1,$S4:$HK4,csv!$L4:$HD4)),NA(),LOOKUP(LD$1,$S4:$HK4,csv!$L4:$HD4))</f>
        <v>0</v>
      </c>
      <c r="LE4" s="5">
        <f>IF(ISERROR(LOOKUP(LE$1,$S4:$HK4,csv!$L4:$HD4)),NA(),LOOKUP(LE$1,$S4:$HK4,csv!$L4:$HD4))</f>
        <v>0</v>
      </c>
      <c r="LF4" s="5">
        <f>IF(ISERROR(LOOKUP(LF$1,$S4:$HK4,csv!$L4:$HD4)),NA(),LOOKUP(LF$1,$S4:$HK4,csv!$L4:$HD4))</f>
        <v>0</v>
      </c>
      <c r="LG4" s="5">
        <f>IF(ISERROR(LOOKUP(LG$1,$S4:$HK4,csv!$L4:$HD4)),NA(),LOOKUP(LG$1,$S4:$HK4,csv!$L4:$HD4))</f>
        <v>0</v>
      </c>
      <c r="LH4" s="5">
        <f>IF(ISERROR(LOOKUP(LH$1,$S4:$HK4,csv!$L4:$HD4)),NA(),LOOKUP(LH$1,$S4:$HK4,csv!$L4:$HD4))</f>
        <v>0</v>
      </c>
      <c r="LI4" s="5">
        <f>IF(ISERROR(LOOKUP(LI$1,$S4:$HK4,csv!$L4:$HD4)),NA(),LOOKUP(LI$1,$S4:$HK4,csv!$L4:$HD4))</f>
        <v>0</v>
      </c>
      <c r="LJ4" s="5">
        <f>IF(ISERROR(LOOKUP(LJ$1,$S4:$HK4,csv!$L4:$HD4)),NA(),LOOKUP(LJ$1,$S4:$HK4,csv!$L4:$HD4))</f>
        <v>0</v>
      </c>
      <c r="LK4" s="5">
        <f>IF(ISERROR(LOOKUP(LK$1,$S4:$HK4,csv!$L4:$HD4)),NA(),LOOKUP(LK$1,$S4:$HK4,csv!$L4:$HD4))</f>
        <v>0</v>
      </c>
      <c r="LL4" s="5">
        <f>IF(ISERROR(LOOKUP(LL$1,$S4:$HK4,csv!$L4:$HD4)),NA(),LOOKUP(LL$1,$S4:$HK4,csv!$L4:$HD4))</f>
        <v>0</v>
      </c>
      <c r="LM4" s="5">
        <f>IF(ISERROR(LOOKUP(LM$1,$S4:$HK4,csv!$L4:$HD4)),NA(),LOOKUP(LM$1,$S4:$HK4,csv!$L4:$HD4))</f>
        <v>0</v>
      </c>
      <c r="LN4" s="5">
        <f>IF(ISERROR(LOOKUP(LN$1,$S4:$HK4,csv!$L4:$HD4)),NA(),LOOKUP(LN$1,$S4:$HK4,csv!$L4:$HD4))</f>
        <v>0</v>
      </c>
      <c r="LO4" s="5">
        <f>IF(ISERROR(LOOKUP(LO$1,$S4:$HK4,csv!$L4:$HD4)),NA(),LOOKUP(LO$1,$S4:$HK4,csv!$L4:$HD4))</f>
        <v>0</v>
      </c>
      <c r="LP4" s="5">
        <f>IF(ISERROR(LOOKUP(LP$1,$S4:$HK4,csv!$L4:$HD4)),NA(),LOOKUP(LP$1,$S4:$HK4,csv!$L4:$HD4))</f>
        <v>0</v>
      </c>
      <c r="LQ4" s="5">
        <f>IF(ISERROR(LOOKUP(LQ$1,$S4:$HK4,csv!$L4:$HD4)),NA(),LOOKUP(LQ$1,$S4:$HK4,csv!$L4:$HD4))</f>
        <v>0</v>
      </c>
      <c r="LR4" s="5">
        <f>IF(ISERROR(LOOKUP(LR$1,$S4:$HK4,csv!$L4:$HD4)),NA(),LOOKUP(LR$1,$S4:$HK4,csv!$L4:$HD4))</f>
        <v>0</v>
      </c>
      <c r="LS4" s="5">
        <f>IF(ISERROR(LOOKUP(LS$1,$S4:$HK4,csv!$L4:$HD4)),NA(),LOOKUP(LS$1,$S4:$HK4,csv!$L4:$HD4))</f>
        <v>0</v>
      </c>
      <c r="LT4" s="5">
        <f>IF(ISERROR(LOOKUP(LT$1,$S4:$HK4,csv!$L4:$HD4)),NA(),LOOKUP(LT$1,$S4:$HK4,csv!$L4:$HD4))</f>
        <v>0</v>
      </c>
      <c r="LU4" s="5">
        <f>IF(ISERROR(LOOKUP(LU$1,$S4:$HK4,csv!$L4:$HD4)),NA(),LOOKUP(LU$1,$S4:$HK4,csv!$L4:$HD4))</f>
        <v>0</v>
      </c>
      <c r="LV4" s="5">
        <f>IF(ISERROR(LOOKUP(LV$1,$S4:$HK4,csv!$L4:$HD4)),NA(),LOOKUP(LV$1,$S4:$HK4,csv!$L4:$HD4))</f>
        <v>0</v>
      </c>
      <c r="LW4" s="5">
        <f>IF(ISERROR(LOOKUP(LW$1,$S4:$HK4,csv!$L4:$HD4)),NA(),LOOKUP(LW$1,$S4:$HK4,csv!$L4:$HD4))</f>
        <v>0</v>
      </c>
      <c r="LX4" s="5">
        <f>IF(ISERROR(LOOKUP(LX$1,$S4:$HK4,csv!$L4:$HD4)),NA(),LOOKUP(LX$1,$S4:$HK4,csv!$L4:$HD4))</f>
        <v>0</v>
      </c>
      <c r="LY4" s="5">
        <f>IF(ISERROR(LOOKUP(LY$1,$S4:$HK4,csv!$L4:$HD4)),NA(),LOOKUP(LY$1,$S4:$HK4,csv!$L4:$HD4))</f>
        <v>0</v>
      </c>
      <c r="LZ4" s="5">
        <f>IF(ISERROR(LOOKUP(LZ$1,$S4:$HK4,csv!$L4:$HD4)),NA(),LOOKUP(LZ$1,$S4:$HK4,csv!$L4:$HD4))</f>
        <v>0</v>
      </c>
      <c r="MA4" s="5">
        <f>IF(ISERROR(LOOKUP(MA$1,$S4:$HK4,csv!$L4:$HD4)),NA(),LOOKUP(MA$1,$S4:$HK4,csv!$L4:$HD4))</f>
        <v>0</v>
      </c>
      <c r="MB4" s="5">
        <f>IF(ISERROR(LOOKUP(MB$1,$S4:$HK4,csv!$L4:$HD4)),NA(),LOOKUP(MB$1,$S4:$HK4,csv!$L4:$HD4))</f>
        <v>0</v>
      </c>
      <c r="MC4" s="5">
        <f>IF(ISERROR(LOOKUP(MC$1,$S4:$HK4,csv!$L4:$HD4)),NA(),LOOKUP(MC$1,$S4:$HK4,csv!$L4:$HD4))</f>
        <v>0</v>
      </c>
      <c r="MD4" s="5">
        <f>IF(ISERROR(LOOKUP(MD$1,$S4:$HK4,csv!$L4:$HD4)),NA(),LOOKUP(MD$1,$S4:$HK4,csv!$L4:$HD4))</f>
        <v>0</v>
      </c>
      <c r="ME4" s="5">
        <f>IF(ISERROR(LOOKUP(ME$1,$S4:$HK4,csv!$L4:$HD4)),NA(),LOOKUP(ME$1,$S4:$HK4,csv!$L4:$HD4))</f>
        <v>0</v>
      </c>
      <c r="MF4" s="5">
        <f>IF(ISERROR(LOOKUP(MF$1,$S4:$HK4,csv!$L4:$HD4)),NA(),LOOKUP(MF$1,$S4:$HK4,csv!$L4:$HD4))</f>
        <v>0</v>
      </c>
      <c r="MG4" s="5">
        <f>IF(ISERROR(LOOKUP(MG$1,$S4:$HK4,csv!$L4:$HD4)),NA(),LOOKUP(MG$1,$S4:$HK4,csv!$L4:$HD4))</f>
        <v>0</v>
      </c>
      <c r="MH4" s="5">
        <f>IF(ISERROR(LOOKUP(MH$1,$S4:$HK4,csv!$L4:$HD4)),NA(),LOOKUP(MH$1,$S4:$HK4,csv!$L4:$HD4))</f>
        <v>0</v>
      </c>
      <c r="MI4" s="5">
        <f>IF(ISERROR(LOOKUP(MI$1,$S4:$HK4,csv!$L4:$HD4)),NA(),LOOKUP(MI$1,$S4:$HK4,csv!$L4:$HD4))</f>
        <v>0</v>
      </c>
      <c r="MJ4" s="5">
        <f>IF(ISERROR(LOOKUP(MJ$1,$S4:$HK4,csv!$L4:$HD4)),NA(),LOOKUP(MJ$1,$S4:$HK4,csv!$L4:$HD4))</f>
        <v>0</v>
      </c>
      <c r="MK4" s="5">
        <f>IF(ISERROR(LOOKUP(MK$1,$S4:$HK4,csv!$L4:$HD4)),NA(),LOOKUP(MK$1,$S4:$HK4,csv!$L4:$HD4))</f>
        <v>0</v>
      </c>
      <c r="ML4" s="5">
        <f>IF(ISERROR(LOOKUP(ML$1,$S4:$HK4,csv!$L4:$HD4)),NA(),LOOKUP(ML$1,$S4:$HK4,csv!$L4:$HD4))</f>
        <v>0</v>
      </c>
      <c r="MM4" s="5">
        <f>IF(ISERROR(LOOKUP(MM$1,$S4:$HK4,csv!$L4:$HD4)),NA(),LOOKUP(MM$1,$S4:$HK4,csv!$L4:$HD4))</f>
        <v>0</v>
      </c>
      <c r="MN4" s="5">
        <f>IF(ISERROR(LOOKUP(MN$1,$S4:$HK4,csv!$L4:$HD4)),NA(),LOOKUP(MN$1,$S4:$HK4,csv!$L4:$HD4))</f>
        <v>0</v>
      </c>
      <c r="MO4" s="5">
        <f>IF(ISERROR(LOOKUP(MO$1,$S4:$HK4,csv!$L4:$HD4)),NA(),LOOKUP(MO$1,$S4:$HK4,csv!$L4:$HD4))</f>
        <v>0</v>
      </c>
      <c r="MP4" s="5">
        <f>IF(ISERROR(LOOKUP(MP$1,$S4:$HK4,csv!$L4:$HD4)),NA(),LOOKUP(MP$1,$S4:$HK4,csv!$L4:$HD4))</f>
        <v>0</v>
      </c>
      <c r="MQ4" s="5">
        <f>IF(ISERROR(LOOKUP(MQ$1,$S4:$HK4,csv!$L4:$HD4)),NA(),LOOKUP(MQ$1,$S4:$HK4,csv!$L4:$HD4))</f>
        <v>0</v>
      </c>
      <c r="MR4" s="5">
        <f>IF(ISERROR(LOOKUP(MR$1,$S4:$HK4,csv!$L4:$HD4)),NA(),LOOKUP(MR$1,$S4:$HK4,csv!$L4:$HD4))</f>
        <v>0</v>
      </c>
      <c r="MS4" s="5">
        <f>IF(ISERROR(LOOKUP(MS$1,$S4:$HK4,csv!$L4:$HD4)),NA(),LOOKUP(MS$1,$S4:$HK4,csv!$L4:$HD4))</f>
        <v>0</v>
      </c>
      <c r="MT4" s="5">
        <f>IF(ISERROR(LOOKUP(MT$1,$S4:$HK4,csv!$L4:$HD4)),NA(),LOOKUP(MT$1,$S4:$HK4,csv!$L4:$HD4))</f>
        <v>0</v>
      </c>
      <c r="MU4" s="5">
        <f>IF(ISERROR(LOOKUP(MU$1,$S4:$HK4,csv!$L4:$HD4)),NA(),LOOKUP(MU$1,$S4:$HK4,csv!$L4:$HD4))</f>
        <v>0</v>
      </c>
      <c r="MV4" s="5">
        <f>IF(ISERROR(LOOKUP(MV$1,$S4:$HK4,csv!$L4:$HD4)),NA(),LOOKUP(MV$1,$S4:$HK4,csv!$L4:$HD4))</f>
        <v>0</v>
      </c>
      <c r="MW4" s="5">
        <f>IF(ISERROR(LOOKUP(MW$1,$S4:$HK4,csv!$L4:$HD4)),NA(),LOOKUP(MW$1,$S4:$HK4,csv!$L4:$HD4))</f>
        <v>0</v>
      </c>
      <c r="MX4" s="5">
        <f>IF(ISERROR(LOOKUP(MX$1,$S4:$HK4,csv!$L4:$HD4)),NA(),LOOKUP(MX$1,$S4:$HK4,csv!$L4:$HD4))</f>
        <v>0</v>
      </c>
      <c r="MY4" s="5">
        <f>IF(ISERROR(LOOKUP(MY$1,$S4:$HK4,csv!$L4:$HD4)),NA(),LOOKUP(MY$1,$S4:$HK4,csv!$L4:$HD4))</f>
        <v>0</v>
      </c>
      <c r="MZ4" s="5">
        <f>IF(ISERROR(LOOKUP(MZ$1,$S4:$HK4,csv!$L4:$HD4)),NA(),LOOKUP(MZ$1,$S4:$HK4,csv!$L4:$HD4))</f>
        <v>0</v>
      </c>
      <c r="NA4" s="5">
        <f>IF(ISERROR(LOOKUP(NA$1,$S4:$HK4,csv!$L4:$HD4)),NA(),LOOKUP(NA$1,$S4:$HK4,csv!$L4:$HD4))</f>
        <v>0</v>
      </c>
      <c r="NB4" s="5">
        <f>IF(ISERROR(LOOKUP(NB$1,$S4:$HK4,csv!$L4:$HD4)),NA(),LOOKUP(NB$1,$S4:$HK4,csv!$L4:$HD4))</f>
        <v>0</v>
      </c>
      <c r="NC4" s="5">
        <f>IF(ISERROR(LOOKUP(NC$1,$S4:$HK4,csv!$L4:$HD4)),NA(),LOOKUP(NC$1,$S4:$HK4,csv!$L4:$HD4))</f>
        <v>0</v>
      </c>
      <c r="ND4" s="5">
        <f>IF(ISERROR(LOOKUP(ND$1,$S4:$HK4,csv!$L4:$HD4)),NA(),LOOKUP(ND$1,$S4:$HK4,csv!$L4:$HD4))</f>
        <v>0</v>
      </c>
      <c r="NE4" s="5">
        <f>IF(ISERROR(LOOKUP(NE$1,$S4:$HK4,csv!$L4:$HD4)),NA(),LOOKUP(NE$1,$S4:$HK4,csv!$L4:$HD4))</f>
        <v>0</v>
      </c>
      <c r="NF4" s="5">
        <f>IF(ISERROR(LOOKUP(NF$1,$S4:$HK4,csv!$L4:$HD4)),NA(),LOOKUP(NF$1,$S4:$HK4,csv!$L4:$HD4))</f>
        <v>0</v>
      </c>
      <c r="NG4" s="5">
        <f>IF(ISERROR(LOOKUP(NG$1,$S4:$HK4,csv!$L4:$HD4)),NA(),LOOKUP(NG$1,$S4:$HK4,csv!$L4:$HD4))</f>
        <v>0</v>
      </c>
      <c r="NH4" s="5">
        <f>IF(ISERROR(LOOKUP(NH$1,$S4:$HK4,csv!$L4:$HD4)),NA(),LOOKUP(NH$1,$S4:$HK4,csv!$L4:$HD4))</f>
        <v>0</v>
      </c>
      <c r="NI4" s="5">
        <f>IF(ISERROR(LOOKUP(NI$1,$S4:$HK4,csv!$L4:$HD4)),NA(),LOOKUP(NI$1,$S4:$HK4,csv!$L4:$HD4))</f>
        <v>0</v>
      </c>
      <c r="NJ4" s="5">
        <f>IF(ISERROR(LOOKUP(NJ$1,$S4:$HK4,csv!$L4:$HD4)),NA(),LOOKUP(NJ$1,$S4:$HK4,csv!$L4:$HD4))</f>
        <v>0</v>
      </c>
      <c r="NK4" s="5">
        <f>IF(ISERROR(LOOKUP(NK$1,$S4:$HK4,csv!$L4:$HD4)),NA(),LOOKUP(NK$1,$S4:$HK4,csv!$L4:$HD4))</f>
        <v>0</v>
      </c>
      <c r="NL4" s="5">
        <f>IF(ISERROR(LOOKUP(NL$1,$S4:$HK4,csv!$L4:$HD4)),NA(),LOOKUP(NL$1,$S4:$HK4,csv!$L4:$HD4))</f>
        <v>0</v>
      </c>
      <c r="NM4" s="5">
        <f>IF(ISERROR(LOOKUP(NM$1,$S4:$HK4,csv!$L4:$HD4)),NA(),LOOKUP(NM$1,$S4:$HK4,csv!$L4:$HD4))</f>
        <v>0</v>
      </c>
      <c r="NN4" s="5">
        <f>IF(ISERROR(LOOKUP(NN$1,$S4:$HK4,csv!$L4:$HD4)),NA(),LOOKUP(NN$1,$S4:$HK4,csv!$L4:$HD4))</f>
        <v>0</v>
      </c>
      <c r="NO4" s="5">
        <f>IF(ISERROR(LOOKUP(NO$1,$S4:$HK4,csv!$L4:$HD4)),NA(),LOOKUP(NO$1,$S4:$HK4,csv!$L4:$HD4))</f>
        <v>0</v>
      </c>
      <c r="NP4" s="5">
        <f>IF(ISERROR(LOOKUP(NP$1,$S4:$HK4,csv!$L4:$HD4)),NA(),LOOKUP(NP$1,$S4:$HK4,csv!$L4:$HD4))</f>
        <v>0</v>
      </c>
      <c r="NQ4" s="5">
        <f>IF(ISERROR(LOOKUP(NQ$1,$S4:$HK4,csv!$L4:$HD4)),NA(),LOOKUP(NQ$1,$S4:$HK4,csv!$L4:$HD4))</f>
        <v>0</v>
      </c>
      <c r="NR4" s="5">
        <f>IF(ISERROR(LOOKUP(NR$1,$S4:$HK4,csv!$L4:$HD4)),NA(),LOOKUP(NR$1,$S4:$HK4,csv!$L4:$HD4))</f>
        <v>0</v>
      </c>
      <c r="NS4" s="5">
        <f>IF(ISERROR(LOOKUP(NS$1,$S4:$HK4,csv!$L4:$HD4)),NA(),LOOKUP(NS$1,$S4:$HK4,csv!$L4:$HD4))</f>
        <v>0</v>
      </c>
      <c r="NT4" s="5">
        <f>IF(ISERROR(LOOKUP(NT$1,$S4:$HK4,csv!$L4:$HD4)),NA(),LOOKUP(NT$1,$S4:$HK4,csv!$L4:$HD4))</f>
        <v>0</v>
      </c>
      <c r="NU4" s="5">
        <f>IF(ISERROR(LOOKUP(NU$1,$S4:$HK4,csv!$L4:$HD4)),NA(),LOOKUP(NU$1,$S4:$HK4,csv!$L4:$HD4))</f>
        <v>0</v>
      </c>
      <c r="NV4" s="5">
        <f>IF(ISERROR(LOOKUP(NV$1,$S4:$HK4,csv!$L4:$HD4)),NA(),LOOKUP(NV$1,$S4:$HK4,csv!$L4:$HD4))</f>
        <v>0</v>
      </c>
      <c r="NW4" s="5">
        <f>IF(ISERROR(LOOKUP(NW$1,$S4:$HK4,csv!$L4:$HD4)),NA(),LOOKUP(NW$1,$S4:$HK4,csv!$L4:$HD4))</f>
        <v>0</v>
      </c>
      <c r="NX4" s="5">
        <f>IF(ISERROR(LOOKUP(NX$1,$S4:$HK4,csv!$L4:$HD4)),NA(),LOOKUP(NX$1,$S4:$HK4,csv!$L4:$HD4))</f>
        <v>0</v>
      </c>
      <c r="NY4" s="5">
        <f>IF(ISERROR(LOOKUP(NY$1,$S4:$HK4,csv!$L4:$HD4)),NA(),LOOKUP(NY$1,$S4:$HK4,csv!$L4:$HD4))</f>
        <v>0</v>
      </c>
      <c r="NZ4" s="5">
        <f>IF(ISERROR(LOOKUP(NZ$1,$S4:$HK4,csv!$L4:$HD4)),NA(),LOOKUP(NZ$1,$S4:$HK4,csv!$L4:$HD4))</f>
        <v>0</v>
      </c>
      <c r="OA4" s="5">
        <f>IF(ISERROR(LOOKUP(OA$1,$S4:$HK4,csv!$L4:$HD4)),NA(),LOOKUP(OA$1,$S4:$HK4,csv!$L4:$HD4))</f>
        <v>0</v>
      </c>
      <c r="OB4" s="5">
        <f>IF(ISERROR(LOOKUP(OB$1,$S4:$HK4,csv!$L4:$HD4)),NA(),LOOKUP(OB$1,$S4:$HK4,csv!$L4:$HD4))</f>
        <v>0</v>
      </c>
      <c r="OC4" s="5">
        <f>IF(ISERROR(LOOKUP(OC$1,$S4:$HK4,csv!$L4:$HD4)),NA(),LOOKUP(OC$1,$S4:$HK4,csv!$L4:$HD4))</f>
        <v>0</v>
      </c>
      <c r="OD4" s="5">
        <f>IF(ISERROR(LOOKUP(OD$1,$S4:$HK4,csv!$L4:$HD4)),NA(),LOOKUP(OD$1,$S4:$HK4,csv!$L4:$HD4))</f>
        <v>0</v>
      </c>
      <c r="OE4" s="5">
        <f>IF(ISERROR(LOOKUP(OE$1,$S4:$HK4,csv!$L4:$HD4)),NA(),LOOKUP(OE$1,$S4:$HK4,csv!$L4:$HD4))</f>
        <v>0</v>
      </c>
      <c r="OF4" s="5">
        <f>IF(ISERROR(LOOKUP(OF$1,$S4:$HK4,csv!$L4:$HD4)),NA(),LOOKUP(OF$1,$S4:$HK4,csv!$L4:$HD4))</f>
        <v>0</v>
      </c>
      <c r="OG4" s="5">
        <f>IF(ISERROR(LOOKUP(OG$1,$S4:$HK4,csv!$L4:$HD4)),NA(),LOOKUP(OG$1,$S4:$HK4,csv!$L4:$HD4))</f>
        <v>0</v>
      </c>
      <c r="OH4" s="5">
        <f>IF(ISERROR(LOOKUP(OH$1,$S4:$HK4,csv!$L4:$HD4)),NA(),LOOKUP(OH$1,$S4:$HK4,csv!$L4:$HD4))</f>
        <v>0</v>
      </c>
      <c r="OI4" s="5">
        <f>IF(ISERROR(LOOKUP(OI$1,$S4:$HK4,csv!$L4:$HD4)),NA(),LOOKUP(OI$1,$S4:$HK4,csv!$L4:$HD4))</f>
        <v>0</v>
      </c>
      <c r="OJ4" s="5">
        <f>IF(ISERROR(LOOKUP(OJ$1,$S4:$HK4,csv!$L4:$HD4)),NA(),LOOKUP(OJ$1,$S4:$HK4,csv!$L4:$HD4))</f>
        <v>0</v>
      </c>
      <c r="OK4" s="5">
        <f>IF(ISERROR(LOOKUP(OK$1,$S4:$HK4,csv!$L4:$HD4)),NA(),LOOKUP(OK$1,$S4:$HK4,csv!$L4:$HD4))</f>
        <v>0</v>
      </c>
      <c r="OL4" s="5">
        <f>IF(ISERROR(LOOKUP(OL$1,$S4:$HK4,csv!$L4:$HD4)),NA(),LOOKUP(OL$1,$S4:$HK4,csv!$L4:$HD4))</f>
        <v>0</v>
      </c>
      <c r="OM4" s="5">
        <f>IF(ISERROR(LOOKUP(OM$1,$S4:$HK4,csv!$L4:$HD4)),NA(),LOOKUP(OM$1,$S4:$HK4,csv!$L4:$HD4))</f>
        <v>0</v>
      </c>
      <c r="ON4" s="5">
        <f>IF(ISERROR(LOOKUP(ON$1,$S4:$HK4,csv!$L4:$HD4)),NA(),LOOKUP(ON$1,$S4:$HK4,csv!$L4:$HD4))</f>
        <v>0</v>
      </c>
      <c r="OO4" s="5">
        <f>IF(ISERROR(LOOKUP(OO$1,$S4:$HK4,csv!$L4:$HD4)),NA(),LOOKUP(OO$1,$S4:$HK4,csv!$L4:$HD4))</f>
        <v>0</v>
      </c>
      <c r="OP4" s="5">
        <f>IF(ISERROR(LOOKUP(OP$1,$S4:$HK4,csv!$L4:$HD4)),NA(),LOOKUP(OP$1,$S4:$HK4,csv!$L4:$HD4))</f>
        <v>0</v>
      </c>
      <c r="OQ4" s="5">
        <f>IF(ISERROR(LOOKUP(OQ$1,$S4:$HK4,csv!$L4:$HD4)),NA(),LOOKUP(OQ$1,$S4:$HK4,csv!$L4:$HD4))</f>
        <v>0</v>
      </c>
      <c r="OR4" s="5">
        <f>IF(ISERROR(LOOKUP(OR$1,$S4:$HK4,csv!$L4:$HD4)),NA(),LOOKUP(OR$1,$S4:$HK4,csv!$L4:$HD4))</f>
        <v>0</v>
      </c>
      <c r="OS4" s="5">
        <f>IF(ISERROR(LOOKUP(OS$1,$S4:$HK4,csv!$L4:$HD4)),NA(),LOOKUP(OS$1,$S4:$HK4,csv!$L4:$HD4))</f>
        <v>0</v>
      </c>
      <c r="OT4" s="5">
        <f>IF(ISERROR(LOOKUP(OT$1,$S4:$HK4,csv!$L4:$HD4)),NA(),LOOKUP(OT$1,$S4:$HK4,csv!$L4:$HD4))</f>
        <v>0</v>
      </c>
      <c r="OU4" s="5">
        <f>IF(ISERROR(LOOKUP(OU$1,$S4:$HK4,csv!$L4:$HD4)),NA(),LOOKUP(OU$1,$S4:$HK4,csv!$L4:$HD4))</f>
        <v>0</v>
      </c>
      <c r="OV4" s="5">
        <f>IF(ISERROR(LOOKUP(OV$1,$S4:$HK4,csv!$L4:$HD4)),NA(),LOOKUP(OV$1,$S4:$HK4,csv!$L4:$HD4))</f>
        <v>0</v>
      </c>
      <c r="OW4" s="5">
        <f>IF(ISERROR(LOOKUP(OW$1,$S4:$HK4,csv!$L4:$HD4)),NA(),LOOKUP(OW$1,$S4:$HK4,csv!$L4:$HD4))</f>
        <v>0</v>
      </c>
      <c r="OX4" s="5">
        <f>IF(ISERROR(LOOKUP(OX$1,$S4:$HK4,csv!$L4:$HD4)),NA(),LOOKUP(OX$1,$S4:$HK4,csv!$L4:$HD4))</f>
        <v>0</v>
      </c>
      <c r="OY4" s="5">
        <f>IF(ISERROR(LOOKUP(OY$1,$S4:$HK4,csv!$L4:$HD4)),NA(),LOOKUP(OY$1,$S4:$HK4,csv!$L4:$HD4))</f>
        <v>0</v>
      </c>
      <c r="OZ4" s="5">
        <f>IF(ISERROR(LOOKUP(OZ$1,$S4:$HK4,csv!$L4:$HD4)),NA(),LOOKUP(OZ$1,$S4:$HK4,csv!$L4:$HD4))</f>
        <v>0</v>
      </c>
      <c r="PA4" s="5">
        <f>IF(ISERROR(LOOKUP(PA$1,$S4:$HK4,csv!$L4:$HD4)),NA(),LOOKUP(PA$1,$S4:$HK4,csv!$L4:$HD4))</f>
        <v>0</v>
      </c>
      <c r="PB4" s="5">
        <f>IF(ISERROR(LOOKUP(PB$1,$S4:$HK4,csv!$L4:$HD4)),NA(),LOOKUP(PB$1,$S4:$HK4,csv!$L4:$HD4))</f>
        <v>0</v>
      </c>
      <c r="PC4" s="5">
        <f>IF(ISERROR(LOOKUP(PC$1,$S4:$HK4,csv!$L4:$HD4)),NA(),LOOKUP(PC$1,$S4:$HK4,csv!$L4:$HD4))</f>
        <v>0</v>
      </c>
      <c r="PD4" s="5">
        <f>IF(ISERROR(LOOKUP(PD$1,$S4:$HK4,csv!$L4:$HD4)),NA(),LOOKUP(PD$1,$S4:$HK4,csv!$L4:$HD4))</f>
        <v>0</v>
      </c>
      <c r="PE4" s="5">
        <f>IF(ISERROR(LOOKUP(PE$1,$S4:$HK4,csv!$L4:$HD4)),NA(),LOOKUP(PE$1,$S4:$HK4,csv!$L4:$HD4))</f>
        <v>0</v>
      </c>
      <c r="PF4" s="5">
        <f>IF(ISERROR(LOOKUP(PF$1,$S4:$HK4,csv!$L4:$HD4)),NA(),LOOKUP(PF$1,$S4:$HK4,csv!$L4:$HD4))</f>
        <v>0</v>
      </c>
      <c r="PG4" s="5">
        <f>IF(ISERROR(LOOKUP(PG$1,$S4:$HK4,csv!$L4:$HD4)),NA(),LOOKUP(PG$1,$S4:$HK4,csv!$L4:$HD4))</f>
        <v>0</v>
      </c>
      <c r="PH4" s="5">
        <f>IF(ISERROR(LOOKUP(PH$1,$S4:$HK4,csv!$L4:$HD4)),NA(),LOOKUP(PH$1,$S4:$HK4,csv!$L4:$HD4))</f>
        <v>0</v>
      </c>
      <c r="PI4" s="5">
        <f>IF(ISERROR(LOOKUP(PI$1,$S4:$HK4,csv!$L4:$HD4)),NA(),LOOKUP(PI$1,$S4:$HK4,csv!$L4:$HD4))</f>
        <v>0</v>
      </c>
      <c r="PJ4" s="5">
        <f>IF(ISERROR(LOOKUP(PJ$1,$S4:$HK4,csv!$L4:$HD4)),NA(),LOOKUP(PJ$1,$S4:$HK4,csv!$L4:$HD4))</f>
        <v>0</v>
      </c>
      <c r="PK4" s="5">
        <f>IF(ISERROR(LOOKUP(PK$1,$S4:$HK4,csv!$L4:$HD4)),NA(),LOOKUP(PK$1,$S4:$HK4,csv!$L4:$HD4))</f>
        <v>0</v>
      </c>
      <c r="PL4" s="5">
        <f>IF(ISERROR(LOOKUP(PL$1,$S4:$HK4,csv!$L4:$HD4)),NA(),LOOKUP(PL$1,$S4:$HK4,csv!$L4:$HD4))</f>
        <v>0</v>
      </c>
      <c r="PM4" s="5">
        <f>IF(ISERROR(LOOKUP(PM$1,$S4:$HK4,csv!$L4:$HD4)),NA(),LOOKUP(PM$1,$S4:$HK4,csv!$L4:$HD4))</f>
        <v>0</v>
      </c>
      <c r="PN4" s="5">
        <f>IF(ISERROR(LOOKUP(PN$1,$S4:$HK4,csv!$L4:$HD4)),NA(),LOOKUP(PN$1,$S4:$HK4,csv!$L4:$HD4))</f>
        <v>0</v>
      </c>
      <c r="PO4" s="5">
        <f>IF(ISERROR(LOOKUP(PO$1,$S4:$HK4,csv!$L4:$HD4)),NA(),LOOKUP(PO$1,$S4:$HK4,csv!$L4:$HD4))</f>
        <v>0</v>
      </c>
      <c r="PP4" s="5">
        <f>IF(ISERROR(LOOKUP(PP$1,$S4:$HK4,csv!$L4:$HD4)),NA(),LOOKUP(PP$1,$S4:$HK4,csv!$L4:$HD4))</f>
        <v>0</v>
      </c>
      <c r="PQ4" s="5">
        <f>IF(ISERROR(LOOKUP(PQ$1,$S4:$HK4,csv!$L4:$HD4)),NA(),LOOKUP(PQ$1,$S4:$HK4,csv!$L4:$HD4))</f>
        <v>0</v>
      </c>
      <c r="PR4" s="5">
        <f>IF(ISERROR(LOOKUP(PR$1,$S4:$HK4,csv!$L4:$HD4)),NA(),LOOKUP(PR$1,$S4:$HK4,csv!$L4:$HD4))</f>
        <v>0</v>
      </c>
      <c r="PS4" s="5">
        <f>IF(ISERROR(LOOKUP(PS$1,$S4:$HK4,csv!$L4:$HD4)),NA(),LOOKUP(PS$1,$S4:$HK4,csv!$L4:$HD4))</f>
        <v>0</v>
      </c>
      <c r="PT4" s="5">
        <f>IF(ISERROR(LOOKUP(PT$1,$S4:$HK4,csv!$L4:$HD4)),NA(),LOOKUP(PT$1,$S4:$HK4,csv!$L4:$HD4))</f>
        <v>0</v>
      </c>
      <c r="PU4" s="5">
        <f>IF(ISERROR(LOOKUP(PU$1,$S4:$HK4,csv!$L4:$HD4)),NA(),LOOKUP(PU$1,$S4:$HK4,csv!$L4:$HD4))</f>
        <v>0</v>
      </c>
      <c r="PV4" s="5">
        <f>IF(ISERROR(LOOKUP(PV$1,$S4:$HK4,csv!$L4:$HD4)),NA(),LOOKUP(PV$1,$S4:$HK4,csv!$L4:$HD4))</f>
        <v>0</v>
      </c>
      <c r="PW4" s="5">
        <f>IF(ISERROR(LOOKUP(PW$1,$S4:$HK4,csv!$L4:$HD4)),NA(),LOOKUP(PW$1,$S4:$HK4,csv!$L4:$HD4))</f>
        <v>0</v>
      </c>
      <c r="PX4" s="5">
        <f>IF(ISERROR(LOOKUP(PX$1,$S4:$HK4,csv!$L4:$HD4)),NA(),LOOKUP(PX$1,$S4:$HK4,csv!$L4:$HD4))</f>
        <v>0</v>
      </c>
      <c r="PY4" s="5">
        <f>IF(ISERROR(LOOKUP(PY$1,$S4:$HK4,csv!$L4:$HD4)),NA(),LOOKUP(PY$1,$S4:$HK4,csv!$L4:$HD4))</f>
        <v>0</v>
      </c>
      <c r="PZ4" s="5">
        <f>IF(ISERROR(LOOKUP(PZ$1,$S4:$HK4,csv!$L4:$HD4)),NA(),LOOKUP(PZ$1,$S4:$HK4,csv!$L4:$HD4))</f>
        <v>0</v>
      </c>
      <c r="QA4" s="5">
        <f>IF(ISERROR(LOOKUP(QA$1,$S4:$HK4,csv!$L4:$HD4)),NA(),LOOKUP(QA$1,$S4:$HK4,csv!$L4:$HD4))</f>
        <v>0</v>
      </c>
      <c r="QB4" s="5">
        <f>IF(ISERROR(LOOKUP(QB$1,$S4:$HK4,csv!$L4:$HD4)),NA(),LOOKUP(QB$1,$S4:$HK4,csv!$L4:$HD4))</f>
        <v>0</v>
      </c>
      <c r="QC4" s="5">
        <f>IF(ISERROR(LOOKUP(QC$1,$S4:$HK4,csv!$L4:$HD4)),NA(),LOOKUP(QC$1,$S4:$HK4,csv!$L4:$HD4))</f>
        <v>0</v>
      </c>
      <c r="QD4" s="5">
        <f>IF(ISERROR(LOOKUP(QD$1,$S4:$HK4,csv!$L4:$HD4)),NA(),LOOKUP(QD$1,$S4:$HK4,csv!$L4:$HD4))</f>
        <v>0</v>
      </c>
      <c r="QE4" s="5">
        <f>IF(ISERROR(LOOKUP(QE$1,$S4:$HK4,csv!$L4:$HD4)),NA(),LOOKUP(QE$1,$S4:$HK4,csv!$L4:$HD4))</f>
        <v>0</v>
      </c>
      <c r="QF4" s="5">
        <f>IF(ISERROR(LOOKUP(QF$1,$S4:$HK4,csv!$L4:$HD4)),NA(),LOOKUP(QF$1,$S4:$HK4,csv!$L4:$HD4))</f>
        <v>0</v>
      </c>
      <c r="QG4" s="5">
        <f>IF(ISERROR(LOOKUP(QG$1,$S4:$HK4,csv!$L4:$HD4)),NA(),LOOKUP(QG$1,$S4:$HK4,csv!$L4:$HD4))</f>
        <v>0</v>
      </c>
      <c r="QH4" s="5">
        <f>IF(ISERROR(LOOKUP(QH$1,$S4:$HK4,csv!$L4:$HD4)),NA(),LOOKUP(QH$1,$S4:$HK4,csv!$L4:$HD4))</f>
        <v>0</v>
      </c>
      <c r="QI4" s="5">
        <f>IF(ISERROR(LOOKUP(QI$1,$S4:$HK4,csv!$L4:$HD4)),NA(),LOOKUP(QI$1,$S4:$HK4,csv!$L4:$HD4))</f>
        <v>0</v>
      </c>
      <c r="QJ4" s="5">
        <f>IF(ISERROR(LOOKUP(QJ$1,$S4:$HK4,csv!$L4:$HD4)),NA(),LOOKUP(QJ$1,$S4:$HK4,csv!$L4:$HD4))</f>
        <v>0</v>
      </c>
      <c r="QK4" s="5">
        <f>IF(ISERROR(LOOKUP(QK$1,$S4:$HK4,csv!$L4:$HD4)),NA(),LOOKUP(QK$1,$S4:$HK4,csv!$L4:$HD4))</f>
        <v>0</v>
      </c>
      <c r="QL4" s="5">
        <f>IF(ISERROR(LOOKUP(QL$1,$S4:$HK4,csv!$L4:$HD4)),NA(),LOOKUP(QL$1,$S4:$HK4,csv!$L4:$HD4))</f>
        <v>0</v>
      </c>
      <c r="QM4" s="5">
        <f>IF(ISERROR(LOOKUP(QM$1,$S4:$HK4,csv!$L4:$HD4)),NA(),LOOKUP(QM$1,$S4:$HK4,csv!$L4:$HD4))</f>
        <v>0</v>
      </c>
      <c r="QN4" s="5">
        <f>IF(ISERROR(LOOKUP(QN$1,$S4:$HK4,csv!$L4:$HD4)),NA(),LOOKUP(QN$1,$S4:$HK4,csv!$L4:$HD4))</f>
        <v>0</v>
      </c>
      <c r="QO4" s="5">
        <f>IF(ISERROR(LOOKUP(QO$1,$S4:$HK4,csv!$L4:$HD4)),NA(),LOOKUP(QO$1,$S4:$HK4,csv!$L4:$HD4))</f>
        <v>0</v>
      </c>
      <c r="QP4" s="5">
        <f>IF(ISERROR(LOOKUP(QP$1,$S4:$HK4,csv!$L4:$HD4)),NA(),LOOKUP(QP$1,$S4:$HK4,csv!$L4:$HD4))</f>
        <v>0</v>
      </c>
      <c r="QQ4" s="5">
        <f>IF(ISERROR(LOOKUP(QQ$1,$S4:$HK4,csv!$L4:$HD4)),NA(),LOOKUP(QQ$1,$S4:$HK4,csv!$L4:$HD4))</f>
        <v>0</v>
      </c>
      <c r="QR4" s="5">
        <f>IF(ISERROR(LOOKUP(QR$1,$S4:$HK4,csv!$L4:$HD4)),NA(),LOOKUP(QR$1,$S4:$HK4,csv!$L4:$HD4))</f>
        <v>0</v>
      </c>
      <c r="QS4" s="5">
        <f>IF(ISERROR(LOOKUP(QS$1,$S4:$HK4,csv!$L4:$HD4)),NA(),LOOKUP(QS$1,$S4:$HK4,csv!$L4:$HD4))</f>
        <v>0</v>
      </c>
      <c r="QT4" s="5">
        <f>IF(ISERROR(LOOKUP(QT$1,$S4:$HK4,csv!$L4:$HD4)),NA(),LOOKUP(QT$1,$S4:$HK4,csv!$L4:$HD4))</f>
        <v>0</v>
      </c>
      <c r="QU4" s="5">
        <f>IF(ISERROR(LOOKUP(QU$1,$S4:$HK4,csv!$L4:$HD4)),NA(),LOOKUP(QU$1,$S4:$HK4,csv!$L4:$HD4))</f>
        <v>0</v>
      </c>
      <c r="QV4" s="5">
        <f>IF(ISERROR(LOOKUP(QV$1,$S4:$HK4,csv!$L4:$HD4)),NA(),LOOKUP(QV$1,$S4:$HK4,csv!$L4:$HD4))</f>
        <v>0</v>
      </c>
      <c r="QW4" s="5">
        <f>IF(ISERROR(LOOKUP(QW$1,$S4:$HK4,csv!$L4:$HD4)),NA(),LOOKUP(QW$1,$S4:$HK4,csv!$L4:$HD4))</f>
        <v>0</v>
      </c>
      <c r="QX4" s="5">
        <f>IF(ISERROR(LOOKUP(QX$1,$S4:$HK4,csv!$L4:$HD4)),NA(),LOOKUP(QX$1,$S4:$HK4,csv!$L4:$HD4))</f>
        <v>0</v>
      </c>
      <c r="QY4" s="5">
        <f>IF(ISERROR(LOOKUP(QY$1,$S4:$HK4,csv!$L4:$HD4)),NA(),LOOKUP(QY$1,$S4:$HK4,csv!$L4:$HD4))</f>
        <v>0</v>
      </c>
      <c r="QZ4" s="5">
        <f>IF(ISERROR(LOOKUP(QZ$1,$S4:$HK4,csv!$L4:$HD4)),NA(),LOOKUP(QZ$1,$S4:$HK4,csv!$L4:$HD4))</f>
        <v>0</v>
      </c>
      <c r="RA4" s="5">
        <f>IF(ISERROR(LOOKUP(RA$1,$S4:$HK4,csv!$L4:$HD4)),NA(),LOOKUP(RA$1,$S4:$HK4,csv!$L4:$HD4))</f>
        <v>0</v>
      </c>
      <c r="RB4" s="5">
        <f>IF(ISERROR(LOOKUP(RB$1,$S4:$HK4,csv!$L4:$HD4)),NA(),LOOKUP(RB$1,$S4:$HK4,csv!$L4:$HD4))</f>
        <v>0</v>
      </c>
      <c r="RC4" s="5">
        <f>IF(ISERROR(LOOKUP(RC$1,$S4:$HK4,csv!$L4:$HD4)),NA(),LOOKUP(RC$1,$S4:$HK4,csv!$L4:$HD4))</f>
        <v>0</v>
      </c>
      <c r="RD4" s="5">
        <f>IF(ISERROR(LOOKUP(RD$1,$S4:$HK4,csv!$L4:$HD4)),NA(),LOOKUP(RD$1,$S4:$HK4,csv!$L4:$HD4))</f>
        <v>0</v>
      </c>
      <c r="RE4" s="5">
        <f>IF(ISERROR(LOOKUP(RE$1,$S4:$HK4,csv!$L4:$HD4)),NA(),LOOKUP(RE$1,$S4:$HK4,csv!$L4:$HD4))</f>
        <v>0</v>
      </c>
      <c r="RF4" s="5">
        <f>IF(ISERROR(LOOKUP(RF$1,$S4:$HK4,csv!$L4:$HD4)),NA(),LOOKUP(RF$1,$S4:$HK4,csv!$L4:$HD4))</f>
        <v>0</v>
      </c>
      <c r="RG4" s="5">
        <f>IF(ISERROR(LOOKUP(RG$1,$S4:$HK4,csv!$L4:$HD4)),NA(),LOOKUP(RG$1,$S4:$HK4,csv!$L4:$HD4))</f>
        <v>0</v>
      </c>
      <c r="RH4" s="5">
        <f>IF(ISERROR(LOOKUP(RH$1,$S4:$HK4,csv!$L4:$HD4)),NA(),LOOKUP(RH$1,$S4:$HK4,csv!$L4:$HD4))</f>
        <v>0</v>
      </c>
      <c r="RI4" s="5">
        <f>IF(ISERROR(LOOKUP(RI$1,$S4:$HK4,csv!$L4:$HD4)),NA(),LOOKUP(RI$1,$S4:$HK4,csv!$L4:$HD4))</f>
        <v>0</v>
      </c>
      <c r="RJ4" s="5">
        <f>IF(ISERROR(LOOKUP(RJ$1,$S4:$HK4,csv!$L4:$HD4)),NA(),LOOKUP(RJ$1,$S4:$HK4,csv!$L4:$HD4))</f>
        <v>0</v>
      </c>
      <c r="RK4" s="5">
        <f>IF(ISERROR(LOOKUP(RK$1,$S4:$HK4,csv!$L4:$HD4)),NA(),LOOKUP(RK$1,$S4:$HK4,csv!$L4:$HD4))</f>
        <v>0</v>
      </c>
      <c r="RL4" s="5">
        <f>IF(ISERROR(LOOKUP(RL$1,$S4:$HK4,csv!$L4:$HD4)),NA(),LOOKUP(RL$1,$S4:$HK4,csv!$L4:$HD4))</f>
        <v>0</v>
      </c>
      <c r="RM4" s="5">
        <f>IF(ISERROR(LOOKUP(RM$1,$S4:$HK4,csv!$L4:$HD4)),NA(),LOOKUP(RM$1,$S4:$HK4,csv!$L4:$HD4))</f>
        <v>0</v>
      </c>
      <c r="RN4" s="5">
        <f>IF(ISERROR(LOOKUP(RN$1,$S4:$HK4,csv!$L4:$HD4)),NA(),LOOKUP(RN$1,$S4:$HK4,csv!$L4:$HD4))</f>
        <v>0</v>
      </c>
      <c r="RO4" s="5">
        <f>IF(ISERROR(LOOKUP(RO$1,$S4:$HK4,csv!$L4:$HD4)),NA(),LOOKUP(RO$1,$S4:$HK4,csv!$L4:$HD4))</f>
        <v>0</v>
      </c>
      <c r="RP4" s="5">
        <f>IF(ISERROR(LOOKUP(RP$1,$S4:$HK4,csv!$L4:$HD4)),NA(),LOOKUP(RP$1,$S4:$HK4,csv!$L4:$HD4))</f>
        <v>0</v>
      </c>
      <c r="RQ4" s="5">
        <f>IF(ISERROR(LOOKUP(RQ$1,$S4:$HK4,csv!$L4:$HD4)),NA(),LOOKUP(RQ$1,$S4:$HK4,csv!$L4:$HD4))</f>
        <v>0</v>
      </c>
      <c r="RR4" s="5">
        <f>IF(ISERROR(LOOKUP(RR$1,$S4:$HK4,csv!$L4:$HD4)),NA(),LOOKUP(RR$1,$S4:$HK4,csv!$L4:$HD4))</f>
        <v>0</v>
      </c>
      <c r="RS4" s="5">
        <f>IF(ISERROR(LOOKUP(RS$1,$S4:$HK4,csv!$L4:$HD4)),NA(),LOOKUP(RS$1,$S4:$HK4,csv!$L4:$HD4))</f>
        <v>0</v>
      </c>
      <c r="RT4" s="5">
        <f>IF(ISERROR(LOOKUP(RT$1,$S4:$HK4,csv!$L4:$HD4)),NA(),LOOKUP(RT$1,$S4:$HK4,csv!$L4:$HD4))</f>
        <v>0</v>
      </c>
      <c r="RU4" s="5">
        <f>IF(ISERROR(LOOKUP(RU$1,$S4:$HK4,csv!$L4:$HD4)),NA(),LOOKUP(RU$1,$S4:$HK4,csv!$L4:$HD4))</f>
        <v>0</v>
      </c>
      <c r="RV4" s="5">
        <f>IF(ISERROR(LOOKUP(RV$1,$S4:$HK4,csv!$L4:$HD4)),NA(),LOOKUP(RV$1,$S4:$HK4,csv!$L4:$HD4))</f>
        <v>0</v>
      </c>
      <c r="RW4" s="5">
        <f>IF(ISERROR(LOOKUP(RW$1,$S4:$HK4,csv!$L4:$HD4)),NA(),LOOKUP(RW$1,$S4:$HK4,csv!$L4:$HD4))</f>
        <v>0</v>
      </c>
      <c r="RX4" s="5">
        <f>IF(ISERROR(LOOKUP(RX$1,$S4:$HK4,csv!$L4:$HD4)),NA(),LOOKUP(RX$1,$S4:$HK4,csv!$L4:$HD4))</f>
        <v>0</v>
      </c>
      <c r="RY4" s="5">
        <f>IF(ISERROR(LOOKUP(RY$1,$S4:$HK4,csv!$L4:$HD4)),NA(),LOOKUP(RY$1,$S4:$HK4,csv!$L4:$HD4))</f>
        <v>0</v>
      </c>
      <c r="RZ4" s="5">
        <f>IF(ISERROR(LOOKUP(RZ$1,$S4:$HK4,csv!$L4:$HD4)),NA(),LOOKUP(RZ$1,$S4:$HK4,csv!$L4:$HD4))</f>
        <v>0</v>
      </c>
      <c r="SA4" s="5">
        <f>IF(ISERROR(LOOKUP(SA$1,$S4:$HK4,csv!$L4:$HD4)),NA(),LOOKUP(SA$1,$S4:$HK4,csv!$L4:$HD4))</f>
        <v>0</v>
      </c>
      <c r="SB4" s="5">
        <f>IF(ISERROR(LOOKUP(SB$1,$S4:$HK4,csv!$L4:$HD4)),NA(),LOOKUP(SB$1,$S4:$HK4,csv!$L4:$HD4))</f>
        <v>0</v>
      </c>
      <c r="SC4" s="5">
        <f>IF(ISERROR(LOOKUP(SC$1,$S4:$HK4,csv!$L4:$HD4)),NA(),LOOKUP(SC$1,$S4:$HK4,csv!$L4:$HD4))</f>
        <v>0</v>
      </c>
      <c r="SD4" s="5">
        <f>IF(ISERROR(LOOKUP(SD$1,$S4:$HK4,csv!$L4:$HD4)),NA(),LOOKUP(SD$1,$S4:$HK4,csv!$L4:$HD4))</f>
        <v>0</v>
      </c>
      <c r="SE4" s="5">
        <f>IF(ISERROR(LOOKUP(SE$1,$S4:$HK4,csv!$L4:$HD4)),NA(),LOOKUP(SE$1,$S4:$HK4,csv!$L4:$HD4))</f>
        <v>0</v>
      </c>
      <c r="SF4" s="5">
        <f>IF(ISERROR(LOOKUP(SF$1,$S4:$HK4,csv!$L4:$HD4)),NA(),LOOKUP(SF$1,$S4:$HK4,csv!$L4:$HD4))</f>
        <v>0</v>
      </c>
      <c r="SG4" s="5">
        <f>IF(ISERROR(LOOKUP(SG$1,$S4:$HK4,csv!$L4:$HD4)),NA(),LOOKUP(SG$1,$S4:$HK4,csv!$L4:$HD4))</f>
        <v>0</v>
      </c>
      <c r="SH4" s="5">
        <f>IF(ISERROR(LOOKUP(SH$1,$S4:$HK4,csv!$L4:$HD4)),NA(),LOOKUP(SH$1,$S4:$HK4,csv!$L4:$HD4))</f>
        <v>0</v>
      </c>
      <c r="SI4" s="5">
        <f>IF(ISERROR(LOOKUP(SI$1,$S4:$HK4,csv!$L4:$HD4)),NA(),LOOKUP(SI$1,$S4:$HK4,csv!$L4:$HD4))</f>
        <v>0</v>
      </c>
      <c r="SJ4" s="5">
        <f>IF(ISERROR(LOOKUP(SJ$1,$S4:$HK4,csv!$L4:$HD4)),NA(),LOOKUP(SJ$1,$S4:$HK4,csv!$L4:$HD4))</f>
        <v>0</v>
      </c>
      <c r="SK4" s="5">
        <f>IF(ISERROR(LOOKUP(SK$1,$S4:$HK4,csv!$L4:$HD4)),NA(),LOOKUP(SK$1,$S4:$HK4,csv!$L4:$HD4))</f>
        <v>0</v>
      </c>
      <c r="SL4" s="5">
        <f>IF(ISERROR(LOOKUP(SL$1,$S4:$HK4,csv!$L4:$HD4)),NA(),LOOKUP(SL$1,$S4:$HK4,csv!$L4:$HD4))</f>
        <v>0</v>
      </c>
      <c r="SM4" s="5">
        <f>IF(ISERROR(LOOKUP(SM$1,$S4:$HK4,csv!$L4:$HD4)),NA(),LOOKUP(SM$1,$S4:$HK4,csv!$L4:$HD4))</f>
        <v>0</v>
      </c>
      <c r="SN4" s="5">
        <f>IF(ISERROR(LOOKUP(SN$1,$S4:$HK4,csv!$L4:$HD4)),NA(),LOOKUP(SN$1,$S4:$HK4,csv!$L4:$HD4))</f>
        <v>0</v>
      </c>
      <c r="SO4" s="5">
        <f>IF(ISERROR(LOOKUP(SO$1,$S4:$HK4,csv!$L4:$HD4)),NA(),LOOKUP(SO$1,$S4:$HK4,csv!$L4:$HD4))</f>
        <v>0</v>
      </c>
      <c r="SP4" s="5">
        <f>IF(ISERROR(LOOKUP(SP$1,$S4:$HK4,csv!$L4:$HD4)),NA(),LOOKUP(SP$1,$S4:$HK4,csv!$L4:$HD4))</f>
        <v>0</v>
      </c>
      <c r="SQ4" s="5">
        <f>IF(ISERROR(LOOKUP(SQ$1,$S4:$HK4,csv!$L4:$HD4)),NA(),LOOKUP(SQ$1,$S4:$HK4,csv!$L4:$HD4))</f>
        <v>0</v>
      </c>
      <c r="SR4" s="5">
        <f>IF(ISERROR(LOOKUP(SR$1,$S4:$HK4,csv!$L4:$HD4)),NA(),LOOKUP(SR$1,$S4:$HK4,csv!$L4:$HD4))</f>
        <v>0</v>
      </c>
      <c r="SS4" s="5">
        <f>IF(ISERROR(LOOKUP(SS$1,$S4:$HK4,csv!$L4:$HD4)),NA(),LOOKUP(SS$1,$S4:$HK4,csv!$L4:$HD4))</f>
        <v>0</v>
      </c>
      <c r="ST4" s="5">
        <f>IF(ISERROR(LOOKUP(ST$1,$S4:$HK4,csv!$L4:$HD4)),NA(),LOOKUP(ST$1,$S4:$HK4,csv!$L4:$HD4))</f>
        <v>0</v>
      </c>
      <c r="SU4" s="5">
        <f>IF(ISERROR(LOOKUP(SU$1,$S4:$HK4,csv!$L4:$HD4)),NA(),LOOKUP(SU$1,$S4:$HK4,csv!$L4:$HD4))</f>
        <v>0</v>
      </c>
      <c r="SV4" s="5">
        <f>IF(ISERROR(LOOKUP(SV$1,$S4:$HK4,csv!$L4:$HD4)),NA(),LOOKUP(SV$1,$S4:$HK4,csv!$L4:$HD4))</f>
        <v>0</v>
      </c>
      <c r="SW4" s="5">
        <f>IF(ISERROR(LOOKUP(SW$1,$S4:$HK4,csv!$L4:$HD4)),NA(),LOOKUP(SW$1,$S4:$HK4,csv!$L4:$HD4))</f>
        <v>0</v>
      </c>
      <c r="SX4" s="5">
        <f>IF(ISERROR(LOOKUP(SX$1,$S4:$HK4,csv!$L4:$HD4)),NA(),LOOKUP(SX$1,$S4:$HK4,csv!$L4:$HD4))</f>
        <v>0</v>
      </c>
      <c r="SY4" s="5">
        <f>IF(ISERROR(LOOKUP(SY$1,$S4:$HK4,csv!$L4:$HD4)),NA(),LOOKUP(SY$1,$S4:$HK4,csv!$L4:$HD4))</f>
        <v>0</v>
      </c>
      <c r="SZ4" s="5">
        <f>IF(ISERROR(LOOKUP(SZ$1,$S4:$HK4,csv!$L4:$HD4)),NA(),LOOKUP(SZ$1,$S4:$HK4,csv!$L4:$HD4))</f>
        <v>0</v>
      </c>
      <c r="TA4" s="5">
        <f>IF(ISERROR(LOOKUP(TA$1,$S4:$HK4,csv!$L4:$HD4)),NA(),LOOKUP(TA$1,$S4:$HK4,csv!$L4:$HD4))</f>
        <v>0</v>
      </c>
      <c r="TB4" s="5">
        <f>IF(ISERROR(LOOKUP(TB$1,$S4:$HK4,csv!$L4:$HD4)),NA(),LOOKUP(TB$1,$S4:$HK4,csv!$L4:$HD4))</f>
        <v>0</v>
      </c>
      <c r="TD4">
        <f>csv!HG4/10</f>
        <v>0</v>
      </c>
    </row>
    <row r="5" spans="1:524" x14ac:dyDescent="0.15">
      <c r="C5" s="32" t="str">
        <f>TEXT(csv!B5&amp;"/"&amp;csv!C5&amp;"-"&amp;csv!E5&amp;"/"&amp;csv!F5,"mm/dd")</f>
        <v>/-/</v>
      </c>
      <c r="D5">
        <f>csv!A5*10000+csv!B5*100+csv!C5</f>
        <v>0</v>
      </c>
      <c r="E5">
        <f>(IF(csv!HG5&lt;-1000,NA(),csv!HG5)+csv!K5)/10</f>
        <v>0</v>
      </c>
      <c r="F5">
        <f>(IF(csv!HG18&lt;-1000,NA(),csv!HG18)+csv!K18)/10</f>
        <v>0</v>
      </c>
      <c r="G5">
        <f>(IF(csv!HG31&lt;-1000,NA(),csv!HG31)+csv!K31)/10</f>
        <v>0</v>
      </c>
      <c r="H5">
        <f>IF(csv!HG5&lt;-1000,NA(),csv!HG5/10)</f>
        <v>0</v>
      </c>
      <c r="I5">
        <f>IF(csv!HG18&lt;-1000,NA(),csv!HG18/10)</f>
        <v>0</v>
      </c>
      <c r="J5">
        <f>IF(csv!HG31&lt;-1000,NA(),csv!HG31/10)</f>
        <v>0</v>
      </c>
      <c r="K5">
        <f>IF(csv!HF5&lt;-1000,NA(),csv!HF5/10)</f>
        <v>0</v>
      </c>
      <c r="L5">
        <f>IF(csv!HF18&lt;-1000,NA(),csv!HF18/10)</f>
        <v>0</v>
      </c>
      <c r="M5">
        <f>IF(csv!HF31&lt;-1000,NA(),csv!HF31/10)</f>
        <v>0</v>
      </c>
      <c r="N5">
        <f>IF(csv!HE5&lt;-1000,NA(),csv!HE5/10)</f>
        <v>0</v>
      </c>
      <c r="O5">
        <f>IF(csv!HE18&lt;-1000,NA(),csv!HE18/10)</f>
        <v>0</v>
      </c>
      <c r="P5">
        <f>IF(csv!HE31&lt;-1000,NA(),csv!HE31/10)</f>
        <v>0</v>
      </c>
      <c r="S5" s="4">
        <f>ROUND((csv!$HG5/10+calc!S$1),1)</f>
        <v>-10</v>
      </c>
      <c r="T5" s="4">
        <f>ROUND((csv!$HG5/10+calc!T$1),1)</f>
        <v>-9.9</v>
      </c>
      <c r="U5" s="4">
        <f>ROUND((csv!$HG5/10+calc!U$1),1)</f>
        <v>-9.8000000000000007</v>
      </c>
      <c r="V5" s="4">
        <f>ROUND((csv!$HG5/10+calc!V$1),1)</f>
        <v>-9.6999999999999993</v>
      </c>
      <c r="W5" s="4">
        <f>ROUND((csv!$HG5/10+calc!W$1),1)</f>
        <v>-9.6</v>
      </c>
      <c r="X5" s="4">
        <f>ROUND((csv!$HG5/10+calc!X$1),1)</f>
        <v>-9.5</v>
      </c>
      <c r="Y5" s="4">
        <f>ROUND((csv!$HG5/10+calc!Y$1),1)</f>
        <v>-9.4</v>
      </c>
      <c r="Z5" s="4">
        <f>ROUND((csv!$HG5/10+calc!Z$1),1)</f>
        <v>-9.3000000000000007</v>
      </c>
      <c r="AA5" s="4">
        <f>ROUND((csv!$HG5/10+calc!AA$1),1)</f>
        <v>-9.1999999999999993</v>
      </c>
      <c r="AB5" s="4">
        <f>ROUND((csv!$HG5/10+calc!AB$1),1)</f>
        <v>-9.1</v>
      </c>
      <c r="AC5" s="4">
        <f>ROUND((csv!$HG5/10+calc!AC$1),1)</f>
        <v>-9</v>
      </c>
      <c r="AD5" s="4">
        <f>ROUND((csv!$HG5/10+calc!AD$1),1)</f>
        <v>-8.9</v>
      </c>
      <c r="AE5" s="4">
        <f>ROUND((csv!$HG5/10+calc!AE$1),1)</f>
        <v>-8.8000000000000007</v>
      </c>
      <c r="AF5" s="4">
        <f>ROUND((csv!$HG5/10+calc!AF$1),1)</f>
        <v>-8.6999999999999993</v>
      </c>
      <c r="AG5" s="4">
        <f>ROUND((csv!$HG5/10+calc!AG$1),1)</f>
        <v>-8.6</v>
      </c>
      <c r="AH5" s="4">
        <f>ROUND((csv!$HG5/10+calc!AH$1),1)</f>
        <v>-8.5</v>
      </c>
      <c r="AI5" s="4">
        <f>ROUND((csv!$HG5/10+calc!AI$1),1)</f>
        <v>-8.4</v>
      </c>
      <c r="AJ5" s="4">
        <f>ROUND((csv!$HG5/10+calc!AJ$1),1)</f>
        <v>-8.3000000000000007</v>
      </c>
      <c r="AK5" s="4">
        <f>ROUND((csv!$HG5/10+calc!AK$1),1)</f>
        <v>-8.1999999999999993</v>
      </c>
      <c r="AL5" s="4">
        <f>ROUND((csv!$HG5/10+calc!AL$1),1)</f>
        <v>-8.1</v>
      </c>
      <c r="AM5" s="4">
        <f>ROUND((csv!$HG5/10+calc!AM$1),1)</f>
        <v>-8</v>
      </c>
      <c r="AN5" s="4">
        <f>ROUND((csv!$HG5/10+calc!AN$1),1)</f>
        <v>-7.9</v>
      </c>
      <c r="AO5" s="4">
        <f>ROUND((csv!$HG5/10+calc!AO$1),1)</f>
        <v>-7.8</v>
      </c>
      <c r="AP5" s="4">
        <f>ROUND((csv!$HG5/10+calc!AP$1),1)</f>
        <v>-7.7</v>
      </c>
      <c r="AQ5" s="4">
        <f>ROUND((csv!$HG5/10+calc!AQ$1),1)</f>
        <v>-7.6</v>
      </c>
      <c r="AR5" s="4">
        <f>ROUND((csv!$HG5/10+calc!AR$1),1)</f>
        <v>-7.5</v>
      </c>
      <c r="AS5" s="4">
        <f>ROUND((csv!$HG5/10+calc!AS$1),1)</f>
        <v>-7.4</v>
      </c>
      <c r="AT5" s="4">
        <f>ROUND((csv!$HG5/10+calc!AT$1),1)</f>
        <v>-7.3</v>
      </c>
      <c r="AU5" s="4">
        <f>ROUND((csv!$HG5/10+calc!AU$1),1)</f>
        <v>-7.2</v>
      </c>
      <c r="AV5" s="4">
        <f>ROUND((csv!$HG5/10+calc!AV$1),1)</f>
        <v>-7.1</v>
      </c>
      <c r="AW5" s="4">
        <f>ROUND((csv!$HG5/10+calc!AW$1),1)</f>
        <v>-7</v>
      </c>
      <c r="AX5" s="4">
        <f>ROUND((csv!$HG5/10+calc!AX$1),1)</f>
        <v>-6.9</v>
      </c>
      <c r="AY5" s="4">
        <f>ROUND((csv!$HG5/10+calc!AY$1),1)</f>
        <v>-6.8</v>
      </c>
      <c r="AZ5" s="4">
        <f>ROUND((csv!$HG5/10+calc!AZ$1),1)</f>
        <v>-6.7</v>
      </c>
      <c r="BA5" s="4">
        <f>ROUND((csv!$HG5/10+calc!BA$1),1)</f>
        <v>-6.6</v>
      </c>
      <c r="BB5" s="4">
        <f>ROUND((csv!$HG5/10+calc!BB$1),1)</f>
        <v>-6.5</v>
      </c>
      <c r="BC5" s="4">
        <f>ROUND((csv!$HG5/10+calc!BC$1),1)</f>
        <v>-6.4</v>
      </c>
      <c r="BD5" s="4">
        <f>ROUND((csv!$HG5/10+calc!BD$1),1)</f>
        <v>-6.3</v>
      </c>
      <c r="BE5" s="4">
        <f>ROUND((csv!$HG5/10+calc!BE$1),1)</f>
        <v>-6.2</v>
      </c>
      <c r="BF5" s="4">
        <f>ROUND((csv!$HG5/10+calc!BF$1),1)</f>
        <v>-6.1</v>
      </c>
      <c r="BG5" s="4">
        <f>ROUND((csv!$HG5/10+calc!BG$1),1)</f>
        <v>-6</v>
      </c>
      <c r="BH5" s="4">
        <f>ROUND((csv!$HG5/10+calc!BH$1),1)</f>
        <v>-5.9</v>
      </c>
      <c r="BI5" s="4">
        <f>ROUND((csv!$HG5/10+calc!BI$1),1)</f>
        <v>-5.8</v>
      </c>
      <c r="BJ5" s="4">
        <f>ROUND((csv!$HG5/10+calc!BJ$1),1)</f>
        <v>-5.7</v>
      </c>
      <c r="BK5" s="4">
        <f>ROUND((csv!$HG5/10+calc!BK$1),1)</f>
        <v>-5.6</v>
      </c>
      <c r="BL5" s="4">
        <f>ROUND((csv!$HG5/10+calc!BL$1),1)</f>
        <v>-5.5</v>
      </c>
      <c r="BM5" s="4">
        <f>ROUND((csv!$HG5/10+calc!BM$1),1)</f>
        <v>-5.4</v>
      </c>
      <c r="BN5" s="4">
        <f>ROUND((csv!$HG5/10+calc!BN$1),1)</f>
        <v>-5.3</v>
      </c>
      <c r="BO5" s="4">
        <f>ROUND((csv!$HG5/10+calc!BO$1),1)</f>
        <v>-5.2</v>
      </c>
      <c r="BP5" s="4">
        <f>ROUND((csv!$HG5/10+calc!BP$1),1)</f>
        <v>-5.0999999999999996</v>
      </c>
      <c r="BQ5" s="4">
        <f>ROUND((csv!$HG5/10+calc!BQ$1),1)</f>
        <v>-5</v>
      </c>
      <c r="BR5" s="4">
        <f>ROUND((csv!$HG5/10+calc!BR$1),1)</f>
        <v>-4.9000000000000004</v>
      </c>
      <c r="BS5" s="4">
        <f>ROUND((csv!$HG5/10+calc!BS$1),1)</f>
        <v>-4.8</v>
      </c>
      <c r="BT5" s="4">
        <f>ROUND((csv!$HG5/10+calc!BT$1),1)</f>
        <v>-4.7</v>
      </c>
      <c r="BU5" s="4">
        <f>ROUND((csv!$HG5/10+calc!BU$1),1)</f>
        <v>-4.5999999999999996</v>
      </c>
      <c r="BV5" s="4">
        <f>ROUND((csv!$HG5/10+calc!BV$1),1)</f>
        <v>-4.5</v>
      </c>
      <c r="BW5" s="4">
        <f>ROUND((csv!$HG5/10+calc!BW$1),1)</f>
        <v>-4.4000000000000004</v>
      </c>
      <c r="BX5" s="4">
        <f>ROUND((csv!$HG5/10+calc!BX$1),1)</f>
        <v>-4.3</v>
      </c>
      <c r="BY5" s="4">
        <f>ROUND((csv!$HG5/10+calc!BY$1),1)</f>
        <v>-4.2</v>
      </c>
      <c r="BZ5" s="4">
        <f>ROUND((csv!$HG5/10+calc!BZ$1),1)</f>
        <v>-4.0999999999999996</v>
      </c>
      <c r="CA5" s="4">
        <f>ROUND((csv!$HG5/10+calc!CA$1),1)</f>
        <v>-4</v>
      </c>
      <c r="CB5" s="4">
        <f>ROUND((csv!$HG5/10+calc!CB$1),1)</f>
        <v>-3.9</v>
      </c>
      <c r="CC5" s="4">
        <f>ROUND((csv!$HG5/10+calc!CC$1),1)</f>
        <v>-3.8</v>
      </c>
      <c r="CD5" s="4">
        <f>ROUND((csv!$HG5/10+calc!CD$1),1)</f>
        <v>-3.7</v>
      </c>
      <c r="CE5" s="4">
        <f>ROUND((csv!$HG5/10+calc!CE$1),1)</f>
        <v>-3.6</v>
      </c>
      <c r="CF5" s="4">
        <f>ROUND((csv!$HG5/10+calc!CF$1),1)</f>
        <v>-3.5</v>
      </c>
      <c r="CG5" s="4">
        <f>ROUND((csv!$HG5/10+calc!CG$1),1)</f>
        <v>-3.4</v>
      </c>
      <c r="CH5" s="4">
        <f>ROUND((csv!$HG5/10+calc!CH$1),1)</f>
        <v>-3.3</v>
      </c>
      <c r="CI5" s="4">
        <f>ROUND((csv!$HG5/10+calc!CI$1),1)</f>
        <v>-3.2</v>
      </c>
      <c r="CJ5" s="4">
        <f>ROUND((csv!$HG5/10+calc!CJ$1),1)</f>
        <v>-3.1</v>
      </c>
      <c r="CK5" s="4">
        <f>ROUND((csv!$HG5/10+calc!CK$1),1)</f>
        <v>-3</v>
      </c>
      <c r="CL5" s="4">
        <f>ROUND((csv!$HG5/10+calc!CL$1),1)</f>
        <v>-2.9</v>
      </c>
      <c r="CM5" s="4">
        <f>ROUND((csv!$HG5/10+calc!CM$1),1)</f>
        <v>-2.8</v>
      </c>
      <c r="CN5" s="4">
        <f>ROUND((csv!$HG5/10+calc!CN$1),1)</f>
        <v>-2.7</v>
      </c>
      <c r="CO5" s="4">
        <f>ROUND((csv!$HG5/10+calc!CO$1),1)</f>
        <v>-2.6</v>
      </c>
      <c r="CP5" s="4">
        <f>ROUND((csv!$HG5/10+calc!CP$1),1)</f>
        <v>-2.5</v>
      </c>
      <c r="CQ5" s="4">
        <f>ROUND((csv!$HG5/10+calc!CQ$1),1)</f>
        <v>-2.4</v>
      </c>
      <c r="CR5" s="4">
        <f>ROUND((csv!$HG5/10+calc!CR$1),1)</f>
        <v>-2.2999999999999998</v>
      </c>
      <c r="CS5" s="4">
        <f>ROUND((csv!$HG5/10+calc!CS$1),1)</f>
        <v>-2.2000000000000002</v>
      </c>
      <c r="CT5" s="4">
        <f>ROUND((csv!$HG5/10+calc!CT$1),1)</f>
        <v>-2.1</v>
      </c>
      <c r="CU5" s="4">
        <f>ROUND((csv!$HG5/10+calc!CU$1),1)</f>
        <v>-2</v>
      </c>
      <c r="CV5" s="4">
        <f>ROUND((csv!$HG5/10+calc!CV$1),1)</f>
        <v>-1.9</v>
      </c>
      <c r="CW5" s="4">
        <f>ROUND((csv!$HG5/10+calc!CW$1),1)</f>
        <v>-1.8</v>
      </c>
      <c r="CX5" s="4">
        <f>ROUND((csv!$HG5/10+calc!CX$1),1)</f>
        <v>-1.7</v>
      </c>
      <c r="CY5" s="4">
        <f>ROUND((csv!$HG5/10+calc!CY$1),1)</f>
        <v>-1.6</v>
      </c>
      <c r="CZ5" s="4">
        <f>ROUND((csv!$HG5/10+calc!CZ$1),1)</f>
        <v>-1.5</v>
      </c>
      <c r="DA5" s="4">
        <f>ROUND((csv!$HG5/10+calc!DA$1),1)</f>
        <v>-1.4</v>
      </c>
      <c r="DB5" s="4">
        <f>ROUND((csv!$HG5/10+calc!DB$1),1)</f>
        <v>-1.3</v>
      </c>
      <c r="DC5" s="4">
        <f>ROUND((csv!$HG5/10+calc!DC$1),1)</f>
        <v>-1.2</v>
      </c>
      <c r="DD5" s="4">
        <f>ROUND((csv!$HG5/10+calc!DD$1),1)</f>
        <v>-1.1000000000000001</v>
      </c>
      <c r="DE5" s="4">
        <f>ROUND((csv!$HG5/10+calc!DE$1),1)</f>
        <v>-1</v>
      </c>
      <c r="DF5" s="4">
        <f>ROUND((csv!$HG5/10+calc!DF$1),1)</f>
        <v>-0.9</v>
      </c>
      <c r="DG5" s="4">
        <f>ROUND((csv!$HG5/10+calc!DG$1),1)</f>
        <v>-0.8</v>
      </c>
      <c r="DH5" s="4">
        <f>ROUND((csv!$HG5/10+calc!DH$1),1)</f>
        <v>-0.7</v>
      </c>
      <c r="DI5" s="4">
        <f>ROUND((csv!$HG5/10+calc!DI$1),1)</f>
        <v>-0.6</v>
      </c>
      <c r="DJ5" s="4">
        <f>ROUND((csv!$HG5/10+calc!DJ$1),1)</f>
        <v>-0.5</v>
      </c>
      <c r="DK5" s="4">
        <f>ROUND((csv!$HG5/10+calc!DK$1),1)</f>
        <v>-0.4</v>
      </c>
      <c r="DL5" s="4">
        <f>ROUND((csv!$HG5/10+calc!DL$1),1)</f>
        <v>-0.3</v>
      </c>
      <c r="DM5" s="4">
        <f>ROUND((csv!$HG5/10+calc!DM$1),1)</f>
        <v>-0.2</v>
      </c>
      <c r="DN5" s="4">
        <f>ROUND((csv!$HG5/10+calc!DN$1),1)</f>
        <v>-0.1</v>
      </c>
      <c r="DO5" s="4">
        <f>ROUND((csv!$HG5/10+calc!DO$1),1)</f>
        <v>0</v>
      </c>
      <c r="DP5" s="4">
        <f>ROUND((csv!$HG5/10+calc!DP$1),1)</f>
        <v>0.1</v>
      </c>
      <c r="DQ5" s="4">
        <f>ROUND((csv!$HG5/10+calc!DQ$1),1)</f>
        <v>0.2</v>
      </c>
      <c r="DR5" s="4">
        <f>ROUND((csv!$HG5/10+calc!DR$1),1)</f>
        <v>0.3</v>
      </c>
      <c r="DS5" s="4">
        <f>ROUND((csv!$HG5/10+calc!DS$1),1)</f>
        <v>0.4</v>
      </c>
      <c r="DT5" s="4">
        <f>ROUND((csv!$HG5/10+calc!DT$1),1)</f>
        <v>0.5</v>
      </c>
      <c r="DU5" s="4">
        <f>ROUND((csv!$HG5/10+calc!DU$1),1)</f>
        <v>0.6</v>
      </c>
      <c r="DV5" s="4">
        <f>ROUND((csv!$HG5/10+calc!DV$1),1)</f>
        <v>0.7</v>
      </c>
      <c r="DW5" s="4">
        <f>ROUND((csv!$HG5/10+calc!DW$1),1)</f>
        <v>0.8</v>
      </c>
      <c r="DX5" s="4">
        <f>ROUND((csv!$HG5/10+calc!DX$1),1)</f>
        <v>0.9</v>
      </c>
      <c r="DY5" s="4">
        <f>ROUND((csv!$HG5/10+calc!DY$1),1)</f>
        <v>1</v>
      </c>
      <c r="DZ5" s="4">
        <f>ROUND((csv!$HG5/10+calc!DZ$1),1)</f>
        <v>1.1000000000000001</v>
      </c>
      <c r="EA5" s="4">
        <f>ROUND((csv!$HG5/10+calc!EA$1),1)</f>
        <v>1.2</v>
      </c>
      <c r="EB5" s="4">
        <f>ROUND((csv!$HG5/10+calc!EB$1),1)</f>
        <v>1.3</v>
      </c>
      <c r="EC5" s="4">
        <f>ROUND((csv!$HG5/10+calc!EC$1),1)</f>
        <v>1.4</v>
      </c>
      <c r="ED5" s="4">
        <f>ROUND((csv!$HG5/10+calc!ED$1),1)</f>
        <v>1.5</v>
      </c>
      <c r="EE5" s="4">
        <f>ROUND((csv!$HG5/10+calc!EE$1),1)</f>
        <v>1.6</v>
      </c>
      <c r="EF5" s="4">
        <f>ROUND((csv!$HG5/10+calc!EF$1),1)</f>
        <v>1.7</v>
      </c>
      <c r="EG5" s="4">
        <f>ROUND((csv!$HG5/10+calc!EG$1),1)</f>
        <v>1.8</v>
      </c>
      <c r="EH5" s="4">
        <f>ROUND((csv!$HG5/10+calc!EH$1),1)</f>
        <v>1.9</v>
      </c>
      <c r="EI5" s="4">
        <f>ROUND((csv!$HG5/10+calc!EI$1),1)</f>
        <v>2</v>
      </c>
      <c r="EJ5" s="4">
        <f>ROUND((csv!$HG5/10+calc!EJ$1),1)</f>
        <v>2.1</v>
      </c>
      <c r="EK5" s="4">
        <f>ROUND((csv!$HG5/10+calc!EK$1),1)</f>
        <v>2.2000000000000002</v>
      </c>
      <c r="EL5" s="4">
        <f>ROUND((csv!$HG5/10+calc!EL$1),1)</f>
        <v>2.2999999999999998</v>
      </c>
      <c r="EM5" s="4">
        <f>ROUND((csv!$HG5/10+calc!EM$1),1)</f>
        <v>2.4</v>
      </c>
      <c r="EN5" s="4">
        <f>ROUND((csv!$HG5/10+calc!EN$1),1)</f>
        <v>2.5</v>
      </c>
      <c r="EO5" s="4">
        <f>ROUND((csv!$HG5/10+calc!EO$1),1)</f>
        <v>2.6</v>
      </c>
      <c r="EP5" s="4">
        <f>ROUND((csv!$HG5/10+calc!EP$1),1)</f>
        <v>2.7</v>
      </c>
      <c r="EQ5" s="4">
        <f>ROUND((csv!$HG5/10+calc!EQ$1),1)</f>
        <v>2.8</v>
      </c>
      <c r="ER5" s="4">
        <f>ROUND((csv!$HG5/10+calc!ER$1),1)</f>
        <v>2.9</v>
      </c>
      <c r="ES5" s="4">
        <f>ROUND((csv!$HG5/10+calc!ES$1),1)</f>
        <v>3</v>
      </c>
      <c r="ET5" s="4">
        <f>ROUND((csv!$HG5/10+calc!ET$1),1)</f>
        <v>3.1</v>
      </c>
      <c r="EU5" s="4">
        <f>ROUND((csv!$HG5/10+calc!EU$1),1)</f>
        <v>3.2</v>
      </c>
      <c r="EV5" s="4">
        <f>ROUND((csv!$HG5/10+calc!EV$1),1)</f>
        <v>3.3</v>
      </c>
      <c r="EW5" s="4">
        <f>ROUND((csv!$HG5/10+calc!EW$1),1)</f>
        <v>3.4</v>
      </c>
      <c r="EX5" s="4">
        <f>ROUND((csv!$HG5/10+calc!EX$1),1)</f>
        <v>3.5</v>
      </c>
      <c r="EY5" s="4">
        <f>ROUND((csv!$HG5/10+calc!EY$1),1)</f>
        <v>3.6</v>
      </c>
      <c r="EZ5" s="4">
        <f>ROUND((csv!$HG5/10+calc!EZ$1),1)</f>
        <v>3.7</v>
      </c>
      <c r="FA5" s="4">
        <f>ROUND((csv!$HG5/10+calc!FA$1),1)</f>
        <v>3.8</v>
      </c>
      <c r="FB5" s="4">
        <f>ROUND((csv!$HG5/10+calc!FB$1),1)</f>
        <v>3.9</v>
      </c>
      <c r="FC5" s="4">
        <f>ROUND((csv!$HG5/10+calc!FC$1),1)</f>
        <v>4</v>
      </c>
      <c r="FD5" s="4">
        <f>ROUND((csv!$HG5/10+calc!FD$1),1)</f>
        <v>4.0999999999999996</v>
      </c>
      <c r="FE5" s="4">
        <f>ROUND((csv!$HG5/10+calc!FE$1),1)</f>
        <v>4.2</v>
      </c>
      <c r="FF5" s="4">
        <f>ROUND((csv!$HG5/10+calc!FF$1),1)</f>
        <v>4.3</v>
      </c>
      <c r="FG5" s="4">
        <f>ROUND((csv!$HG5/10+calc!FG$1),1)</f>
        <v>4.4000000000000004</v>
      </c>
      <c r="FH5" s="4">
        <f>ROUND((csv!$HG5/10+calc!FH$1),1)</f>
        <v>4.5</v>
      </c>
      <c r="FI5" s="4">
        <f>ROUND((csv!$HG5/10+calc!FI$1),1)</f>
        <v>4.5999999999999996</v>
      </c>
      <c r="FJ5" s="4">
        <f>ROUND((csv!$HG5/10+calc!FJ$1),1)</f>
        <v>4.7</v>
      </c>
      <c r="FK5" s="4">
        <f>ROUND((csv!$HG5/10+calc!FK$1),1)</f>
        <v>4.8</v>
      </c>
      <c r="FL5" s="4">
        <f>ROUND((csv!$HG5/10+calc!FL$1),1)</f>
        <v>4.9000000000000004</v>
      </c>
      <c r="FM5" s="4">
        <f>ROUND((csv!$HG5/10+calc!FM$1),1)</f>
        <v>5</v>
      </c>
      <c r="FN5" s="4">
        <f>ROUND((csv!$HG5/10+calc!FN$1),1)</f>
        <v>5.0999999999999996</v>
      </c>
      <c r="FO5" s="4">
        <f>ROUND((csv!$HG5/10+calc!FO$1),1)</f>
        <v>5.2</v>
      </c>
      <c r="FP5" s="4">
        <f>ROUND((csv!$HG5/10+calc!FP$1),1)</f>
        <v>5.3</v>
      </c>
      <c r="FQ5" s="4">
        <f>ROUND((csv!$HG5/10+calc!FQ$1),1)</f>
        <v>5.4</v>
      </c>
      <c r="FR5" s="4">
        <f>ROUND((csv!$HG5/10+calc!FR$1),1)</f>
        <v>5.5</v>
      </c>
      <c r="FS5" s="4">
        <f>ROUND((csv!$HG5/10+calc!FS$1),1)</f>
        <v>5.6</v>
      </c>
      <c r="FT5" s="4">
        <f>ROUND((csv!$HG5/10+calc!FT$1),1)</f>
        <v>5.7</v>
      </c>
      <c r="FU5" s="4">
        <f>ROUND((csv!$HG5/10+calc!FU$1),1)</f>
        <v>5.8</v>
      </c>
      <c r="FV5" s="4">
        <f>ROUND((csv!$HG5/10+calc!FV$1),1)</f>
        <v>5.9</v>
      </c>
      <c r="FW5" s="4">
        <f>ROUND((csv!$HG5/10+calc!FW$1),1)</f>
        <v>6</v>
      </c>
      <c r="FX5" s="4">
        <f>ROUND((csv!$HG5/10+calc!FX$1),1)</f>
        <v>6.1</v>
      </c>
      <c r="FY5" s="4">
        <f>ROUND((csv!$HG5/10+calc!FY$1),1)</f>
        <v>6.2</v>
      </c>
      <c r="FZ5" s="4">
        <f>ROUND((csv!$HG5/10+calc!FZ$1),1)</f>
        <v>6.3</v>
      </c>
      <c r="GA5" s="4">
        <f>ROUND((csv!$HG5/10+calc!GA$1),1)</f>
        <v>6.4</v>
      </c>
      <c r="GB5" s="4">
        <f>ROUND((csv!$HG5/10+calc!GB$1),1)</f>
        <v>6.5</v>
      </c>
      <c r="GC5" s="4">
        <f>ROUND((csv!$HG5/10+calc!GC$1),1)</f>
        <v>6.6</v>
      </c>
      <c r="GD5" s="4">
        <f>ROUND((csv!$HG5/10+calc!GD$1),1)</f>
        <v>6.7</v>
      </c>
      <c r="GE5" s="4">
        <f>ROUND((csv!$HG5/10+calc!GE$1),1)</f>
        <v>6.8</v>
      </c>
      <c r="GF5" s="4">
        <f>ROUND((csv!$HG5/10+calc!GF$1),1)</f>
        <v>6.9</v>
      </c>
      <c r="GG5" s="4">
        <f>ROUND((csv!$HG5/10+calc!GG$1),1)</f>
        <v>7</v>
      </c>
      <c r="GH5" s="4">
        <f>ROUND((csv!$HG5/10+calc!GH$1),1)</f>
        <v>7.1</v>
      </c>
      <c r="GI5" s="4">
        <f>ROUND((csv!$HG5/10+calc!GI$1),1)</f>
        <v>7.2</v>
      </c>
      <c r="GJ5" s="4">
        <f>ROUND((csv!$HG5/10+calc!GJ$1),1)</f>
        <v>7.3</v>
      </c>
      <c r="GK5" s="4">
        <f>ROUND((csv!$HG5/10+calc!GK$1),1)</f>
        <v>7.4</v>
      </c>
      <c r="GL5" s="4">
        <f>ROUND((csv!$HG5/10+calc!GL$1),1)</f>
        <v>7.5</v>
      </c>
      <c r="GM5" s="4">
        <f>ROUND((csv!$HG5/10+calc!GM$1),1)</f>
        <v>7.6</v>
      </c>
      <c r="GN5" s="4">
        <f>ROUND((csv!$HG5/10+calc!GN$1),1)</f>
        <v>7.7</v>
      </c>
      <c r="GO5" s="4">
        <f>ROUND((csv!$HG5/10+calc!GO$1),1)</f>
        <v>7.8</v>
      </c>
      <c r="GP5" s="4">
        <f>ROUND((csv!$HG5/10+calc!GP$1),1)</f>
        <v>7.9</v>
      </c>
      <c r="GQ5" s="4">
        <f>ROUND((csv!$HG5/10+calc!GQ$1),1)</f>
        <v>8</v>
      </c>
      <c r="GR5" s="4">
        <f>ROUND((csv!$HG5/10+calc!GR$1),1)</f>
        <v>8.1</v>
      </c>
      <c r="GS5" s="4">
        <f>ROUND((csv!$HG5/10+calc!GS$1),1)</f>
        <v>8.1999999999999993</v>
      </c>
      <c r="GT5" s="4">
        <f>ROUND((csv!$HG5/10+calc!GT$1),1)</f>
        <v>8.3000000000000007</v>
      </c>
      <c r="GU5" s="4">
        <f>ROUND((csv!$HG5/10+calc!GU$1),1)</f>
        <v>8.4</v>
      </c>
      <c r="GV5" s="4">
        <f>ROUND((csv!$HG5/10+calc!GV$1),1)</f>
        <v>8.5</v>
      </c>
      <c r="GW5" s="4">
        <f>ROUND((csv!$HG5/10+calc!GW$1),1)</f>
        <v>8.6</v>
      </c>
      <c r="GX5" s="4">
        <f>ROUND((csv!$HG5/10+calc!GX$1),1)</f>
        <v>8.6999999999999993</v>
      </c>
      <c r="GY5" s="4">
        <f>ROUND((csv!$HG5/10+calc!GY$1),1)</f>
        <v>8.8000000000000007</v>
      </c>
      <c r="GZ5" s="4">
        <f>ROUND((csv!$HG5/10+calc!GZ$1),1)</f>
        <v>8.9</v>
      </c>
      <c r="HA5" s="4">
        <f>ROUND((csv!$HG5/10+calc!HA$1),1)</f>
        <v>9</v>
      </c>
      <c r="HB5" s="4">
        <f>ROUND((csv!$HG5/10+calc!HB$1),1)</f>
        <v>9.1</v>
      </c>
      <c r="HC5" s="4">
        <f>ROUND((csv!$HG5/10+calc!HC$1),1)</f>
        <v>9.1999999999999993</v>
      </c>
      <c r="HD5" s="4">
        <f>ROUND((csv!$HG5/10+calc!HD$1),1)</f>
        <v>9.3000000000000007</v>
      </c>
      <c r="HE5" s="4">
        <f>ROUND((csv!$HG5/10+calc!HE$1),1)</f>
        <v>9.4</v>
      </c>
      <c r="HF5" s="4">
        <f>ROUND((csv!$HG5/10+calc!HF$1),1)</f>
        <v>9.5</v>
      </c>
      <c r="HG5" s="4">
        <f>ROUND((csv!$HG5/10+calc!HG$1),1)</f>
        <v>9.6</v>
      </c>
      <c r="HH5" s="4">
        <f>ROUND((csv!$HG5/10+calc!HH$1),1)</f>
        <v>9.6999999999999993</v>
      </c>
      <c r="HI5" s="4">
        <f>ROUND((csv!$HG5/10+calc!HI$1),1)</f>
        <v>9.8000000000000007</v>
      </c>
      <c r="HJ5" s="4">
        <f>ROUND((csv!$HG5/10+calc!HJ$1),1)</f>
        <v>9.9</v>
      </c>
      <c r="HK5" s="4">
        <f>ROUND((csv!$HG5/10+calc!HK$1),1)</f>
        <v>10</v>
      </c>
      <c r="HM5" s="2">
        <f>csv!A5*10000+csv!B5*100+csv!C5</f>
        <v>0</v>
      </c>
      <c r="HN5" s="5">
        <f>IF(ISERROR(LOOKUP(HN$1,$S5:$HK5,csv!$L5:$HD5)),NA(),LOOKUP(HN$1,$S5:$HK5,csv!$L5:$HD5))</f>
        <v>0</v>
      </c>
      <c r="HO5" s="5">
        <f>IF(ISERROR(LOOKUP(HO$1,$S5:$HK5,csv!$L5:$HD5)),NA(),LOOKUP(HO$1,$S5:$HK5,csv!$L5:$HD5))</f>
        <v>0</v>
      </c>
      <c r="HP5" s="5">
        <f>IF(ISERROR(LOOKUP(HP$1,$S5:$HK5,csv!$L5:$HD5)),NA(),LOOKUP(HP$1,$S5:$HK5,csv!$L5:$HD5))</f>
        <v>0</v>
      </c>
      <c r="HQ5" s="5">
        <f>IF(ISERROR(LOOKUP(HQ$1,$S5:$HK5,csv!$L5:$HD5)),NA(),LOOKUP(HQ$1,$S5:$HK5,csv!$L5:$HD5))</f>
        <v>0</v>
      </c>
      <c r="HR5" s="5">
        <f>IF(ISERROR(LOOKUP(HR$1,$S5:$HK5,csv!$L5:$HD5)),NA(),LOOKUP(HR$1,$S5:$HK5,csv!$L5:$HD5))</f>
        <v>0</v>
      </c>
      <c r="HS5" s="5">
        <f>IF(ISERROR(LOOKUP(HS$1,$S5:$HK5,csv!$L5:$HD5)),NA(),LOOKUP(HS$1,$S5:$HK5,csv!$L5:$HD5))</f>
        <v>0</v>
      </c>
      <c r="HT5" s="5">
        <f>IF(ISERROR(LOOKUP(HT$1,$S5:$HK5,csv!$L5:$HD5)),NA(),LOOKUP(HT$1,$S5:$HK5,csv!$L5:$HD5))</f>
        <v>0</v>
      </c>
      <c r="HU5" s="5">
        <f>IF(ISERROR(LOOKUP(HU$1,$S5:$HK5,csv!$L5:$HD5)),NA(),LOOKUP(HU$1,$S5:$HK5,csv!$L5:$HD5))</f>
        <v>0</v>
      </c>
      <c r="HV5" s="5">
        <f>IF(ISERROR(LOOKUP(HV$1,$S5:$HK5,csv!$L5:$HD5)),NA(),LOOKUP(HV$1,$S5:$HK5,csv!$L5:$HD5))</f>
        <v>0</v>
      </c>
      <c r="HW5" s="5">
        <f>IF(ISERROR(LOOKUP(HW$1,$S5:$HK5,csv!$L5:$HD5)),NA(),LOOKUP(HW$1,$S5:$HK5,csv!$L5:$HD5))</f>
        <v>0</v>
      </c>
      <c r="HX5" s="5">
        <f>IF(ISERROR(LOOKUP(HX$1,$S5:$HK5,csv!$L5:$HD5)),NA(),LOOKUP(HX$1,$S5:$HK5,csv!$L5:$HD5))</f>
        <v>0</v>
      </c>
      <c r="HY5" s="5">
        <f>IF(ISERROR(LOOKUP(HY$1,$S5:$HK5,csv!$L5:$HD5)),NA(),LOOKUP(HY$1,$S5:$HK5,csv!$L5:$HD5))</f>
        <v>0</v>
      </c>
      <c r="HZ5" s="5">
        <f>IF(ISERROR(LOOKUP(HZ$1,$S5:$HK5,csv!$L5:$HD5)),NA(),LOOKUP(HZ$1,$S5:$HK5,csv!$L5:$HD5))</f>
        <v>0</v>
      </c>
      <c r="IA5" s="5">
        <f>IF(ISERROR(LOOKUP(IA$1,$S5:$HK5,csv!$L5:$HD5)),NA(),LOOKUP(IA$1,$S5:$HK5,csv!$L5:$HD5))</f>
        <v>0</v>
      </c>
      <c r="IB5" s="5">
        <f>IF(ISERROR(LOOKUP(IB$1,$S5:$HK5,csv!$L5:$HD5)),NA(),LOOKUP(IB$1,$S5:$HK5,csv!$L5:$HD5))</f>
        <v>0</v>
      </c>
      <c r="IC5" s="5">
        <f>IF(ISERROR(LOOKUP(IC$1,$S5:$HK5,csv!$L5:$HD5)),NA(),LOOKUP(IC$1,$S5:$HK5,csv!$L5:$HD5))</f>
        <v>0</v>
      </c>
      <c r="ID5" s="5">
        <f>IF(ISERROR(LOOKUP(ID$1,$S5:$HK5,csv!$L5:$HD5)),NA(),LOOKUP(ID$1,$S5:$HK5,csv!$L5:$HD5))</f>
        <v>0</v>
      </c>
      <c r="IE5" s="5">
        <f>IF(ISERROR(LOOKUP(IE$1,$S5:$HK5,csv!$L5:$HD5)),NA(),LOOKUP(IE$1,$S5:$HK5,csv!$L5:$HD5))</f>
        <v>0</v>
      </c>
      <c r="IF5" s="5">
        <f>IF(ISERROR(LOOKUP(IF$1,$S5:$HK5,csv!$L5:$HD5)),NA(),LOOKUP(IF$1,$S5:$HK5,csv!$L5:$HD5))</f>
        <v>0</v>
      </c>
      <c r="IG5" s="5">
        <f>IF(ISERROR(LOOKUP(IG$1,$S5:$HK5,csv!$L5:$HD5)),NA(),LOOKUP(IG$1,$S5:$HK5,csv!$L5:$HD5))</f>
        <v>0</v>
      </c>
      <c r="IH5" s="5">
        <f>IF(ISERROR(LOOKUP(IH$1,$S5:$HK5,csv!$L5:$HD5)),NA(),LOOKUP(IH$1,$S5:$HK5,csv!$L5:$HD5))</f>
        <v>0</v>
      </c>
      <c r="II5" s="5">
        <f>IF(ISERROR(LOOKUP(II$1,$S5:$HK5,csv!$L5:$HD5)),NA(),LOOKUP(II$1,$S5:$HK5,csv!$L5:$HD5))</f>
        <v>0</v>
      </c>
      <c r="IJ5" s="5">
        <f>IF(ISERROR(LOOKUP(IJ$1,$S5:$HK5,csv!$L5:$HD5)),NA(),LOOKUP(IJ$1,$S5:$HK5,csv!$L5:$HD5))</f>
        <v>0</v>
      </c>
      <c r="IK5" s="5">
        <f>IF(ISERROR(LOOKUP(IK$1,$S5:$HK5,csv!$L5:$HD5)),NA(),LOOKUP(IK$1,$S5:$HK5,csv!$L5:$HD5))</f>
        <v>0</v>
      </c>
      <c r="IL5" s="5">
        <f>IF(ISERROR(LOOKUP(IL$1,$S5:$HK5,csv!$L5:$HD5)),NA(),LOOKUP(IL$1,$S5:$HK5,csv!$L5:$HD5))</f>
        <v>0</v>
      </c>
      <c r="IM5" s="5">
        <f>IF(ISERROR(LOOKUP(IM$1,$S5:$HK5,csv!$L5:$HD5)),NA(),LOOKUP(IM$1,$S5:$HK5,csv!$L5:$HD5))</f>
        <v>0</v>
      </c>
      <c r="IN5" s="5">
        <f>IF(ISERROR(LOOKUP(IN$1,$S5:$HK5,csv!$L5:$HD5)),NA(),LOOKUP(IN$1,$S5:$HK5,csv!$L5:$HD5))</f>
        <v>0</v>
      </c>
      <c r="IO5" s="5">
        <f>IF(ISERROR(LOOKUP(IO$1,$S5:$HK5,csv!$L5:$HD5)),NA(),LOOKUP(IO$1,$S5:$HK5,csv!$L5:$HD5))</f>
        <v>0</v>
      </c>
      <c r="IP5" s="5">
        <f>IF(ISERROR(LOOKUP(IP$1,$S5:$HK5,csv!$L5:$HD5)),NA(),LOOKUP(IP$1,$S5:$HK5,csv!$L5:$HD5))</f>
        <v>0</v>
      </c>
      <c r="IQ5" s="5">
        <f>IF(ISERROR(LOOKUP(IQ$1,$S5:$HK5,csv!$L5:$HD5)),NA(),LOOKUP(IQ$1,$S5:$HK5,csv!$L5:$HD5))</f>
        <v>0</v>
      </c>
      <c r="IR5" s="5">
        <f>IF(ISERROR(LOOKUP(IR$1,$S5:$HK5,csv!$L5:$HD5)),NA(),LOOKUP(IR$1,$S5:$HK5,csv!$L5:$HD5))</f>
        <v>0</v>
      </c>
      <c r="IS5" s="5">
        <f>IF(ISERROR(LOOKUP(IS$1,$S5:$HK5,csv!$L5:$HD5)),NA(),LOOKUP(IS$1,$S5:$HK5,csv!$L5:$HD5))</f>
        <v>0</v>
      </c>
      <c r="IT5" s="5">
        <f>IF(ISERROR(LOOKUP(IT$1,$S5:$HK5,csv!$L5:$HD5)),NA(),LOOKUP(IT$1,$S5:$HK5,csv!$L5:$HD5))</f>
        <v>0</v>
      </c>
      <c r="IU5" s="5">
        <f>IF(ISERROR(LOOKUP(IU$1,$S5:$HK5,csv!$L5:$HD5)),NA(),LOOKUP(IU$1,$S5:$HK5,csv!$L5:$HD5))</f>
        <v>0</v>
      </c>
      <c r="IV5" s="5">
        <f>IF(ISERROR(LOOKUP(IV$1,$S5:$HK5,csv!$L5:$HD5)),NA(),LOOKUP(IV$1,$S5:$HK5,csv!$L5:$HD5))</f>
        <v>0</v>
      </c>
      <c r="IW5" s="5">
        <f>IF(ISERROR(LOOKUP(IW$1,$S5:$HK5,csv!$L5:$HD5)),NA(),LOOKUP(IW$1,$S5:$HK5,csv!$L5:$HD5))</f>
        <v>0</v>
      </c>
      <c r="IX5" s="5">
        <f>IF(ISERROR(LOOKUP(IX$1,$S5:$HK5,csv!$L5:$HD5)),NA(),LOOKUP(IX$1,$S5:$HK5,csv!$L5:$HD5))</f>
        <v>0</v>
      </c>
      <c r="IY5" s="5">
        <f>IF(ISERROR(LOOKUP(IY$1,$S5:$HK5,csv!$L5:$HD5)),NA(),LOOKUP(IY$1,$S5:$HK5,csv!$L5:$HD5))</f>
        <v>0</v>
      </c>
      <c r="IZ5" s="5">
        <f>IF(ISERROR(LOOKUP(IZ$1,$S5:$HK5,csv!$L5:$HD5)),NA(),LOOKUP(IZ$1,$S5:$HK5,csv!$L5:$HD5))</f>
        <v>0</v>
      </c>
      <c r="JA5" s="5">
        <f>IF(ISERROR(LOOKUP(JA$1,$S5:$HK5,csv!$L5:$HD5)),NA(),LOOKUP(JA$1,$S5:$HK5,csv!$L5:$HD5))</f>
        <v>0</v>
      </c>
      <c r="JB5" s="5">
        <f>IF(ISERROR(LOOKUP(JB$1,$S5:$HK5,csv!$L5:$HD5)),NA(),LOOKUP(JB$1,$S5:$HK5,csv!$L5:$HD5))</f>
        <v>0</v>
      </c>
      <c r="JC5" s="5">
        <f>IF(ISERROR(LOOKUP(JC$1,$S5:$HK5,csv!$L5:$HD5)),NA(),LOOKUP(JC$1,$S5:$HK5,csv!$L5:$HD5))</f>
        <v>0</v>
      </c>
      <c r="JD5" s="5">
        <f>IF(ISERROR(LOOKUP(JD$1,$S5:$HK5,csv!$L5:$HD5)),NA(),LOOKUP(JD$1,$S5:$HK5,csv!$L5:$HD5))</f>
        <v>0</v>
      </c>
      <c r="JE5" s="5">
        <f>IF(ISERROR(LOOKUP(JE$1,$S5:$HK5,csv!$L5:$HD5)),NA(),LOOKUP(JE$1,$S5:$HK5,csv!$L5:$HD5))</f>
        <v>0</v>
      </c>
      <c r="JF5" s="5">
        <f>IF(ISERROR(LOOKUP(JF$1,$S5:$HK5,csv!$L5:$HD5)),NA(),LOOKUP(JF$1,$S5:$HK5,csv!$L5:$HD5))</f>
        <v>0</v>
      </c>
      <c r="JG5" s="5">
        <f>IF(ISERROR(LOOKUP(JG$1,$S5:$HK5,csv!$L5:$HD5)),NA(),LOOKUP(JG$1,$S5:$HK5,csv!$L5:$HD5))</f>
        <v>0</v>
      </c>
      <c r="JH5" s="5">
        <f>IF(ISERROR(LOOKUP(JH$1,$S5:$HK5,csv!$L5:$HD5)),NA(),LOOKUP(JH$1,$S5:$HK5,csv!$L5:$HD5))</f>
        <v>0</v>
      </c>
      <c r="JI5" s="5">
        <f>IF(ISERROR(LOOKUP(JI$1,$S5:$HK5,csv!$L5:$HD5)),NA(),LOOKUP(JI$1,$S5:$HK5,csv!$L5:$HD5))</f>
        <v>0</v>
      </c>
      <c r="JJ5" s="5">
        <f>IF(ISERROR(LOOKUP(JJ$1,$S5:$HK5,csv!$L5:$HD5)),NA(),LOOKUP(JJ$1,$S5:$HK5,csv!$L5:$HD5))</f>
        <v>0</v>
      </c>
      <c r="JK5" s="5">
        <f>IF(ISERROR(LOOKUP(JK$1,$S5:$HK5,csv!$L5:$HD5)),NA(),LOOKUP(JK$1,$S5:$HK5,csv!$L5:$HD5))</f>
        <v>0</v>
      </c>
      <c r="JL5" s="5">
        <f>IF(ISERROR(LOOKUP(JL$1,$S5:$HK5,csv!$L5:$HD5)),NA(),LOOKUP(JL$1,$S5:$HK5,csv!$L5:$HD5))</f>
        <v>0</v>
      </c>
      <c r="JM5" s="5">
        <f>IF(ISERROR(LOOKUP(JM$1,$S5:$HK5,csv!$L5:$HD5)),NA(),LOOKUP(JM$1,$S5:$HK5,csv!$L5:$HD5))</f>
        <v>0</v>
      </c>
      <c r="JN5" s="5">
        <f>IF(ISERROR(LOOKUP(JN$1,$S5:$HK5,csv!$L5:$HD5)),NA(),LOOKUP(JN$1,$S5:$HK5,csv!$L5:$HD5))</f>
        <v>0</v>
      </c>
      <c r="JO5" s="5">
        <f>IF(ISERROR(LOOKUP(JO$1,$S5:$HK5,csv!$L5:$HD5)),NA(),LOOKUP(JO$1,$S5:$HK5,csv!$L5:$HD5))</f>
        <v>0</v>
      </c>
      <c r="JP5" s="5">
        <f>IF(ISERROR(LOOKUP(JP$1,$S5:$HK5,csv!$L5:$HD5)),NA(),LOOKUP(JP$1,$S5:$HK5,csv!$L5:$HD5))</f>
        <v>0</v>
      </c>
      <c r="JQ5" s="5">
        <f>IF(ISERROR(LOOKUP(JQ$1,$S5:$HK5,csv!$L5:$HD5)),NA(),LOOKUP(JQ$1,$S5:$HK5,csv!$L5:$HD5))</f>
        <v>0</v>
      </c>
      <c r="JR5" s="5">
        <f>IF(ISERROR(LOOKUP(JR$1,$S5:$HK5,csv!$L5:$HD5)),NA(),LOOKUP(JR$1,$S5:$HK5,csv!$L5:$HD5))</f>
        <v>0</v>
      </c>
      <c r="JS5" s="5">
        <f>IF(ISERROR(LOOKUP(JS$1,$S5:$HK5,csv!$L5:$HD5)),NA(),LOOKUP(JS$1,$S5:$HK5,csv!$L5:$HD5))</f>
        <v>0</v>
      </c>
      <c r="JT5" s="5">
        <f>IF(ISERROR(LOOKUP(JT$1,$S5:$HK5,csv!$L5:$HD5)),NA(),LOOKUP(JT$1,$S5:$HK5,csv!$L5:$HD5))</f>
        <v>0</v>
      </c>
      <c r="JU5" s="5">
        <f>IF(ISERROR(LOOKUP(JU$1,$S5:$HK5,csv!$L5:$HD5)),NA(),LOOKUP(JU$1,$S5:$HK5,csv!$L5:$HD5))</f>
        <v>0</v>
      </c>
      <c r="JV5" s="5">
        <f>IF(ISERROR(LOOKUP(JV$1,$S5:$HK5,csv!$L5:$HD5)),NA(),LOOKUP(JV$1,$S5:$HK5,csv!$L5:$HD5))</f>
        <v>0</v>
      </c>
      <c r="JW5" s="5">
        <f>IF(ISERROR(LOOKUP(JW$1,$S5:$HK5,csv!$L5:$HD5)),NA(),LOOKUP(JW$1,$S5:$HK5,csv!$L5:$HD5))</f>
        <v>0</v>
      </c>
      <c r="JX5" s="5">
        <f>IF(ISERROR(LOOKUP(JX$1,$S5:$HK5,csv!$L5:$HD5)),NA(),LOOKUP(JX$1,$S5:$HK5,csv!$L5:$HD5))</f>
        <v>0</v>
      </c>
      <c r="JY5" s="5">
        <f>IF(ISERROR(LOOKUP(JY$1,$S5:$HK5,csv!$L5:$HD5)),NA(),LOOKUP(JY$1,$S5:$HK5,csv!$L5:$HD5))</f>
        <v>0</v>
      </c>
      <c r="JZ5" s="5">
        <f>IF(ISERROR(LOOKUP(JZ$1,$S5:$HK5,csv!$L5:$HD5)),NA(),LOOKUP(JZ$1,$S5:$HK5,csv!$L5:$HD5))</f>
        <v>0</v>
      </c>
      <c r="KA5" s="5">
        <f>IF(ISERROR(LOOKUP(KA$1,$S5:$HK5,csv!$L5:$HD5)),NA(),LOOKUP(KA$1,$S5:$HK5,csv!$L5:$HD5))</f>
        <v>0</v>
      </c>
      <c r="KB5" s="5">
        <f>IF(ISERROR(LOOKUP(KB$1,$S5:$HK5,csv!$L5:$HD5)),NA(),LOOKUP(KB$1,$S5:$HK5,csv!$L5:$HD5))</f>
        <v>0</v>
      </c>
      <c r="KC5" s="5">
        <f>IF(ISERROR(LOOKUP(KC$1,$S5:$HK5,csv!$L5:$HD5)),NA(),LOOKUP(KC$1,$S5:$HK5,csv!$L5:$HD5))</f>
        <v>0</v>
      </c>
      <c r="KD5" s="5">
        <f>IF(ISERROR(LOOKUP(KD$1,$S5:$HK5,csv!$L5:$HD5)),NA(),LOOKUP(KD$1,$S5:$HK5,csv!$L5:$HD5))</f>
        <v>0</v>
      </c>
      <c r="KE5" s="5">
        <f>IF(ISERROR(LOOKUP(KE$1,$S5:$HK5,csv!$L5:$HD5)),NA(),LOOKUP(KE$1,$S5:$HK5,csv!$L5:$HD5))</f>
        <v>0</v>
      </c>
      <c r="KF5" s="5">
        <f>IF(ISERROR(LOOKUP(KF$1,$S5:$HK5,csv!$L5:$HD5)),NA(),LOOKUP(KF$1,$S5:$HK5,csv!$L5:$HD5))</f>
        <v>0</v>
      </c>
      <c r="KG5" s="5">
        <f>IF(ISERROR(LOOKUP(KG$1,$S5:$HK5,csv!$L5:$HD5)),NA(),LOOKUP(KG$1,$S5:$HK5,csv!$L5:$HD5))</f>
        <v>0</v>
      </c>
      <c r="KH5" s="5">
        <f>IF(ISERROR(LOOKUP(KH$1,$S5:$HK5,csv!$L5:$HD5)),NA(),LOOKUP(KH$1,$S5:$HK5,csv!$L5:$HD5))</f>
        <v>0</v>
      </c>
      <c r="KI5" s="5">
        <f>IF(ISERROR(LOOKUP(KI$1,$S5:$HK5,csv!$L5:$HD5)),NA(),LOOKUP(KI$1,$S5:$HK5,csv!$L5:$HD5))</f>
        <v>0</v>
      </c>
      <c r="KJ5" s="5">
        <f>IF(ISERROR(LOOKUP(KJ$1,$S5:$HK5,csv!$L5:$HD5)),NA(),LOOKUP(KJ$1,$S5:$HK5,csv!$L5:$HD5))</f>
        <v>0</v>
      </c>
      <c r="KK5" s="5">
        <f>IF(ISERROR(LOOKUP(KK$1,$S5:$HK5,csv!$L5:$HD5)),NA(),LOOKUP(KK$1,$S5:$HK5,csv!$L5:$HD5))</f>
        <v>0</v>
      </c>
      <c r="KL5" s="5">
        <f>IF(ISERROR(LOOKUP(KL$1,$S5:$HK5,csv!$L5:$HD5)),NA(),LOOKUP(KL$1,$S5:$HK5,csv!$L5:$HD5))</f>
        <v>0</v>
      </c>
      <c r="KM5" s="5">
        <f>IF(ISERROR(LOOKUP(KM$1,$S5:$HK5,csv!$L5:$HD5)),NA(),LOOKUP(KM$1,$S5:$HK5,csv!$L5:$HD5))</f>
        <v>0</v>
      </c>
      <c r="KN5" s="5">
        <f>IF(ISERROR(LOOKUP(KN$1,$S5:$HK5,csv!$L5:$HD5)),NA(),LOOKUP(KN$1,$S5:$HK5,csv!$L5:$HD5))</f>
        <v>0</v>
      </c>
      <c r="KO5" s="5">
        <f>IF(ISERROR(LOOKUP(KO$1,$S5:$HK5,csv!$L5:$HD5)),NA(),LOOKUP(KO$1,$S5:$HK5,csv!$L5:$HD5))</f>
        <v>0</v>
      </c>
      <c r="KP5" s="5">
        <f>IF(ISERROR(LOOKUP(KP$1,$S5:$HK5,csv!$L5:$HD5)),NA(),LOOKUP(KP$1,$S5:$HK5,csv!$L5:$HD5))</f>
        <v>0</v>
      </c>
      <c r="KQ5" s="5">
        <f>IF(ISERROR(LOOKUP(KQ$1,$S5:$HK5,csv!$L5:$HD5)),NA(),LOOKUP(KQ$1,$S5:$HK5,csv!$L5:$HD5))</f>
        <v>0</v>
      </c>
      <c r="KR5" s="5">
        <f>IF(ISERROR(LOOKUP(KR$1,$S5:$HK5,csv!$L5:$HD5)),NA(),LOOKUP(KR$1,$S5:$HK5,csv!$L5:$HD5))</f>
        <v>0</v>
      </c>
      <c r="KS5" s="5">
        <f>IF(ISERROR(LOOKUP(KS$1,$S5:$HK5,csv!$L5:$HD5)),NA(),LOOKUP(KS$1,$S5:$HK5,csv!$L5:$HD5))</f>
        <v>0</v>
      </c>
      <c r="KT5" s="5">
        <f>IF(ISERROR(LOOKUP(KT$1,$S5:$HK5,csv!$L5:$HD5)),NA(),LOOKUP(KT$1,$S5:$HK5,csv!$L5:$HD5))</f>
        <v>0</v>
      </c>
      <c r="KU5" s="5">
        <f>IF(ISERROR(LOOKUP(KU$1,$S5:$HK5,csv!$L5:$HD5)),NA(),LOOKUP(KU$1,$S5:$HK5,csv!$L5:$HD5))</f>
        <v>0</v>
      </c>
      <c r="KV5" s="5">
        <f>IF(ISERROR(LOOKUP(KV$1,$S5:$HK5,csv!$L5:$HD5)),NA(),LOOKUP(KV$1,$S5:$HK5,csv!$L5:$HD5))</f>
        <v>0</v>
      </c>
      <c r="KW5" s="5">
        <f>IF(ISERROR(LOOKUP(KW$1,$S5:$HK5,csv!$L5:$HD5)),NA(),LOOKUP(KW$1,$S5:$HK5,csv!$L5:$HD5))</f>
        <v>0</v>
      </c>
      <c r="KX5" s="5">
        <f>IF(ISERROR(LOOKUP(KX$1,$S5:$HK5,csv!$L5:$HD5)),NA(),LOOKUP(KX$1,$S5:$HK5,csv!$L5:$HD5))</f>
        <v>0</v>
      </c>
      <c r="KY5" s="5">
        <f>IF(ISERROR(LOOKUP(KY$1,$S5:$HK5,csv!$L5:$HD5)),NA(),LOOKUP(KY$1,$S5:$HK5,csv!$L5:$HD5))</f>
        <v>0</v>
      </c>
      <c r="KZ5" s="5">
        <f>IF(ISERROR(LOOKUP(KZ$1,$S5:$HK5,csv!$L5:$HD5)),NA(),LOOKUP(KZ$1,$S5:$HK5,csv!$L5:$HD5))</f>
        <v>0</v>
      </c>
      <c r="LA5" s="5">
        <f>IF(ISERROR(LOOKUP(LA$1,$S5:$HK5,csv!$L5:$HD5)),NA(),LOOKUP(LA$1,$S5:$HK5,csv!$L5:$HD5))</f>
        <v>0</v>
      </c>
      <c r="LB5" s="5">
        <f>IF(ISERROR(LOOKUP(LB$1,$S5:$HK5,csv!$L5:$HD5)),NA(),LOOKUP(LB$1,$S5:$HK5,csv!$L5:$HD5))</f>
        <v>0</v>
      </c>
      <c r="LC5" s="5">
        <f>IF(ISERROR(LOOKUP(LC$1,$S5:$HK5,csv!$L5:$HD5)),NA(),LOOKUP(LC$1,$S5:$HK5,csv!$L5:$HD5))</f>
        <v>0</v>
      </c>
      <c r="LD5" s="5">
        <f>IF(ISERROR(LOOKUP(LD$1,$S5:$HK5,csv!$L5:$HD5)),NA(),LOOKUP(LD$1,$S5:$HK5,csv!$L5:$HD5))</f>
        <v>0</v>
      </c>
      <c r="LE5" s="5">
        <f>IF(ISERROR(LOOKUP(LE$1,$S5:$HK5,csv!$L5:$HD5)),NA(),LOOKUP(LE$1,$S5:$HK5,csv!$L5:$HD5))</f>
        <v>0</v>
      </c>
      <c r="LF5" s="5">
        <f>IF(ISERROR(LOOKUP(LF$1,$S5:$HK5,csv!$L5:$HD5)),NA(),LOOKUP(LF$1,$S5:$HK5,csv!$L5:$HD5))</f>
        <v>0</v>
      </c>
      <c r="LG5" s="5">
        <f>IF(ISERROR(LOOKUP(LG$1,$S5:$HK5,csv!$L5:$HD5)),NA(),LOOKUP(LG$1,$S5:$HK5,csv!$L5:$HD5))</f>
        <v>0</v>
      </c>
      <c r="LH5" s="5">
        <f>IF(ISERROR(LOOKUP(LH$1,$S5:$HK5,csv!$L5:$HD5)),NA(),LOOKUP(LH$1,$S5:$HK5,csv!$L5:$HD5))</f>
        <v>0</v>
      </c>
      <c r="LI5" s="5">
        <f>IF(ISERROR(LOOKUP(LI$1,$S5:$HK5,csv!$L5:$HD5)),NA(),LOOKUP(LI$1,$S5:$HK5,csv!$L5:$HD5))</f>
        <v>0</v>
      </c>
      <c r="LJ5" s="5">
        <f>IF(ISERROR(LOOKUP(LJ$1,$S5:$HK5,csv!$L5:$HD5)),NA(),LOOKUP(LJ$1,$S5:$HK5,csv!$L5:$HD5))</f>
        <v>0</v>
      </c>
      <c r="LK5" s="5">
        <f>IF(ISERROR(LOOKUP(LK$1,$S5:$HK5,csv!$L5:$HD5)),NA(),LOOKUP(LK$1,$S5:$HK5,csv!$L5:$HD5))</f>
        <v>0</v>
      </c>
      <c r="LL5" s="5">
        <f>IF(ISERROR(LOOKUP(LL$1,$S5:$HK5,csv!$L5:$HD5)),NA(),LOOKUP(LL$1,$S5:$HK5,csv!$L5:$HD5))</f>
        <v>0</v>
      </c>
      <c r="LM5" s="5">
        <f>IF(ISERROR(LOOKUP(LM$1,$S5:$HK5,csv!$L5:$HD5)),NA(),LOOKUP(LM$1,$S5:$HK5,csv!$L5:$HD5))</f>
        <v>0</v>
      </c>
      <c r="LN5" s="5">
        <f>IF(ISERROR(LOOKUP(LN$1,$S5:$HK5,csv!$L5:$HD5)),NA(),LOOKUP(LN$1,$S5:$HK5,csv!$L5:$HD5))</f>
        <v>0</v>
      </c>
      <c r="LO5" s="5">
        <f>IF(ISERROR(LOOKUP(LO$1,$S5:$HK5,csv!$L5:$HD5)),NA(),LOOKUP(LO$1,$S5:$HK5,csv!$L5:$HD5))</f>
        <v>0</v>
      </c>
      <c r="LP5" s="5">
        <f>IF(ISERROR(LOOKUP(LP$1,$S5:$HK5,csv!$L5:$HD5)),NA(),LOOKUP(LP$1,$S5:$HK5,csv!$L5:$HD5))</f>
        <v>0</v>
      </c>
      <c r="LQ5" s="5">
        <f>IF(ISERROR(LOOKUP(LQ$1,$S5:$HK5,csv!$L5:$HD5)),NA(),LOOKUP(LQ$1,$S5:$HK5,csv!$L5:$HD5))</f>
        <v>0</v>
      </c>
      <c r="LR5" s="5">
        <f>IF(ISERROR(LOOKUP(LR$1,$S5:$HK5,csv!$L5:$HD5)),NA(),LOOKUP(LR$1,$S5:$HK5,csv!$L5:$HD5))</f>
        <v>0</v>
      </c>
      <c r="LS5" s="5">
        <f>IF(ISERROR(LOOKUP(LS$1,$S5:$HK5,csv!$L5:$HD5)),NA(),LOOKUP(LS$1,$S5:$HK5,csv!$L5:$HD5))</f>
        <v>0</v>
      </c>
      <c r="LT5" s="5">
        <f>IF(ISERROR(LOOKUP(LT$1,$S5:$HK5,csv!$L5:$HD5)),NA(),LOOKUP(LT$1,$S5:$HK5,csv!$L5:$HD5))</f>
        <v>0</v>
      </c>
      <c r="LU5" s="5">
        <f>IF(ISERROR(LOOKUP(LU$1,$S5:$HK5,csv!$L5:$HD5)),NA(),LOOKUP(LU$1,$S5:$HK5,csv!$L5:$HD5))</f>
        <v>0</v>
      </c>
      <c r="LV5" s="5">
        <f>IF(ISERROR(LOOKUP(LV$1,$S5:$HK5,csv!$L5:$HD5)),NA(),LOOKUP(LV$1,$S5:$HK5,csv!$L5:$HD5))</f>
        <v>0</v>
      </c>
      <c r="LW5" s="5">
        <f>IF(ISERROR(LOOKUP(LW$1,$S5:$HK5,csv!$L5:$HD5)),NA(),LOOKUP(LW$1,$S5:$HK5,csv!$L5:$HD5))</f>
        <v>0</v>
      </c>
      <c r="LX5" s="5">
        <f>IF(ISERROR(LOOKUP(LX$1,$S5:$HK5,csv!$L5:$HD5)),NA(),LOOKUP(LX$1,$S5:$HK5,csv!$L5:$HD5))</f>
        <v>0</v>
      </c>
      <c r="LY5" s="5">
        <f>IF(ISERROR(LOOKUP(LY$1,$S5:$HK5,csv!$L5:$HD5)),NA(),LOOKUP(LY$1,$S5:$HK5,csv!$L5:$HD5))</f>
        <v>0</v>
      </c>
      <c r="LZ5" s="5">
        <f>IF(ISERROR(LOOKUP(LZ$1,$S5:$HK5,csv!$L5:$HD5)),NA(),LOOKUP(LZ$1,$S5:$HK5,csv!$L5:$HD5))</f>
        <v>0</v>
      </c>
      <c r="MA5" s="5">
        <f>IF(ISERROR(LOOKUP(MA$1,$S5:$HK5,csv!$L5:$HD5)),NA(),LOOKUP(MA$1,$S5:$HK5,csv!$L5:$HD5))</f>
        <v>0</v>
      </c>
      <c r="MB5" s="5">
        <f>IF(ISERROR(LOOKUP(MB$1,$S5:$HK5,csv!$L5:$HD5)),NA(),LOOKUP(MB$1,$S5:$HK5,csv!$L5:$HD5))</f>
        <v>0</v>
      </c>
      <c r="MC5" s="5">
        <f>IF(ISERROR(LOOKUP(MC$1,$S5:$HK5,csv!$L5:$HD5)),NA(),LOOKUP(MC$1,$S5:$HK5,csv!$L5:$HD5))</f>
        <v>0</v>
      </c>
      <c r="MD5" s="5">
        <f>IF(ISERROR(LOOKUP(MD$1,$S5:$HK5,csv!$L5:$HD5)),NA(),LOOKUP(MD$1,$S5:$HK5,csv!$L5:$HD5))</f>
        <v>0</v>
      </c>
      <c r="ME5" s="5">
        <f>IF(ISERROR(LOOKUP(ME$1,$S5:$HK5,csv!$L5:$HD5)),NA(),LOOKUP(ME$1,$S5:$HK5,csv!$L5:$HD5))</f>
        <v>0</v>
      </c>
      <c r="MF5" s="5">
        <f>IF(ISERROR(LOOKUP(MF$1,$S5:$HK5,csv!$L5:$HD5)),NA(),LOOKUP(MF$1,$S5:$HK5,csv!$L5:$HD5))</f>
        <v>0</v>
      </c>
      <c r="MG5" s="5">
        <f>IF(ISERROR(LOOKUP(MG$1,$S5:$HK5,csv!$L5:$HD5)),NA(),LOOKUP(MG$1,$S5:$HK5,csv!$L5:$HD5))</f>
        <v>0</v>
      </c>
      <c r="MH5" s="5">
        <f>IF(ISERROR(LOOKUP(MH$1,$S5:$HK5,csv!$L5:$HD5)),NA(),LOOKUP(MH$1,$S5:$HK5,csv!$L5:$HD5))</f>
        <v>0</v>
      </c>
      <c r="MI5" s="5">
        <f>IF(ISERROR(LOOKUP(MI$1,$S5:$HK5,csv!$L5:$HD5)),NA(),LOOKUP(MI$1,$S5:$HK5,csv!$L5:$HD5))</f>
        <v>0</v>
      </c>
      <c r="MJ5" s="5">
        <f>IF(ISERROR(LOOKUP(MJ$1,$S5:$HK5,csv!$L5:$HD5)),NA(),LOOKUP(MJ$1,$S5:$HK5,csv!$L5:$HD5))</f>
        <v>0</v>
      </c>
      <c r="MK5" s="5">
        <f>IF(ISERROR(LOOKUP(MK$1,$S5:$HK5,csv!$L5:$HD5)),NA(),LOOKUP(MK$1,$S5:$HK5,csv!$L5:$HD5))</f>
        <v>0</v>
      </c>
      <c r="ML5" s="5">
        <f>IF(ISERROR(LOOKUP(ML$1,$S5:$HK5,csv!$L5:$HD5)),NA(),LOOKUP(ML$1,$S5:$HK5,csv!$L5:$HD5))</f>
        <v>0</v>
      </c>
      <c r="MM5" s="5">
        <f>IF(ISERROR(LOOKUP(MM$1,$S5:$HK5,csv!$L5:$HD5)),NA(),LOOKUP(MM$1,$S5:$HK5,csv!$L5:$HD5))</f>
        <v>0</v>
      </c>
      <c r="MN5" s="5">
        <f>IF(ISERROR(LOOKUP(MN$1,$S5:$HK5,csv!$L5:$HD5)),NA(),LOOKUP(MN$1,$S5:$HK5,csv!$L5:$HD5))</f>
        <v>0</v>
      </c>
      <c r="MO5" s="5">
        <f>IF(ISERROR(LOOKUP(MO$1,$S5:$HK5,csv!$L5:$HD5)),NA(),LOOKUP(MO$1,$S5:$HK5,csv!$L5:$HD5))</f>
        <v>0</v>
      </c>
      <c r="MP5" s="5">
        <f>IF(ISERROR(LOOKUP(MP$1,$S5:$HK5,csv!$L5:$HD5)),NA(),LOOKUP(MP$1,$S5:$HK5,csv!$L5:$HD5))</f>
        <v>0</v>
      </c>
      <c r="MQ5" s="5">
        <f>IF(ISERROR(LOOKUP(MQ$1,$S5:$HK5,csv!$L5:$HD5)),NA(),LOOKUP(MQ$1,$S5:$HK5,csv!$L5:$HD5))</f>
        <v>0</v>
      </c>
      <c r="MR5" s="5">
        <f>IF(ISERROR(LOOKUP(MR$1,$S5:$HK5,csv!$L5:$HD5)),NA(),LOOKUP(MR$1,$S5:$HK5,csv!$L5:$HD5))</f>
        <v>0</v>
      </c>
      <c r="MS5" s="5">
        <f>IF(ISERROR(LOOKUP(MS$1,$S5:$HK5,csv!$L5:$HD5)),NA(),LOOKUP(MS$1,$S5:$HK5,csv!$L5:$HD5))</f>
        <v>0</v>
      </c>
      <c r="MT5" s="5">
        <f>IF(ISERROR(LOOKUP(MT$1,$S5:$HK5,csv!$L5:$HD5)),NA(),LOOKUP(MT$1,$S5:$HK5,csv!$L5:$HD5))</f>
        <v>0</v>
      </c>
      <c r="MU5" s="5">
        <f>IF(ISERROR(LOOKUP(MU$1,$S5:$HK5,csv!$L5:$HD5)),NA(),LOOKUP(MU$1,$S5:$HK5,csv!$L5:$HD5))</f>
        <v>0</v>
      </c>
      <c r="MV5" s="5">
        <f>IF(ISERROR(LOOKUP(MV$1,$S5:$HK5,csv!$L5:$HD5)),NA(),LOOKUP(MV$1,$S5:$HK5,csv!$L5:$HD5))</f>
        <v>0</v>
      </c>
      <c r="MW5" s="5">
        <f>IF(ISERROR(LOOKUP(MW$1,$S5:$HK5,csv!$L5:$HD5)),NA(),LOOKUP(MW$1,$S5:$HK5,csv!$L5:$HD5))</f>
        <v>0</v>
      </c>
      <c r="MX5" s="5">
        <f>IF(ISERROR(LOOKUP(MX$1,$S5:$HK5,csv!$L5:$HD5)),NA(),LOOKUP(MX$1,$S5:$HK5,csv!$L5:$HD5))</f>
        <v>0</v>
      </c>
      <c r="MY5" s="5">
        <f>IF(ISERROR(LOOKUP(MY$1,$S5:$HK5,csv!$L5:$HD5)),NA(),LOOKUP(MY$1,$S5:$HK5,csv!$L5:$HD5))</f>
        <v>0</v>
      </c>
      <c r="MZ5" s="5">
        <f>IF(ISERROR(LOOKUP(MZ$1,$S5:$HK5,csv!$L5:$HD5)),NA(),LOOKUP(MZ$1,$S5:$HK5,csv!$L5:$HD5))</f>
        <v>0</v>
      </c>
      <c r="NA5" s="5">
        <f>IF(ISERROR(LOOKUP(NA$1,$S5:$HK5,csv!$L5:$HD5)),NA(),LOOKUP(NA$1,$S5:$HK5,csv!$L5:$HD5))</f>
        <v>0</v>
      </c>
      <c r="NB5" s="5">
        <f>IF(ISERROR(LOOKUP(NB$1,$S5:$HK5,csv!$L5:$HD5)),NA(),LOOKUP(NB$1,$S5:$HK5,csv!$L5:$HD5))</f>
        <v>0</v>
      </c>
      <c r="NC5" s="5">
        <f>IF(ISERROR(LOOKUP(NC$1,$S5:$HK5,csv!$L5:$HD5)),NA(),LOOKUP(NC$1,$S5:$HK5,csv!$L5:$HD5))</f>
        <v>0</v>
      </c>
      <c r="ND5" s="5">
        <f>IF(ISERROR(LOOKUP(ND$1,$S5:$HK5,csv!$L5:$HD5)),NA(),LOOKUP(ND$1,$S5:$HK5,csv!$L5:$HD5))</f>
        <v>0</v>
      </c>
      <c r="NE5" s="5">
        <f>IF(ISERROR(LOOKUP(NE$1,$S5:$HK5,csv!$L5:$HD5)),NA(),LOOKUP(NE$1,$S5:$HK5,csv!$L5:$HD5))</f>
        <v>0</v>
      </c>
      <c r="NF5" s="5">
        <f>IF(ISERROR(LOOKUP(NF$1,$S5:$HK5,csv!$L5:$HD5)),NA(),LOOKUP(NF$1,$S5:$HK5,csv!$L5:$HD5))</f>
        <v>0</v>
      </c>
      <c r="NG5" s="5">
        <f>IF(ISERROR(LOOKUP(NG$1,$S5:$HK5,csv!$L5:$HD5)),NA(),LOOKUP(NG$1,$S5:$HK5,csv!$L5:$HD5))</f>
        <v>0</v>
      </c>
      <c r="NH5" s="5">
        <f>IF(ISERROR(LOOKUP(NH$1,$S5:$HK5,csv!$L5:$HD5)),NA(),LOOKUP(NH$1,$S5:$HK5,csv!$L5:$HD5))</f>
        <v>0</v>
      </c>
      <c r="NI5" s="5">
        <f>IF(ISERROR(LOOKUP(NI$1,$S5:$HK5,csv!$L5:$HD5)),NA(),LOOKUP(NI$1,$S5:$HK5,csv!$L5:$HD5))</f>
        <v>0</v>
      </c>
      <c r="NJ5" s="5">
        <f>IF(ISERROR(LOOKUP(NJ$1,$S5:$HK5,csv!$L5:$HD5)),NA(),LOOKUP(NJ$1,$S5:$HK5,csv!$L5:$HD5))</f>
        <v>0</v>
      </c>
      <c r="NK5" s="5">
        <f>IF(ISERROR(LOOKUP(NK$1,$S5:$HK5,csv!$L5:$HD5)),NA(),LOOKUP(NK$1,$S5:$HK5,csv!$L5:$HD5))</f>
        <v>0</v>
      </c>
      <c r="NL5" s="5">
        <f>IF(ISERROR(LOOKUP(NL$1,$S5:$HK5,csv!$L5:$HD5)),NA(),LOOKUP(NL$1,$S5:$HK5,csv!$L5:$HD5))</f>
        <v>0</v>
      </c>
      <c r="NM5" s="5">
        <f>IF(ISERROR(LOOKUP(NM$1,$S5:$HK5,csv!$L5:$HD5)),NA(),LOOKUP(NM$1,$S5:$HK5,csv!$L5:$HD5))</f>
        <v>0</v>
      </c>
      <c r="NN5" s="5">
        <f>IF(ISERROR(LOOKUP(NN$1,$S5:$HK5,csv!$L5:$HD5)),NA(),LOOKUP(NN$1,$S5:$HK5,csv!$L5:$HD5))</f>
        <v>0</v>
      </c>
      <c r="NO5" s="5">
        <f>IF(ISERROR(LOOKUP(NO$1,$S5:$HK5,csv!$L5:$HD5)),NA(),LOOKUP(NO$1,$S5:$HK5,csv!$L5:$HD5))</f>
        <v>0</v>
      </c>
      <c r="NP5" s="5">
        <f>IF(ISERROR(LOOKUP(NP$1,$S5:$HK5,csv!$L5:$HD5)),NA(),LOOKUP(NP$1,$S5:$HK5,csv!$L5:$HD5))</f>
        <v>0</v>
      </c>
      <c r="NQ5" s="5">
        <f>IF(ISERROR(LOOKUP(NQ$1,$S5:$HK5,csv!$L5:$HD5)),NA(),LOOKUP(NQ$1,$S5:$HK5,csv!$L5:$HD5))</f>
        <v>0</v>
      </c>
      <c r="NR5" s="5">
        <f>IF(ISERROR(LOOKUP(NR$1,$S5:$HK5,csv!$L5:$HD5)),NA(),LOOKUP(NR$1,$S5:$HK5,csv!$L5:$HD5))</f>
        <v>0</v>
      </c>
      <c r="NS5" s="5">
        <f>IF(ISERROR(LOOKUP(NS$1,$S5:$HK5,csv!$L5:$HD5)),NA(),LOOKUP(NS$1,$S5:$HK5,csv!$L5:$HD5))</f>
        <v>0</v>
      </c>
      <c r="NT5" s="5">
        <f>IF(ISERROR(LOOKUP(NT$1,$S5:$HK5,csv!$L5:$HD5)),NA(),LOOKUP(NT$1,$S5:$HK5,csv!$L5:$HD5))</f>
        <v>0</v>
      </c>
      <c r="NU5" s="5">
        <f>IF(ISERROR(LOOKUP(NU$1,$S5:$HK5,csv!$L5:$HD5)),NA(),LOOKUP(NU$1,$S5:$HK5,csv!$L5:$HD5))</f>
        <v>0</v>
      </c>
      <c r="NV5" s="5">
        <f>IF(ISERROR(LOOKUP(NV$1,$S5:$HK5,csv!$L5:$HD5)),NA(),LOOKUP(NV$1,$S5:$HK5,csv!$L5:$HD5))</f>
        <v>0</v>
      </c>
      <c r="NW5" s="5">
        <f>IF(ISERROR(LOOKUP(NW$1,$S5:$HK5,csv!$L5:$HD5)),NA(),LOOKUP(NW$1,$S5:$HK5,csv!$L5:$HD5))</f>
        <v>0</v>
      </c>
      <c r="NX5" s="5">
        <f>IF(ISERROR(LOOKUP(NX$1,$S5:$HK5,csv!$L5:$HD5)),NA(),LOOKUP(NX$1,$S5:$HK5,csv!$L5:$HD5))</f>
        <v>0</v>
      </c>
      <c r="NY5" s="5">
        <f>IF(ISERROR(LOOKUP(NY$1,$S5:$HK5,csv!$L5:$HD5)),NA(),LOOKUP(NY$1,$S5:$HK5,csv!$L5:$HD5))</f>
        <v>0</v>
      </c>
      <c r="NZ5" s="5">
        <f>IF(ISERROR(LOOKUP(NZ$1,$S5:$HK5,csv!$L5:$HD5)),NA(),LOOKUP(NZ$1,$S5:$HK5,csv!$L5:$HD5))</f>
        <v>0</v>
      </c>
      <c r="OA5" s="5">
        <f>IF(ISERROR(LOOKUP(OA$1,$S5:$HK5,csv!$L5:$HD5)),NA(),LOOKUP(OA$1,$S5:$HK5,csv!$L5:$HD5))</f>
        <v>0</v>
      </c>
      <c r="OB5" s="5">
        <f>IF(ISERROR(LOOKUP(OB$1,$S5:$HK5,csv!$L5:$HD5)),NA(),LOOKUP(OB$1,$S5:$HK5,csv!$L5:$HD5))</f>
        <v>0</v>
      </c>
      <c r="OC5" s="5">
        <f>IF(ISERROR(LOOKUP(OC$1,$S5:$HK5,csv!$L5:$HD5)),NA(),LOOKUP(OC$1,$S5:$HK5,csv!$L5:$HD5))</f>
        <v>0</v>
      </c>
      <c r="OD5" s="5">
        <f>IF(ISERROR(LOOKUP(OD$1,$S5:$HK5,csv!$L5:$HD5)),NA(),LOOKUP(OD$1,$S5:$HK5,csv!$L5:$HD5))</f>
        <v>0</v>
      </c>
      <c r="OE5" s="5">
        <f>IF(ISERROR(LOOKUP(OE$1,$S5:$HK5,csv!$L5:$HD5)),NA(),LOOKUP(OE$1,$S5:$HK5,csv!$L5:$HD5))</f>
        <v>0</v>
      </c>
      <c r="OF5" s="5">
        <f>IF(ISERROR(LOOKUP(OF$1,$S5:$HK5,csv!$L5:$HD5)),NA(),LOOKUP(OF$1,$S5:$HK5,csv!$L5:$HD5))</f>
        <v>0</v>
      </c>
      <c r="OG5" s="5">
        <f>IF(ISERROR(LOOKUP(OG$1,$S5:$HK5,csv!$L5:$HD5)),NA(),LOOKUP(OG$1,$S5:$HK5,csv!$L5:$HD5))</f>
        <v>0</v>
      </c>
      <c r="OH5" s="5">
        <f>IF(ISERROR(LOOKUP(OH$1,$S5:$HK5,csv!$L5:$HD5)),NA(),LOOKUP(OH$1,$S5:$HK5,csv!$L5:$HD5))</f>
        <v>0</v>
      </c>
      <c r="OI5" s="5">
        <f>IF(ISERROR(LOOKUP(OI$1,$S5:$HK5,csv!$L5:$HD5)),NA(),LOOKUP(OI$1,$S5:$HK5,csv!$L5:$HD5))</f>
        <v>0</v>
      </c>
      <c r="OJ5" s="5">
        <f>IF(ISERROR(LOOKUP(OJ$1,$S5:$HK5,csv!$L5:$HD5)),NA(),LOOKUP(OJ$1,$S5:$HK5,csv!$L5:$HD5))</f>
        <v>0</v>
      </c>
      <c r="OK5" s="5">
        <f>IF(ISERROR(LOOKUP(OK$1,$S5:$HK5,csv!$L5:$HD5)),NA(),LOOKUP(OK$1,$S5:$HK5,csv!$L5:$HD5))</f>
        <v>0</v>
      </c>
      <c r="OL5" s="5">
        <f>IF(ISERROR(LOOKUP(OL$1,$S5:$HK5,csv!$L5:$HD5)),NA(),LOOKUP(OL$1,$S5:$HK5,csv!$L5:$HD5))</f>
        <v>0</v>
      </c>
      <c r="OM5" s="5">
        <f>IF(ISERROR(LOOKUP(OM$1,$S5:$HK5,csv!$L5:$HD5)),NA(),LOOKUP(OM$1,$S5:$HK5,csv!$L5:$HD5))</f>
        <v>0</v>
      </c>
      <c r="ON5" s="5">
        <f>IF(ISERROR(LOOKUP(ON$1,$S5:$HK5,csv!$L5:$HD5)),NA(),LOOKUP(ON$1,$S5:$HK5,csv!$L5:$HD5))</f>
        <v>0</v>
      </c>
      <c r="OO5" s="5">
        <f>IF(ISERROR(LOOKUP(OO$1,$S5:$HK5,csv!$L5:$HD5)),NA(),LOOKUP(OO$1,$S5:$HK5,csv!$L5:$HD5))</f>
        <v>0</v>
      </c>
      <c r="OP5" s="5">
        <f>IF(ISERROR(LOOKUP(OP$1,$S5:$HK5,csv!$L5:$HD5)),NA(),LOOKUP(OP$1,$S5:$HK5,csv!$L5:$HD5))</f>
        <v>0</v>
      </c>
      <c r="OQ5" s="5">
        <f>IF(ISERROR(LOOKUP(OQ$1,$S5:$HK5,csv!$L5:$HD5)),NA(),LOOKUP(OQ$1,$S5:$HK5,csv!$L5:$HD5))</f>
        <v>0</v>
      </c>
      <c r="OR5" s="5">
        <f>IF(ISERROR(LOOKUP(OR$1,$S5:$HK5,csv!$L5:$HD5)),NA(),LOOKUP(OR$1,$S5:$HK5,csv!$L5:$HD5))</f>
        <v>0</v>
      </c>
      <c r="OS5" s="5">
        <f>IF(ISERROR(LOOKUP(OS$1,$S5:$HK5,csv!$L5:$HD5)),NA(),LOOKUP(OS$1,$S5:$HK5,csv!$L5:$HD5))</f>
        <v>0</v>
      </c>
      <c r="OT5" s="5">
        <f>IF(ISERROR(LOOKUP(OT$1,$S5:$HK5,csv!$L5:$HD5)),NA(),LOOKUP(OT$1,$S5:$HK5,csv!$L5:$HD5))</f>
        <v>0</v>
      </c>
      <c r="OU5" s="5">
        <f>IF(ISERROR(LOOKUP(OU$1,$S5:$HK5,csv!$L5:$HD5)),NA(),LOOKUP(OU$1,$S5:$HK5,csv!$L5:$HD5))</f>
        <v>0</v>
      </c>
      <c r="OV5" s="5">
        <f>IF(ISERROR(LOOKUP(OV$1,$S5:$HK5,csv!$L5:$HD5)),NA(),LOOKUP(OV$1,$S5:$HK5,csv!$L5:$HD5))</f>
        <v>0</v>
      </c>
      <c r="OW5" s="5">
        <f>IF(ISERROR(LOOKUP(OW$1,$S5:$HK5,csv!$L5:$HD5)),NA(),LOOKUP(OW$1,$S5:$HK5,csv!$L5:$HD5))</f>
        <v>0</v>
      </c>
      <c r="OX5" s="5">
        <f>IF(ISERROR(LOOKUP(OX$1,$S5:$HK5,csv!$L5:$HD5)),NA(),LOOKUP(OX$1,$S5:$HK5,csv!$L5:$HD5))</f>
        <v>0</v>
      </c>
      <c r="OY5" s="5">
        <f>IF(ISERROR(LOOKUP(OY$1,$S5:$HK5,csv!$L5:$HD5)),NA(),LOOKUP(OY$1,$S5:$HK5,csv!$L5:$HD5))</f>
        <v>0</v>
      </c>
      <c r="OZ5" s="5">
        <f>IF(ISERROR(LOOKUP(OZ$1,$S5:$HK5,csv!$L5:$HD5)),NA(),LOOKUP(OZ$1,$S5:$HK5,csv!$L5:$HD5))</f>
        <v>0</v>
      </c>
      <c r="PA5" s="5">
        <f>IF(ISERROR(LOOKUP(PA$1,$S5:$HK5,csv!$L5:$HD5)),NA(),LOOKUP(PA$1,$S5:$HK5,csv!$L5:$HD5))</f>
        <v>0</v>
      </c>
      <c r="PB5" s="5">
        <f>IF(ISERROR(LOOKUP(PB$1,$S5:$HK5,csv!$L5:$HD5)),NA(),LOOKUP(PB$1,$S5:$HK5,csv!$L5:$HD5))</f>
        <v>0</v>
      </c>
      <c r="PC5" s="5">
        <f>IF(ISERROR(LOOKUP(PC$1,$S5:$HK5,csv!$L5:$HD5)),NA(),LOOKUP(PC$1,$S5:$HK5,csv!$L5:$HD5))</f>
        <v>0</v>
      </c>
      <c r="PD5" s="5">
        <f>IF(ISERROR(LOOKUP(PD$1,$S5:$HK5,csv!$L5:$HD5)),NA(),LOOKUP(PD$1,$S5:$HK5,csv!$L5:$HD5))</f>
        <v>0</v>
      </c>
      <c r="PE5" s="5">
        <f>IF(ISERROR(LOOKUP(PE$1,$S5:$HK5,csv!$L5:$HD5)),NA(),LOOKUP(PE$1,$S5:$HK5,csv!$L5:$HD5))</f>
        <v>0</v>
      </c>
      <c r="PF5" s="5">
        <f>IF(ISERROR(LOOKUP(PF$1,$S5:$HK5,csv!$L5:$HD5)),NA(),LOOKUP(PF$1,$S5:$HK5,csv!$L5:$HD5))</f>
        <v>0</v>
      </c>
      <c r="PG5" s="5">
        <f>IF(ISERROR(LOOKUP(PG$1,$S5:$HK5,csv!$L5:$HD5)),NA(),LOOKUP(PG$1,$S5:$HK5,csv!$L5:$HD5))</f>
        <v>0</v>
      </c>
      <c r="PH5" s="5">
        <f>IF(ISERROR(LOOKUP(PH$1,$S5:$HK5,csv!$L5:$HD5)),NA(),LOOKUP(PH$1,$S5:$HK5,csv!$L5:$HD5))</f>
        <v>0</v>
      </c>
      <c r="PI5" s="5">
        <f>IF(ISERROR(LOOKUP(PI$1,$S5:$HK5,csv!$L5:$HD5)),NA(),LOOKUP(PI$1,$S5:$HK5,csv!$L5:$HD5))</f>
        <v>0</v>
      </c>
      <c r="PJ5" s="5">
        <f>IF(ISERROR(LOOKUP(PJ$1,$S5:$HK5,csv!$L5:$HD5)),NA(),LOOKUP(PJ$1,$S5:$HK5,csv!$L5:$HD5))</f>
        <v>0</v>
      </c>
      <c r="PK5" s="5">
        <f>IF(ISERROR(LOOKUP(PK$1,$S5:$HK5,csv!$L5:$HD5)),NA(),LOOKUP(PK$1,$S5:$HK5,csv!$L5:$HD5))</f>
        <v>0</v>
      </c>
      <c r="PL5" s="5">
        <f>IF(ISERROR(LOOKUP(PL$1,$S5:$HK5,csv!$L5:$HD5)),NA(),LOOKUP(PL$1,$S5:$HK5,csv!$L5:$HD5))</f>
        <v>0</v>
      </c>
      <c r="PM5" s="5">
        <f>IF(ISERROR(LOOKUP(PM$1,$S5:$HK5,csv!$L5:$HD5)),NA(),LOOKUP(PM$1,$S5:$HK5,csv!$L5:$HD5))</f>
        <v>0</v>
      </c>
      <c r="PN5" s="5">
        <f>IF(ISERROR(LOOKUP(PN$1,$S5:$HK5,csv!$L5:$HD5)),NA(),LOOKUP(PN$1,$S5:$HK5,csv!$L5:$HD5))</f>
        <v>0</v>
      </c>
      <c r="PO5" s="5">
        <f>IF(ISERROR(LOOKUP(PO$1,$S5:$HK5,csv!$L5:$HD5)),NA(),LOOKUP(PO$1,$S5:$HK5,csv!$L5:$HD5))</f>
        <v>0</v>
      </c>
      <c r="PP5" s="5">
        <f>IF(ISERROR(LOOKUP(PP$1,$S5:$HK5,csv!$L5:$HD5)),NA(),LOOKUP(PP$1,$S5:$HK5,csv!$L5:$HD5))</f>
        <v>0</v>
      </c>
      <c r="PQ5" s="5">
        <f>IF(ISERROR(LOOKUP(PQ$1,$S5:$HK5,csv!$L5:$HD5)),NA(),LOOKUP(PQ$1,$S5:$HK5,csv!$L5:$HD5))</f>
        <v>0</v>
      </c>
      <c r="PR5" s="5">
        <f>IF(ISERROR(LOOKUP(PR$1,$S5:$HK5,csv!$L5:$HD5)),NA(),LOOKUP(PR$1,$S5:$HK5,csv!$L5:$HD5))</f>
        <v>0</v>
      </c>
      <c r="PS5" s="5">
        <f>IF(ISERROR(LOOKUP(PS$1,$S5:$HK5,csv!$L5:$HD5)),NA(),LOOKUP(PS$1,$S5:$HK5,csv!$L5:$HD5))</f>
        <v>0</v>
      </c>
      <c r="PT5" s="5">
        <f>IF(ISERROR(LOOKUP(PT$1,$S5:$HK5,csv!$L5:$HD5)),NA(),LOOKUP(PT$1,$S5:$HK5,csv!$L5:$HD5))</f>
        <v>0</v>
      </c>
      <c r="PU5" s="5">
        <f>IF(ISERROR(LOOKUP(PU$1,$S5:$HK5,csv!$L5:$HD5)),NA(),LOOKUP(PU$1,$S5:$HK5,csv!$L5:$HD5))</f>
        <v>0</v>
      </c>
      <c r="PV5" s="5">
        <f>IF(ISERROR(LOOKUP(PV$1,$S5:$HK5,csv!$L5:$HD5)),NA(),LOOKUP(PV$1,$S5:$HK5,csv!$L5:$HD5))</f>
        <v>0</v>
      </c>
      <c r="PW5" s="5">
        <f>IF(ISERROR(LOOKUP(PW$1,$S5:$HK5,csv!$L5:$HD5)),NA(),LOOKUP(PW$1,$S5:$HK5,csv!$L5:$HD5))</f>
        <v>0</v>
      </c>
      <c r="PX5" s="5">
        <f>IF(ISERROR(LOOKUP(PX$1,$S5:$HK5,csv!$L5:$HD5)),NA(),LOOKUP(PX$1,$S5:$HK5,csv!$L5:$HD5))</f>
        <v>0</v>
      </c>
      <c r="PY5" s="5">
        <f>IF(ISERROR(LOOKUP(PY$1,$S5:$HK5,csv!$L5:$HD5)),NA(),LOOKUP(PY$1,$S5:$HK5,csv!$L5:$HD5))</f>
        <v>0</v>
      </c>
      <c r="PZ5" s="5">
        <f>IF(ISERROR(LOOKUP(PZ$1,$S5:$HK5,csv!$L5:$HD5)),NA(),LOOKUP(PZ$1,$S5:$HK5,csv!$L5:$HD5))</f>
        <v>0</v>
      </c>
      <c r="QA5" s="5">
        <f>IF(ISERROR(LOOKUP(QA$1,$S5:$HK5,csv!$L5:$HD5)),NA(),LOOKUP(QA$1,$S5:$HK5,csv!$L5:$HD5))</f>
        <v>0</v>
      </c>
      <c r="QB5" s="5">
        <f>IF(ISERROR(LOOKUP(QB$1,$S5:$HK5,csv!$L5:$HD5)),NA(),LOOKUP(QB$1,$S5:$HK5,csv!$L5:$HD5))</f>
        <v>0</v>
      </c>
      <c r="QC5" s="5">
        <f>IF(ISERROR(LOOKUP(QC$1,$S5:$HK5,csv!$L5:$HD5)),NA(),LOOKUP(QC$1,$S5:$HK5,csv!$L5:$HD5))</f>
        <v>0</v>
      </c>
      <c r="QD5" s="5">
        <f>IF(ISERROR(LOOKUP(QD$1,$S5:$HK5,csv!$L5:$HD5)),NA(),LOOKUP(QD$1,$S5:$HK5,csv!$L5:$HD5))</f>
        <v>0</v>
      </c>
      <c r="QE5" s="5">
        <f>IF(ISERROR(LOOKUP(QE$1,$S5:$HK5,csv!$L5:$HD5)),NA(),LOOKUP(QE$1,$S5:$HK5,csv!$L5:$HD5))</f>
        <v>0</v>
      </c>
      <c r="QF5" s="5">
        <f>IF(ISERROR(LOOKUP(QF$1,$S5:$HK5,csv!$L5:$HD5)),NA(),LOOKUP(QF$1,$S5:$HK5,csv!$L5:$HD5))</f>
        <v>0</v>
      </c>
      <c r="QG5" s="5">
        <f>IF(ISERROR(LOOKUP(QG$1,$S5:$HK5,csv!$L5:$HD5)),NA(),LOOKUP(QG$1,$S5:$HK5,csv!$L5:$HD5))</f>
        <v>0</v>
      </c>
      <c r="QH5" s="5">
        <f>IF(ISERROR(LOOKUP(QH$1,$S5:$HK5,csv!$L5:$HD5)),NA(),LOOKUP(QH$1,$S5:$HK5,csv!$L5:$HD5))</f>
        <v>0</v>
      </c>
      <c r="QI5" s="5">
        <f>IF(ISERROR(LOOKUP(QI$1,$S5:$HK5,csv!$L5:$HD5)),NA(),LOOKUP(QI$1,$S5:$HK5,csv!$L5:$HD5))</f>
        <v>0</v>
      </c>
      <c r="QJ5" s="5">
        <f>IF(ISERROR(LOOKUP(QJ$1,$S5:$HK5,csv!$L5:$HD5)),NA(),LOOKUP(QJ$1,$S5:$HK5,csv!$L5:$HD5))</f>
        <v>0</v>
      </c>
      <c r="QK5" s="5">
        <f>IF(ISERROR(LOOKUP(QK$1,$S5:$HK5,csv!$L5:$HD5)),NA(),LOOKUP(QK$1,$S5:$HK5,csv!$L5:$HD5))</f>
        <v>0</v>
      </c>
      <c r="QL5" s="5">
        <f>IF(ISERROR(LOOKUP(QL$1,$S5:$HK5,csv!$L5:$HD5)),NA(),LOOKUP(QL$1,$S5:$HK5,csv!$L5:$HD5))</f>
        <v>0</v>
      </c>
      <c r="QM5" s="5">
        <f>IF(ISERROR(LOOKUP(QM$1,$S5:$HK5,csv!$L5:$HD5)),NA(),LOOKUP(QM$1,$S5:$HK5,csv!$L5:$HD5))</f>
        <v>0</v>
      </c>
      <c r="QN5" s="5">
        <f>IF(ISERROR(LOOKUP(QN$1,$S5:$HK5,csv!$L5:$HD5)),NA(),LOOKUP(QN$1,$S5:$HK5,csv!$L5:$HD5))</f>
        <v>0</v>
      </c>
      <c r="QO5" s="5">
        <f>IF(ISERROR(LOOKUP(QO$1,$S5:$HK5,csv!$L5:$HD5)),NA(),LOOKUP(QO$1,$S5:$HK5,csv!$L5:$HD5))</f>
        <v>0</v>
      </c>
      <c r="QP5" s="5">
        <f>IF(ISERROR(LOOKUP(QP$1,$S5:$HK5,csv!$L5:$HD5)),NA(),LOOKUP(QP$1,$S5:$HK5,csv!$L5:$HD5))</f>
        <v>0</v>
      </c>
      <c r="QQ5" s="5">
        <f>IF(ISERROR(LOOKUP(QQ$1,$S5:$HK5,csv!$L5:$HD5)),NA(),LOOKUP(QQ$1,$S5:$HK5,csv!$L5:$HD5))</f>
        <v>0</v>
      </c>
      <c r="QR5" s="5">
        <f>IF(ISERROR(LOOKUP(QR$1,$S5:$HK5,csv!$L5:$HD5)),NA(),LOOKUP(QR$1,$S5:$HK5,csv!$L5:$HD5))</f>
        <v>0</v>
      </c>
      <c r="QS5" s="5">
        <f>IF(ISERROR(LOOKUP(QS$1,$S5:$HK5,csv!$L5:$HD5)),NA(),LOOKUP(QS$1,$S5:$HK5,csv!$L5:$HD5))</f>
        <v>0</v>
      </c>
      <c r="QT5" s="5">
        <f>IF(ISERROR(LOOKUP(QT$1,$S5:$HK5,csv!$L5:$HD5)),NA(),LOOKUP(QT$1,$S5:$HK5,csv!$L5:$HD5))</f>
        <v>0</v>
      </c>
      <c r="QU5" s="5">
        <f>IF(ISERROR(LOOKUP(QU$1,$S5:$HK5,csv!$L5:$HD5)),NA(),LOOKUP(QU$1,$S5:$HK5,csv!$L5:$HD5))</f>
        <v>0</v>
      </c>
      <c r="QV5" s="5">
        <f>IF(ISERROR(LOOKUP(QV$1,$S5:$HK5,csv!$L5:$HD5)),NA(),LOOKUP(QV$1,$S5:$HK5,csv!$L5:$HD5))</f>
        <v>0</v>
      </c>
      <c r="QW5" s="5">
        <f>IF(ISERROR(LOOKUP(QW$1,$S5:$HK5,csv!$L5:$HD5)),NA(),LOOKUP(QW$1,$S5:$HK5,csv!$L5:$HD5))</f>
        <v>0</v>
      </c>
      <c r="QX5" s="5">
        <f>IF(ISERROR(LOOKUP(QX$1,$S5:$HK5,csv!$L5:$HD5)),NA(),LOOKUP(QX$1,$S5:$HK5,csv!$L5:$HD5))</f>
        <v>0</v>
      </c>
      <c r="QY5" s="5">
        <f>IF(ISERROR(LOOKUP(QY$1,$S5:$HK5,csv!$L5:$HD5)),NA(),LOOKUP(QY$1,$S5:$HK5,csv!$L5:$HD5))</f>
        <v>0</v>
      </c>
      <c r="QZ5" s="5">
        <f>IF(ISERROR(LOOKUP(QZ$1,$S5:$HK5,csv!$L5:$HD5)),NA(),LOOKUP(QZ$1,$S5:$HK5,csv!$L5:$HD5))</f>
        <v>0</v>
      </c>
      <c r="RA5" s="5">
        <f>IF(ISERROR(LOOKUP(RA$1,$S5:$HK5,csv!$L5:$HD5)),NA(),LOOKUP(RA$1,$S5:$HK5,csv!$L5:$HD5))</f>
        <v>0</v>
      </c>
      <c r="RB5" s="5">
        <f>IF(ISERROR(LOOKUP(RB$1,$S5:$HK5,csv!$L5:$HD5)),NA(),LOOKUP(RB$1,$S5:$HK5,csv!$L5:$HD5))</f>
        <v>0</v>
      </c>
      <c r="RC5" s="5">
        <f>IF(ISERROR(LOOKUP(RC$1,$S5:$HK5,csv!$L5:$HD5)),NA(),LOOKUP(RC$1,$S5:$HK5,csv!$L5:$HD5))</f>
        <v>0</v>
      </c>
      <c r="RD5" s="5">
        <f>IF(ISERROR(LOOKUP(RD$1,$S5:$HK5,csv!$L5:$HD5)),NA(),LOOKUP(RD$1,$S5:$HK5,csv!$L5:$HD5))</f>
        <v>0</v>
      </c>
      <c r="RE5" s="5">
        <f>IF(ISERROR(LOOKUP(RE$1,$S5:$HK5,csv!$L5:$HD5)),NA(),LOOKUP(RE$1,$S5:$HK5,csv!$L5:$HD5))</f>
        <v>0</v>
      </c>
      <c r="RF5" s="5">
        <f>IF(ISERROR(LOOKUP(RF$1,$S5:$HK5,csv!$L5:$HD5)),NA(),LOOKUP(RF$1,$S5:$HK5,csv!$L5:$HD5))</f>
        <v>0</v>
      </c>
      <c r="RG5" s="5">
        <f>IF(ISERROR(LOOKUP(RG$1,$S5:$HK5,csv!$L5:$HD5)),NA(),LOOKUP(RG$1,$S5:$HK5,csv!$L5:$HD5))</f>
        <v>0</v>
      </c>
      <c r="RH5" s="5">
        <f>IF(ISERROR(LOOKUP(RH$1,$S5:$HK5,csv!$L5:$HD5)),NA(),LOOKUP(RH$1,$S5:$HK5,csv!$L5:$HD5))</f>
        <v>0</v>
      </c>
      <c r="RI5" s="5">
        <f>IF(ISERROR(LOOKUP(RI$1,$S5:$HK5,csv!$L5:$HD5)),NA(),LOOKUP(RI$1,$S5:$HK5,csv!$L5:$HD5))</f>
        <v>0</v>
      </c>
      <c r="RJ5" s="5">
        <f>IF(ISERROR(LOOKUP(RJ$1,$S5:$HK5,csv!$L5:$HD5)),NA(),LOOKUP(RJ$1,$S5:$HK5,csv!$L5:$HD5))</f>
        <v>0</v>
      </c>
      <c r="RK5" s="5">
        <f>IF(ISERROR(LOOKUP(RK$1,$S5:$HK5,csv!$L5:$HD5)),NA(),LOOKUP(RK$1,$S5:$HK5,csv!$L5:$HD5))</f>
        <v>0</v>
      </c>
      <c r="RL5" s="5">
        <f>IF(ISERROR(LOOKUP(RL$1,$S5:$HK5,csv!$L5:$HD5)),NA(),LOOKUP(RL$1,$S5:$HK5,csv!$L5:$HD5))</f>
        <v>0</v>
      </c>
      <c r="RM5" s="5">
        <f>IF(ISERROR(LOOKUP(RM$1,$S5:$HK5,csv!$L5:$HD5)),NA(),LOOKUP(RM$1,$S5:$HK5,csv!$L5:$HD5))</f>
        <v>0</v>
      </c>
      <c r="RN5" s="5">
        <f>IF(ISERROR(LOOKUP(RN$1,$S5:$HK5,csv!$L5:$HD5)),NA(),LOOKUP(RN$1,$S5:$HK5,csv!$L5:$HD5))</f>
        <v>0</v>
      </c>
      <c r="RO5" s="5">
        <f>IF(ISERROR(LOOKUP(RO$1,$S5:$HK5,csv!$L5:$HD5)),NA(),LOOKUP(RO$1,$S5:$HK5,csv!$L5:$HD5))</f>
        <v>0</v>
      </c>
      <c r="RP5" s="5">
        <f>IF(ISERROR(LOOKUP(RP$1,$S5:$HK5,csv!$L5:$HD5)),NA(),LOOKUP(RP$1,$S5:$HK5,csv!$L5:$HD5))</f>
        <v>0</v>
      </c>
      <c r="RQ5" s="5">
        <f>IF(ISERROR(LOOKUP(RQ$1,$S5:$HK5,csv!$L5:$HD5)),NA(),LOOKUP(RQ$1,$S5:$HK5,csv!$L5:$HD5))</f>
        <v>0</v>
      </c>
      <c r="RR5" s="5">
        <f>IF(ISERROR(LOOKUP(RR$1,$S5:$HK5,csv!$L5:$HD5)),NA(),LOOKUP(RR$1,$S5:$HK5,csv!$L5:$HD5))</f>
        <v>0</v>
      </c>
      <c r="RS5" s="5">
        <f>IF(ISERROR(LOOKUP(RS$1,$S5:$HK5,csv!$L5:$HD5)),NA(),LOOKUP(RS$1,$S5:$HK5,csv!$L5:$HD5))</f>
        <v>0</v>
      </c>
      <c r="RT5" s="5">
        <f>IF(ISERROR(LOOKUP(RT$1,$S5:$HK5,csv!$L5:$HD5)),NA(),LOOKUP(RT$1,$S5:$HK5,csv!$L5:$HD5))</f>
        <v>0</v>
      </c>
      <c r="RU5" s="5">
        <f>IF(ISERROR(LOOKUP(RU$1,$S5:$HK5,csv!$L5:$HD5)),NA(),LOOKUP(RU$1,$S5:$HK5,csv!$L5:$HD5))</f>
        <v>0</v>
      </c>
      <c r="RV5" s="5">
        <f>IF(ISERROR(LOOKUP(RV$1,$S5:$HK5,csv!$L5:$HD5)),NA(),LOOKUP(RV$1,$S5:$HK5,csv!$L5:$HD5))</f>
        <v>0</v>
      </c>
      <c r="RW5" s="5">
        <f>IF(ISERROR(LOOKUP(RW$1,$S5:$HK5,csv!$L5:$HD5)),NA(),LOOKUP(RW$1,$S5:$HK5,csv!$L5:$HD5))</f>
        <v>0</v>
      </c>
      <c r="RX5" s="5">
        <f>IF(ISERROR(LOOKUP(RX$1,$S5:$HK5,csv!$L5:$HD5)),NA(),LOOKUP(RX$1,$S5:$HK5,csv!$L5:$HD5))</f>
        <v>0</v>
      </c>
      <c r="RY5" s="5">
        <f>IF(ISERROR(LOOKUP(RY$1,$S5:$HK5,csv!$L5:$HD5)),NA(),LOOKUP(RY$1,$S5:$HK5,csv!$L5:$HD5))</f>
        <v>0</v>
      </c>
      <c r="RZ5" s="5">
        <f>IF(ISERROR(LOOKUP(RZ$1,$S5:$HK5,csv!$L5:$HD5)),NA(),LOOKUP(RZ$1,$S5:$HK5,csv!$L5:$HD5))</f>
        <v>0</v>
      </c>
      <c r="SA5" s="5">
        <f>IF(ISERROR(LOOKUP(SA$1,$S5:$HK5,csv!$L5:$HD5)),NA(),LOOKUP(SA$1,$S5:$HK5,csv!$L5:$HD5))</f>
        <v>0</v>
      </c>
      <c r="SB5" s="5">
        <f>IF(ISERROR(LOOKUP(SB$1,$S5:$HK5,csv!$L5:$HD5)),NA(),LOOKUP(SB$1,$S5:$HK5,csv!$L5:$HD5))</f>
        <v>0</v>
      </c>
      <c r="SC5" s="5">
        <f>IF(ISERROR(LOOKUP(SC$1,$S5:$HK5,csv!$L5:$HD5)),NA(),LOOKUP(SC$1,$S5:$HK5,csv!$L5:$HD5))</f>
        <v>0</v>
      </c>
      <c r="SD5" s="5">
        <f>IF(ISERROR(LOOKUP(SD$1,$S5:$HK5,csv!$L5:$HD5)),NA(),LOOKUP(SD$1,$S5:$HK5,csv!$L5:$HD5))</f>
        <v>0</v>
      </c>
      <c r="SE5" s="5">
        <f>IF(ISERROR(LOOKUP(SE$1,$S5:$HK5,csv!$L5:$HD5)),NA(),LOOKUP(SE$1,$S5:$HK5,csv!$L5:$HD5))</f>
        <v>0</v>
      </c>
      <c r="SF5" s="5">
        <f>IF(ISERROR(LOOKUP(SF$1,$S5:$HK5,csv!$L5:$HD5)),NA(),LOOKUP(SF$1,$S5:$HK5,csv!$L5:$HD5))</f>
        <v>0</v>
      </c>
      <c r="SG5" s="5">
        <f>IF(ISERROR(LOOKUP(SG$1,$S5:$HK5,csv!$L5:$HD5)),NA(),LOOKUP(SG$1,$S5:$HK5,csv!$L5:$HD5))</f>
        <v>0</v>
      </c>
      <c r="SH5" s="5">
        <f>IF(ISERROR(LOOKUP(SH$1,$S5:$HK5,csv!$L5:$HD5)),NA(),LOOKUP(SH$1,$S5:$HK5,csv!$L5:$HD5))</f>
        <v>0</v>
      </c>
      <c r="SI5" s="5">
        <f>IF(ISERROR(LOOKUP(SI$1,$S5:$HK5,csv!$L5:$HD5)),NA(),LOOKUP(SI$1,$S5:$HK5,csv!$L5:$HD5))</f>
        <v>0</v>
      </c>
      <c r="SJ5" s="5">
        <f>IF(ISERROR(LOOKUP(SJ$1,$S5:$HK5,csv!$L5:$HD5)),NA(),LOOKUP(SJ$1,$S5:$HK5,csv!$L5:$HD5))</f>
        <v>0</v>
      </c>
      <c r="SK5" s="5">
        <f>IF(ISERROR(LOOKUP(SK$1,$S5:$HK5,csv!$L5:$HD5)),NA(),LOOKUP(SK$1,$S5:$HK5,csv!$L5:$HD5))</f>
        <v>0</v>
      </c>
      <c r="SL5" s="5">
        <f>IF(ISERROR(LOOKUP(SL$1,$S5:$HK5,csv!$L5:$HD5)),NA(),LOOKUP(SL$1,$S5:$HK5,csv!$L5:$HD5))</f>
        <v>0</v>
      </c>
      <c r="SM5" s="5">
        <f>IF(ISERROR(LOOKUP(SM$1,$S5:$HK5,csv!$L5:$HD5)),NA(),LOOKUP(SM$1,$S5:$HK5,csv!$L5:$HD5))</f>
        <v>0</v>
      </c>
      <c r="SN5" s="5">
        <f>IF(ISERROR(LOOKUP(SN$1,$S5:$HK5,csv!$L5:$HD5)),NA(),LOOKUP(SN$1,$S5:$HK5,csv!$L5:$HD5))</f>
        <v>0</v>
      </c>
      <c r="SO5" s="5">
        <f>IF(ISERROR(LOOKUP(SO$1,$S5:$HK5,csv!$L5:$HD5)),NA(),LOOKUP(SO$1,$S5:$HK5,csv!$L5:$HD5))</f>
        <v>0</v>
      </c>
      <c r="SP5" s="5">
        <f>IF(ISERROR(LOOKUP(SP$1,$S5:$HK5,csv!$L5:$HD5)),NA(),LOOKUP(SP$1,$S5:$HK5,csv!$L5:$HD5))</f>
        <v>0</v>
      </c>
      <c r="SQ5" s="5">
        <f>IF(ISERROR(LOOKUP(SQ$1,$S5:$HK5,csv!$L5:$HD5)),NA(),LOOKUP(SQ$1,$S5:$HK5,csv!$L5:$HD5))</f>
        <v>0</v>
      </c>
      <c r="SR5" s="5">
        <f>IF(ISERROR(LOOKUP(SR$1,$S5:$HK5,csv!$L5:$HD5)),NA(),LOOKUP(SR$1,$S5:$HK5,csv!$L5:$HD5))</f>
        <v>0</v>
      </c>
      <c r="SS5" s="5">
        <f>IF(ISERROR(LOOKUP(SS$1,$S5:$HK5,csv!$L5:$HD5)),NA(),LOOKUP(SS$1,$S5:$HK5,csv!$L5:$HD5))</f>
        <v>0</v>
      </c>
      <c r="ST5" s="5">
        <f>IF(ISERROR(LOOKUP(ST$1,$S5:$HK5,csv!$L5:$HD5)),NA(),LOOKUP(ST$1,$S5:$HK5,csv!$L5:$HD5))</f>
        <v>0</v>
      </c>
      <c r="SU5" s="5">
        <f>IF(ISERROR(LOOKUP(SU$1,$S5:$HK5,csv!$L5:$HD5)),NA(),LOOKUP(SU$1,$S5:$HK5,csv!$L5:$HD5))</f>
        <v>0</v>
      </c>
      <c r="SV5" s="5">
        <f>IF(ISERROR(LOOKUP(SV$1,$S5:$HK5,csv!$L5:$HD5)),NA(),LOOKUP(SV$1,$S5:$HK5,csv!$L5:$HD5))</f>
        <v>0</v>
      </c>
      <c r="SW5" s="5">
        <f>IF(ISERROR(LOOKUP(SW$1,$S5:$HK5,csv!$L5:$HD5)),NA(),LOOKUP(SW$1,$S5:$HK5,csv!$L5:$HD5))</f>
        <v>0</v>
      </c>
      <c r="SX5" s="5">
        <f>IF(ISERROR(LOOKUP(SX$1,$S5:$HK5,csv!$L5:$HD5)),NA(),LOOKUP(SX$1,$S5:$HK5,csv!$L5:$HD5))</f>
        <v>0</v>
      </c>
      <c r="SY5" s="5">
        <f>IF(ISERROR(LOOKUP(SY$1,$S5:$HK5,csv!$L5:$HD5)),NA(),LOOKUP(SY$1,$S5:$HK5,csv!$L5:$HD5))</f>
        <v>0</v>
      </c>
      <c r="SZ5" s="5">
        <f>IF(ISERROR(LOOKUP(SZ$1,$S5:$HK5,csv!$L5:$HD5)),NA(),LOOKUP(SZ$1,$S5:$HK5,csv!$L5:$HD5))</f>
        <v>0</v>
      </c>
      <c r="TA5" s="5">
        <f>IF(ISERROR(LOOKUP(TA$1,$S5:$HK5,csv!$L5:$HD5)),NA(),LOOKUP(TA$1,$S5:$HK5,csv!$L5:$HD5))</f>
        <v>0</v>
      </c>
      <c r="TB5" s="5">
        <f>IF(ISERROR(LOOKUP(TB$1,$S5:$HK5,csv!$L5:$HD5)),NA(),LOOKUP(TB$1,$S5:$HK5,csv!$L5:$HD5))</f>
        <v>0</v>
      </c>
      <c r="TD5">
        <f>csv!HG5/10</f>
        <v>0</v>
      </c>
    </row>
    <row r="6" spans="1:524" x14ac:dyDescent="0.15">
      <c r="C6" s="32" t="str">
        <f>TEXT(csv!B6&amp;"/"&amp;csv!C6&amp;"-"&amp;csv!E6&amp;"/"&amp;csv!F6,"mm/dd")</f>
        <v>/-/</v>
      </c>
      <c r="D6">
        <f>csv!A6*10000+csv!B6*100+csv!C6</f>
        <v>0</v>
      </c>
      <c r="E6">
        <f>(IF(csv!HG6&lt;-1000,NA(),csv!HG6)+csv!K6)/10</f>
        <v>0</v>
      </c>
      <c r="F6">
        <f>(IF(csv!HG19&lt;-1000,NA(),csv!HG19)+csv!K19)/10</f>
        <v>0</v>
      </c>
      <c r="G6">
        <f>(IF(csv!HG32&lt;-1000,NA(),csv!HG32)+csv!K32)/10</f>
        <v>0</v>
      </c>
      <c r="H6">
        <f>IF(csv!HG6&lt;-1000,NA(),csv!HG6/10)</f>
        <v>0</v>
      </c>
      <c r="I6">
        <f>IF(csv!HG19&lt;-1000,NA(),csv!HG19/10)</f>
        <v>0</v>
      </c>
      <c r="J6">
        <f>IF(csv!HG32&lt;-1000,NA(),csv!HG32/10)</f>
        <v>0</v>
      </c>
      <c r="K6">
        <f>IF(csv!HF6&lt;-1000,NA(),csv!HF6/10)</f>
        <v>0</v>
      </c>
      <c r="L6">
        <f>IF(csv!HF19&lt;-1000,NA(),csv!HF19/10)</f>
        <v>0</v>
      </c>
      <c r="M6">
        <f>IF(csv!HF32&lt;-1000,NA(),csv!HF32/10)</f>
        <v>0</v>
      </c>
      <c r="N6">
        <f>IF(csv!HE6&lt;-1000,NA(),csv!HE6/10)</f>
        <v>0</v>
      </c>
      <c r="O6">
        <f>IF(csv!HE19&lt;-1000,NA(),csv!HE19/10)</f>
        <v>0</v>
      </c>
      <c r="P6">
        <f>IF(csv!HE32&lt;-1000,NA(),csv!HE32/10)</f>
        <v>0</v>
      </c>
      <c r="S6" s="4">
        <f>ROUND((csv!$HG6/10+calc!S$1),1)</f>
        <v>-10</v>
      </c>
      <c r="T6" s="4">
        <f>ROUND((csv!$HG6/10+calc!T$1),1)</f>
        <v>-9.9</v>
      </c>
      <c r="U6" s="4">
        <f>ROUND((csv!$HG6/10+calc!U$1),1)</f>
        <v>-9.8000000000000007</v>
      </c>
      <c r="V6" s="4">
        <f>ROUND((csv!$HG6/10+calc!V$1),1)</f>
        <v>-9.6999999999999993</v>
      </c>
      <c r="W6" s="4">
        <f>ROUND((csv!$HG6/10+calc!W$1),1)</f>
        <v>-9.6</v>
      </c>
      <c r="X6" s="4">
        <f>ROUND((csv!$HG6/10+calc!X$1),1)</f>
        <v>-9.5</v>
      </c>
      <c r="Y6" s="4">
        <f>ROUND((csv!$HG6/10+calc!Y$1),1)</f>
        <v>-9.4</v>
      </c>
      <c r="Z6" s="4">
        <f>ROUND((csv!$HG6/10+calc!Z$1),1)</f>
        <v>-9.3000000000000007</v>
      </c>
      <c r="AA6" s="4">
        <f>ROUND((csv!$HG6/10+calc!AA$1),1)</f>
        <v>-9.1999999999999993</v>
      </c>
      <c r="AB6" s="4">
        <f>ROUND((csv!$HG6/10+calc!AB$1),1)</f>
        <v>-9.1</v>
      </c>
      <c r="AC6" s="4">
        <f>ROUND((csv!$HG6/10+calc!AC$1),1)</f>
        <v>-9</v>
      </c>
      <c r="AD6" s="4">
        <f>ROUND((csv!$HG6/10+calc!AD$1),1)</f>
        <v>-8.9</v>
      </c>
      <c r="AE6" s="4">
        <f>ROUND((csv!$HG6/10+calc!AE$1),1)</f>
        <v>-8.8000000000000007</v>
      </c>
      <c r="AF6" s="4">
        <f>ROUND((csv!$HG6/10+calc!AF$1),1)</f>
        <v>-8.6999999999999993</v>
      </c>
      <c r="AG6" s="4">
        <f>ROUND((csv!$HG6/10+calc!AG$1),1)</f>
        <v>-8.6</v>
      </c>
      <c r="AH6" s="4">
        <f>ROUND((csv!$HG6/10+calc!AH$1),1)</f>
        <v>-8.5</v>
      </c>
      <c r="AI6" s="4">
        <f>ROUND((csv!$HG6/10+calc!AI$1),1)</f>
        <v>-8.4</v>
      </c>
      <c r="AJ6" s="4">
        <f>ROUND((csv!$HG6/10+calc!AJ$1),1)</f>
        <v>-8.3000000000000007</v>
      </c>
      <c r="AK6" s="4">
        <f>ROUND((csv!$HG6/10+calc!AK$1),1)</f>
        <v>-8.1999999999999993</v>
      </c>
      <c r="AL6" s="4">
        <f>ROUND((csv!$HG6/10+calc!AL$1),1)</f>
        <v>-8.1</v>
      </c>
      <c r="AM6" s="4">
        <f>ROUND((csv!$HG6/10+calc!AM$1),1)</f>
        <v>-8</v>
      </c>
      <c r="AN6" s="4">
        <f>ROUND((csv!$HG6/10+calc!AN$1),1)</f>
        <v>-7.9</v>
      </c>
      <c r="AO6" s="4">
        <f>ROUND((csv!$HG6/10+calc!AO$1),1)</f>
        <v>-7.8</v>
      </c>
      <c r="AP6" s="4">
        <f>ROUND((csv!$HG6/10+calc!AP$1),1)</f>
        <v>-7.7</v>
      </c>
      <c r="AQ6" s="4">
        <f>ROUND((csv!$HG6/10+calc!AQ$1),1)</f>
        <v>-7.6</v>
      </c>
      <c r="AR6" s="4">
        <f>ROUND((csv!$HG6/10+calc!AR$1),1)</f>
        <v>-7.5</v>
      </c>
      <c r="AS6" s="4">
        <f>ROUND((csv!$HG6/10+calc!AS$1),1)</f>
        <v>-7.4</v>
      </c>
      <c r="AT6" s="4">
        <f>ROUND((csv!$HG6/10+calc!AT$1),1)</f>
        <v>-7.3</v>
      </c>
      <c r="AU6" s="4">
        <f>ROUND((csv!$HG6/10+calc!AU$1),1)</f>
        <v>-7.2</v>
      </c>
      <c r="AV6" s="4">
        <f>ROUND((csv!$HG6/10+calc!AV$1),1)</f>
        <v>-7.1</v>
      </c>
      <c r="AW6" s="4">
        <f>ROUND((csv!$HG6/10+calc!AW$1),1)</f>
        <v>-7</v>
      </c>
      <c r="AX6" s="4">
        <f>ROUND((csv!$HG6/10+calc!AX$1),1)</f>
        <v>-6.9</v>
      </c>
      <c r="AY6" s="4">
        <f>ROUND((csv!$HG6/10+calc!AY$1),1)</f>
        <v>-6.8</v>
      </c>
      <c r="AZ6" s="4">
        <f>ROUND((csv!$HG6/10+calc!AZ$1),1)</f>
        <v>-6.7</v>
      </c>
      <c r="BA6" s="4">
        <f>ROUND((csv!$HG6/10+calc!BA$1),1)</f>
        <v>-6.6</v>
      </c>
      <c r="BB6" s="4">
        <f>ROUND((csv!$HG6/10+calc!BB$1),1)</f>
        <v>-6.5</v>
      </c>
      <c r="BC6" s="4">
        <f>ROUND((csv!$HG6/10+calc!BC$1),1)</f>
        <v>-6.4</v>
      </c>
      <c r="BD6" s="4">
        <f>ROUND((csv!$HG6/10+calc!BD$1),1)</f>
        <v>-6.3</v>
      </c>
      <c r="BE6" s="4">
        <f>ROUND((csv!$HG6/10+calc!BE$1),1)</f>
        <v>-6.2</v>
      </c>
      <c r="BF6" s="4">
        <f>ROUND((csv!$HG6/10+calc!BF$1),1)</f>
        <v>-6.1</v>
      </c>
      <c r="BG6" s="4">
        <f>ROUND((csv!$HG6/10+calc!BG$1),1)</f>
        <v>-6</v>
      </c>
      <c r="BH6" s="4">
        <f>ROUND((csv!$HG6/10+calc!BH$1),1)</f>
        <v>-5.9</v>
      </c>
      <c r="BI6" s="4">
        <f>ROUND((csv!$HG6/10+calc!BI$1),1)</f>
        <v>-5.8</v>
      </c>
      <c r="BJ6" s="4">
        <f>ROUND((csv!$HG6/10+calc!BJ$1),1)</f>
        <v>-5.7</v>
      </c>
      <c r="BK6" s="4">
        <f>ROUND((csv!$HG6/10+calc!BK$1),1)</f>
        <v>-5.6</v>
      </c>
      <c r="BL6" s="4">
        <f>ROUND((csv!$HG6/10+calc!BL$1),1)</f>
        <v>-5.5</v>
      </c>
      <c r="BM6" s="4">
        <f>ROUND((csv!$HG6/10+calc!BM$1),1)</f>
        <v>-5.4</v>
      </c>
      <c r="BN6" s="4">
        <f>ROUND((csv!$HG6/10+calc!BN$1),1)</f>
        <v>-5.3</v>
      </c>
      <c r="BO6" s="4">
        <f>ROUND((csv!$HG6/10+calc!BO$1),1)</f>
        <v>-5.2</v>
      </c>
      <c r="BP6" s="4">
        <f>ROUND((csv!$HG6/10+calc!BP$1),1)</f>
        <v>-5.0999999999999996</v>
      </c>
      <c r="BQ6" s="4">
        <f>ROUND((csv!$HG6/10+calc!BQ$1),1)</f>
        <v>-5</v>
      </c>
      <c r="BR6" s="4">
        <f>ROUND((csv!$HG6/10+calc!BR$1),1)</f>
        <v>-4.9000000000000004</v>
      </c>
      <c r="BS6" s="4">
        <f>ROUND((csv!$HG6/10+calc!BS$1),1)</f>
        <v>-4.8</v>
      </c>
      <c r="BT6" s="4">
        <f>ROUND((csv!$HG6/10+calc!BT$1),1)</f>
        <v>-4.7</v>
      </c>
      <c r="BU6" s="4">
        <f>ROUND((csv!$HG6/10+calc!BU$1),1)</f>
        <v>-4.5999999999999996</v>
      </c>
      <c r="BV6" s="4">
        <f>ROUND((csv!$HG6/10+calc!BV$1),1)</f>
        <v>-4.5</v>
      </c>
      <c r="BW6" s="4">
        <f>ROUND((csv!$HG6/10+calc!BW$1),1)</f>
        <v>-4.4000000000000004</v>
      </c>
      <c r="BX6" s="4">
        <f>ROUND((csv!$HG6/10+calc!BX$1),1)</f>
        <v>-4.3</v>
      </c>
      <c r="BY6" s="4">
        <f>ROUND((csv!$HG6/10+calc!BY$1),1)</f>
        <v>-4.2</v>
      </c>
      <c r="BZ6" s="4">
        <f>ROUND((csv!$HG6/10+calc!BZ$1),1)</f>
        <v>-4.0999999999999996</v>
      </c>
      <c r="CA6" s="4">
        <f>ROUND((csv!$HG6/10+calc!CA$1),1)</f>
        <v>-4</v>
      </c>
      <c r="CB6" s="4">
        <f>ROUND((csv!$HG6/10+calc!CB$1),1)</f>
        <v>-3.9</v>
      </c>
      <c r="CC6" s="4">
        <f>ROUND((csv!$HG6/10+calc!CC$1),1)</f>
        <v>-3.8</v>
      </c>
      <c r="CD6" s="4">
        <f>ROUND((csv!$HG6/10+calc!CD$1),1)</f>
        <v>-3.7</v>
      </c>
      <c r="CE6" s="4">
        <f>ROUND((csv!$HG6/10+calc!CE$1),1)</f>
        <v>-3.6</v>
      </c>
      <c r="CF6" s="4">
        <f>ROUND((csv!$HG6/10+calc!CF$1),1)</f>
        <v>-3.5</v>
      </c>
      <c r="CG6" s="4">
        <f>ROUND((csv!$HG6/10+calc!CG$1),1)</f>
        <v>-3.4</v>
      </c>
      <c r="CH6" s="4">
        <f>ROUND((csv!$HG6/10+calc!CH$1),1)</f>
        <v>-3.3</v>
      </c>
      <c r="CI6" s="4">
        <f>ROUND((csv!$HG6/10+calc!CI$1),1)</f>
        <v>-3.2</v>
      </c>
      <c r="CJ6" s="4">
        <f>ROUND((csv!$HG6/10+calc!CJ$1),1)</f>
        <v>-3.1</v>
      </c>
      <c r="CK6" s="4">
        <f>ROUND((csv!$HG6/10+calc!CK$1),1)</f>
        <v>-3</v>
      </c>
      <c r="CL6" s="4">
        <f>ROUND((csv!$HG6/10+calc!CL$1),1)</f>
        <v>-2.9</v>
      </c>
      <c r="CM6" s="4">
        <f>ROUND((csv!$HG6/10+calc!CM$1),1)</f>
        <v>-2.8</v>
      </c>
      <c r="CN6" s="4">
        <f>ROUND((csv!$HG6/10+calc!CN$1),1)</f>
        <v>-2.7</v>
      </c>
      <c r="CO6" s="4">
        <f>ROUND((csv!$HG6/10+calc!CO$1),1)</f>
        <v>-2.6</v>
      </c>
      <c r="CP6" s="4">
        <f>ROUND((csv!$HG6/10+calc!CP$1),1)</f>
        <v>-2.5</v>
      </c>
      <c r="CQ6" s="4">
        <f>ROUND((csv!$HG6/10+calc!CQ$1),1)</f>
        <v>-2.4</v>
      </c>
      <c r="CR6" s="4">
        <f>ROUND((csv!$HG6/10+calc!CR$1),1)</f>
        <v>-2.2999999999999998</v>
      </c>
      <c r="CS6" s="4">
        <f>ROUND((csv!$HG6/10+calc!CS$1),1)</f>
        <v>-2.2000000000000002</v>
      </c>
      <c r="CT6" s="4">
        <f>ROUND((csv!$HG6/10+calc!CT$1),1)</f>
        <v>-2.1</v>
      </c>
      <c r="CU6" s="4">
        <f>ROUND((csv!$HG6/10+calc!CU$1),1)</f>
        <v>-2</v>
      </c>
      <c r="CV6" s="4">
        <f>ROUND((csv!$HG6/10+calc!CV$1),1)</f>
        <v>-1.9</v>
      </c>
      <c r="CW6" s="4">
        <f>ROUND((csv!$HG6/10+calc!CW$1),1)</f>
        <v>-1.8</v>
      </c>
      <c r="CX6" s="4">
        <f>ROUND((csv!$HG6/10+calc!CX$1),1)</f>
        <v>-1.7</v>
      </c>
      <c r="CY6" s="4">
        <f>ROUND((csv!$HG6/10+calc!CY$1),1)</f>
        <v>-1.6</v>
      </c>
      <c r="CZ6" s="4">
        <f>ROUND((csv!$HG6/10+calc!CZ$1),1)</f>
        <v>-1.5</v>
      </c>
      <c r="DA6" s="4">
        <f>ROUND((csv!$HG6/10+calc!DA$1),1)</f>
        <v>-1.4</v>
      </c>
      <c r="DB6" s="4">
        <f>ROUND((csv!$HG6/10+calc!DB$1),1)</f>
        <v>-1.3</v>
      </c>
      <c r="DC6" s="4">
        <f>ROUND((csv!$HG6/10+calc!DC$1),1)</f>
        <v>-1.2</v>
      </c>
      <c r="DD6" s="4">
        <f>ROUND((csv!$HG6/10+calc!DD$1),1)</f>
        <v>-1.1000000000000001</v>
      </c>
      <c r="DE6" s="4">
        <f>ROUND((csv!$HG6/10+calc!DE$1),1)</f>
        <v>-1</v>
      </c>
      <c r="DF6" s="4">
        <f>ROUND((csv!$HG6/10+calc!DF$1),1)</f>
        <v>-0.9</v>
      </c>
      <c r="DG6" s="4">
        <f>ROUND((csv!$HG6/10+calc!DG$1),1)</f>
        <v>-0.8</v>
      </c>
      <c r="DH6" s="4">
        <f>ROUND((csv!$HG6/10+calc!DH$1),1)</f>
        <v>-0.7</v>
      </c>
      <c r="DI6" s="4">
        <f>ROUND((csv!$HG6/10+calc!DI$1),1)</f>
        <v>-0.6</v>
      </c>
      <c r="DJ6" s="4">
        <f>ROUND((csv!$HG6/10+calc!DJ$1),1)</f>
        <v>-0.5</v>
      </c>
      <c r="DK6" s="4">
        <f>ROUND((csv!$HG6/10+calc!DK$1),1)</f>
        <v>-0.4</v>
      </c>
      <c r="DL6" s="4">
        <f>ROUND((csv!$HG6/10+calc!DL$1),1)</f>
        <v>-0.3</v>
      </c>
      <c r="DM6" s="4">
        <f>ROUND((csv!$HG6/10+calc!DM$1),1)</f>
        <v>-0.2</v>
      </c>
      <c r="DN6" s="4">
        <f>ROUND((csv!$HG6/10+calc!DN$1),1)</f>
        <v>-0.1</v>
      </c>
      <c r="DO6" s="4">
        <f>ROUND((csv!$HG6/10+calc!DO$1),1)</f>
        <v>0</v>
      </c>
      <c r="DP6" s="4">
        <f>ROUND((csv!$HG6/10+calc!DP$1),1)</f>
        <v>0.1</v>
      </c>
      <c r="DQ6" s="4">
        <f>ROUND((csv!$HG6/10+calc!DQ$1),1)</f>
        <v>0.2</v>
      </c>
      <c r="DR6" s="4">
        <f>ROUND((csv!$HG6/10+calc!DR$1),1)</f>
        <v>0.3</v>
      </c>
      <c r="DS6" s="4">
        <f>ROUND((csv!$HG6/10+calc!DS$1),1)</f>
        <v>0.4</v>
      </c>
      <c r="DT6" s="4">
        <f>ROUND((csv!$HG6/10+calc!DT$1),1)</f>
        <v>0.5</v>
      </c>
      <c r="DU6" s="4">
        <f>ROUND((csv!$HG6/10+calc!DU$1),1)</f>
        <v>0.6</v>
      </c>
      <c r="DV6" s="4">
        <f>ROUND((csv!$HG6/10+calc!DV$1),1)</f>
        <v>0.7</v>
      </c>
      <c r="DW6" s="4">
        <f>ROUND((csv!$HG6/10+calc!DW$1),1)</f>
        <v>0.8</v>
      </c>
      <c r="DX6" s="4">
        <f>ROUND((csv!$HG6/10+calc!DX$1),1)</f>
        <v>0.9</v>
      </c>
      <c r="DY6" s="4">
        <f>ROUND((csv!$HG6/10+calc!DY$1),1)</f>
        <v>1</v>
      </c>
      <c r="DZ6" s="4">
        <f>ROUND((csv!$HG6/10+calc!DZ$1),1)</f>
        <v>1.1000000000000001</v>
      </c>
      <c r="EA6" s="4">
        <f>ROUND((csv!$HG6/10+calc!EA$1),1)</f>
        <v>1.2</v>
      </c>
      <c r="EB6" s="4">
        <f>ROUND((csv!$HG6/10+calc!EB$1),1)</f>
        <v>1.3</v>
      </c>
      <c r="EC6" s="4">
        <f>ROUND((csv!$HG6/10+calc!EC$1),1)</f>
        <v>1.4</v>
      </c>
      <c r="ED6" s="4">
        <f>ROUND((csv!$HG6/10+calc!ED$1),1)</f>
        <v>1.5</v>
      </c>
      <c r="EE6" s="4">
        <f>ROUND((csv!$HG6/10+calc!EE$1),1)</f>
        <v>1.6</v>
      </c>
      <c r="EF6" s="4">
        <f>ROUND((csv!$HG6/10+calc!EF$1),1)</f>
        <v>1.7</v>
      </c>
      <c r="EG6" s="4">
        <f>ROUND((csv!$HG6/10+calc!EG$1),1)</f>
        <v>1.8</v>
      </c>
      <c r="EH6" s="4">
        <f>ROUND((csv!$HG6/10+calc!EH$1),1)</f>
        <v>1.9</v>
      </c>
      <c r="EI6" s="4">
        <f>ROUND((csv!$HG6/10+calc!EI$1),1)</f>
        <v>2</v>
      </c>
      <c r="EJ6" s="4">
        <f>ROUND((csv!$HG6/10+calc!EJ$1),1)</f>
        <v>2.1</v>
      </c>
      <c r="EK6" s="4">
        <f>ROUND((csv!$HG6/10+calc!EK$1),1)</f>
        <v>2.2000000000000002</v>
      </c>
      <c r="EL6" s="4">
        <f>ROUND((csv!$HG6/10+calc!EL$1),1)</f>
        <v>2.2999999999999998</v>
      </c>
      <c r="EM6" s="4">
        <f>ROUND((csv!$HG6/10+calc!EM$1),1)</f>
        <v>2.4</v>
      </c>
      <c r="EN6" s="4">
        <f>ROUND((csv!$HG6/10+calc!EN$1),1)</f>
        <v>2.5</v>
      </c>
      <c r="EO6" s="4">
        <f>ROUND((csv!$HG6/10+calc!EO$1),1)</f>
        <v>2.6</v>
      </c>
      <c r="EP6" s="4">
        <f>ROUND((csv!$HG6/10+calc!EP$1),1)</f>
        <v>2.7</v>
      </c>
      <c r="EQ6" s="4">
        <f>ROUND((csv!$HG6/10+calc!EQ$1),1)</f>
        <v>2.8</v>
      </c>
      <c r="ER6" s="4">
        <f>ROUND((csv!$HG6/10+calc!ER$1),1)</f>
        <v>2.9</v>
      </c>
      <c r="ES6" s="4">
        <f>ROUND((csv!$HG6/10+calc!ES$1),1)</f>
        <v>3</v>
      </c>
      <c r="ET6" s="4">
        <f>ROUND((csv!$HG6/10+calc!ET$1),1)</f>
        <v>3.1</v>
      </c>
      <c r="EU6" s="4">
        <f>ROUND((csv!$HG6/10+calc!EU$1),1)</f>
        <v>3.2</v>
      </c>
      <c r="EV6" s="4">
        <f>ROUND((csv!$HG6/10+calc!EV$1),1)</f>
        <v>3.3</v>
      </c>
      <c r="EW6" s="4">
        <f>ROUND((csv!$HG6/10+calc!EW$1),1)</f>
        <v>3.4</v>
      </c>
      <c r="EX6" s="4">
        <f>ROUND((csv!$HG6/10+calc!EX$1),1)</f>
        <v>3.5</v>
      </c>
      <c r="EY6" s="4">
        <f>ROUND((csv!$HG6/10+calc!EY$1),1)</f>
        <v>3.6</v>
      </c>
      <c r="EZ6" s="4">
        <f>ROUND((csv!$HG6/10+calc!EZ$1),1)</f>
        <v>3.7</v>
      </c>
      <c r="FA6" s="4">
        <f>ROUND((csv!$HG6/10+calc!FA$1),1)</f>
        <v>3.8</v>
      </c>
      <c r="FB6" s="4">
        <f>ROUND((csv!$HG6/10+calc!FB$1),1)</f>
        <v>3.9</v>
      </c>
      <c r="FC6" s="4">
        <f>ROUND((csv!$HG6/10+calc!FC$1),1)</f>
        <v>4</v>
      </c>
      <c r="FD6" s="4">
        <f>ROUND((csv!$HG6/10+calc!FD$1),1)</f>
        <v>4.0999999999999996</v>
      </c>
      <c r="FE6" s="4">
        <f>ROUND((csv!$HG6/10+calc!FE$1),1)</f>
        <v>4.2</v>
      </c>
      <c r="FF6" s="4">
        <f>ROUND((csv!$HG6/10+calc!FF$1),1)</f>
        <v>4.3</v>
      </c>
      <c r="FG6" s="4">
        <f>ROUND((csv!$HG6/10+calc!FG$1),1)</f>
        <v>4.4000000000000004</v>
      </c>
      <c r="FH6" s="4">
        <f>ROUND((csv!$HG6/10+calc!FH$1),1)</f>
        <v>4.5</v>
      </c>
      <c r="FI6" s="4">
        <f>ROUND((csv!$HG6/10+calc!FI$1),1)</f>
        <v>4.5999999999999996</v>
      </c>
      <c r="FJ6" s="4">
        <f>ROUND((csv!$HG6/10+calc!FJ$1),1)</f>
        <v>4.7</v>
      </c>
      <c r="FK6" s="4">
        <f>ROUND((csv!$HG6/10+calc!FK$1),1)</f>
        <v>4.8</v>
      </c>
      <c r="FL6" s="4">
        <f>ROUND((csv!$HG6/10+calc!FL$1),1)</f>
        <v>4.9000000000000004</v>
      </c>
      <c r="FM6" s="4">
        <f>ROUND((csv!$HG6/10+calc!FM$1),1)</f>
        <v>5</v>
      </c>
      <c r="FN6" s="4">
        <f>ROUND((csv!$HG6/10+calc!FN$1),1)</f>
        <v>5.0999999999999996</v>
      </c>
      <c r="FO6" s="4">
        <f>ROUND((csv!$HG6/10+calc!FO$1),1)</f>
        <v>5.2</v>
      </c>
      <c r="FP6" s="4">
        <f>ROUND((csv!$HG6/10+calc!FP$1),1)</f>
        <v>5.3</v>
      </c>
      <c r="FQ6" s="4">
        <f>ROUND((csv!$HG6/10+calc!FQ$1),1)</f>
        <v>5.4</v>
      </c>
      <c r="FR6" s="4">
        <f>ROUND((csv!$HG6/10+calc!FR$1),1)</f>
        <v>5.5</v>
      </c>
      <c r="FS6" s="4">
        <f>ROUND((csv!$HG6/10+calc!FS$1),1)</f>
        <v>5.6</v>
      </c>
      <c r="FT6" s="4">
        <f>ROUND((csv!$HG6/10+calc!FT$1),1)</f>
        <v>5.7</v>
      </c>
      <c r="FU6" s="4">
        <f>ROUND((csv!$HG6/10+calc!FU$1),1)</f>
        <v>5.8</v>
      </c>
      <c r="FV6" s="4">
        <f>ROUND((csv!$HG6/10+calc!FV$1),1)</f>
        <v>5.9</v>
      </c>
      <c r="FW6" s="4">
        <f>ROUND((csv!$HG6/10+calc!FW$1),1)</f>
        <v>6</v>
      </c>
      <c r="FX6" s="4">
        <f>ROUND((csv!$HG6/10+calc!FX$1),1)</f>
        <v>6.1</v>
      </c>
      <c r="FY6" s="4">
        <f>ROUND((csv!$HG6/10+calc!FY$1),1)</f>
        <v>6.2</v>
      </c>
      <c r="FZ6" s="4">
        <f>ROUND((csv!$HG6/10+calc!FZ$1),1)</f>
        <v>6.3</v>
      </c>
      <c r="GA6" s="4">
        <f>ROUND((csv!$HG6/10+calc!GA$1),1)</f>
        <v>6.4</v>
      </c>
      <c r="GB6" s="4">
        <f>ROUND((csv!$HG6/10+calc!GB$1),1)</f>
        <v>6.5</v>
      </c>
      <c r="GC6" s="4">
        <f>ROUND((csv!$HG6/10+calc!GC$1),1)</f>
        <v>6.6</v>
      </c>
      <c r="GD6" s="4">
        <f>ROUND((csv!$HG6/10+calc!GD$1),1)</f>
        <v>6.7</v>
      </c>
      <c r="GE6" s="4">
        <f>ROUND((csv!$HG6/10+calc!GE$1),1)</f>
        <v>6.8</v>
      </c>
      <c r="GF6" s="4">
        <f>ROUND((csv!$HG6/10+calc!GF$1),1)</f>
        <v>6.9</v>
      </c>
      <c r="GG6" s="4">
        <f>ROUND((csv!$HG6/10+calc!GG$1),1)</f>
        <v>7</v>
      </c>
      <c r="GH6" s="4">
        <f>ROUND((csv!$HG6/10+calc!GH$1),1)</f>
        <v>7.1</v>
      </c>
      <c r="GI6" s="4">
        <f>ROUND((csv!$HG6/10+calc!GI$1),1)</f>
        <v>7.2</v>
      </c>
      <c r="GJ6" s="4">
        <f>ROUND((csv!$HG6/10+calc!GJ$1),1)</f>
        <v>7.3</v>
      </c>
      <c r="GK6" s="4">
        <f>ROUND((csv!$HG6/10+calc!GK$1),1)</f>
        <v>7.4</v>
      </c>
      <c r="GL6" s="4">
        <f>ROUND((csv!$HG6/10+calc!GL$1),1)</f>
        <v>7.5</v>
      </c>
      <c r="GM6" s="4">
        <f>ROUND((csv!$HG6/10+calc!GM$1),1)</f>
        <v>7.6</v>
      </c>
      <c r="GN6" s="4">
        <f>ROUND((csv!$HG6/10+calc!GN$1),1)</f>
        <v>7.7</v>
      </c>
      <c r="GO6" s="4">
        <f>ROUND((csv!$HG6/10+calc!GO$1),1)</f>
        <v>7.8</v>
      </c>
      <c r="GP6" s="4">
        <f>ROUND((csv!$HG6/10+calc!GP$1),1)</f>
        <v>7.9</v>
      </c>
      <c r="GQ6" s="4">
        <f>ROUND((csv!$HG6/10+calc!GQ$1),1)</f>
        <v>8</v>
      </c>
      <c r="GR6" s="4">
        <f>ROUND((csv!$HG6/10+calc!GR$1),1)</f>
        <v>8.1</v>
      </c>
      <c r="GS6" s="4">
        <f>ROUND((csv!$HG6/10+calc!GS$1),1)</f>
        <v>8.1999999999999993</v>
      </c>
      <c r="GT6" s="4">
        <f>ROUND((csv!$HG6/10+calc!GT$1),1)</f>
        <v>8.3000000000000007</v>
      </c>
      <c r="GU6" s="4">
        <f>ROUND((csv!$HG6/10+calc!GU$1),1)</f>
        <v>8.4</v>
      </c>
      <c r="GV6" s="4">
        <f>ROUND((csv!$HG6/10+calc!GV$1),1)</f>
        <v>8.5</v>
      </c>
      <c r="GW6" s="4">
        <f>ROUND((csv!$HG6/10+calc!GW$1),1)</f>
        <v>8.6</v>
      </c>
      <c r="GX6" s="4">
        <f>ROUND((csv!$HG6/10+calc!GX$1),1)</f>
        <v>8.6999999999999993</v>
      </c>
      <c r="GY6" s="4">
        <f>ROUND((csv!$HG6/10+calc!GY$1),1)</f>
        <v>8.8000000000000007</v>
      </c>
      <c r="GZ6" s="4">
        <f>ROUND((csv!$HG6/10+calc!GZ$1),1)</f>
        <v>8.9</v>
      </c>
      <c r="HA6" s="4">
        <f>ROUND((csv!$HG6/10+calc!HA$1),1)</f>
        <v>9</v>
      </c>
      <c r="HB6" s="4">
        <f>ROUND((csv!$HG6/10+calc!HB$1),1)</f>
        <v>9.1</v>
      </c>
      <c r="HC6" s="4">
        <f>ROUND((csv!$HG6/10+calc!HC$1),1)</f>
        <v>9.1999999999999993</v>
      </c>
      <c r="HD6" s="4">
        <f>ROUND((csv!$HG6/10+calc!HD$1),1)</f>
        <v>9.3000000000000007</v>
      </c>
      <c r="HE6" s="4">
        <f>ROUND((csv!$HG6/10+calc!HE$1),1)</f>
        <v>9.4</v>
      </c>
      <c r="HF6" s="4">
        <f>ROUND((csv!$HG6/10+calc!HF$1),1)</f>
        <v>9.5</v>
      </c>
      <c r="HG6" s="4">
        <f>ROUND((csv!$HG6/10+calc!HG$1),1)</f>
        <v>9.6</v>
      </c>
      <c r="HH6" s="4">
        <f>ROUND((csv!$HG6/10+calc!HH$1),1)</f>
        <v>9.6999999999999993</v>
      </c>
      <c r="HI6" s="4">
        <f>ROUND((csv!$HG6/10+calc!HI$1),1)</f>
        <v>9.8000000000000007</v>
      </c>
      <c r="HJ6" s="4">
        <f>ROUND((csv!$HG6/10+calc!HJ$1),1)</f>
        <v>9.9</v>
      </c>
      <c r="HK6" s="4">
        <f>ROUND((csv!$HG6/10+calc!HK$1),1)</f>
        <v>10</v>
      </c>
      <c r="HM6" s="2">
        <f>csv!A6*10000+csv!B6*100+csv!C6</f>
        <v>0</v>
      </c>
      <c r="HN6" s="5">
        <f>IF(ISERROR(LOOKUP(HN$1,$S6:$HK6,csv!$L6:$HD6)),NA(),LOOKUP(HN$1,$S6:$HK6,csv!$L6:$HD6))</f>
        <v>0</v>
      </c>
      <c r="HO6" s="5">
        <f>IF(ISERROR(LOOKUP(HO$1,$S6:$HK6,csv!$L6:$HD6)),NA(),LOOKUP(HO$1,$S6:$HK6,csv!$L6:$HD6))</f>
        <v>0</v>
      </c>
      <c r="HP6" s="5">
        <f>IF(ISERROR(LOOKUP(HP$1,$S6:$HK6,csv!$L6:$HD6)),NA(),LOOKUP(HP$1,$S6:$HK6,csv!$L6:$HD6))</f>
        <v>0</v>
      </c>
      <c r="HQ6" s="5">
        <f>IF(ISERROR(LOOKUP(HQ$1,$S6:$HK6,csv!$L6:$HD6)),NA(),LOOKUP(HQ$1,$S6:$HK6,csv!$L6:$HD6))</f>
        <v>0</v>
      </c>
      <c r="HR6" s="5">
        <f>IF(ISERROR(LOOKUP(HR$1,$S6:$HK6,csv!$L6:$HD6)),NA(),LOOKUP(HR$1,$S6:$HK6,csv!$L6:$HD6))</f>
        <v>0</v>
      </c>
      <c r="HS6" s="5">
        <f>IF(ISERROR(LOOKUP(HS$1,$S6:$HK6,csv!$L6:$HD6)),NA(),LOOKUP(HS$1,$S6:$HK6,csv!$L6:$HD6))</f>
        <v>0</v>
      </c>
      <c r="HT6" s="5">
        <f>IF(ISERROR(LOOKUP(HT$1,$S6:$HK6,csv!$L6:$HD6)),NA(),LOOKUP(HT$1,$S6:$HK6,csv!$L6:$HD6))</f>
        <v>0</v>
      </c>
      <c r="HU6" s="5">
        <f>IF(ISERROR(LOOKUP(HU$1,$S6:$HK6,csv!$L6:$HD6)),NA(),LOOKUP(HU$1,$S6:$HK6,csv!$L6:$HD6))</f>
        <v>0</v>
      </c>
      <c r="HV6" s="5">
        <f>IF(ISERROR(LOOKUP(HV$1,$S6:$HK6,csv!$L6:$HD6)),NA(),LOOKUP(HV$1,$S6:$HK6,csv!$L6:$HD6))</f>
        <v>0</v>
      </c>
      <c r="HW6" s="5">
        <f>IF(ISERROR(LOOKUP(HW$1,$S6:$HK6,csv!$L6:$HD6)),NA(),LOOKUP(HW$1,$S6:$HK6,csv!$L6:$HD6))</f>
        <v>0</v>
      </c>
      <c r="HX6" s="5">
        <f>IF(ISERROR(LOOKUP(HX$1,$S6:$HK6,csv!$L6:$HD6)),NA(),LOOKUP(HX$1,$S6:$HK6,csv!$L6:$HD6))</f>
        <v>0</v>
      </c>
      <c r="HY6" s="5">
        <f>IF(ISERROR(LOOKUP(HY$1,$S6:$HK6,csv!$L6:$HD6)),NA(),LOOKUP(HY$1,$S6:$HK6,csv!$L6:$HD6))</f>
        <v>0</v>
      </c>
      <c r="HZ6" s="5">
        <f>IF(ISERROR(LOOKUP(HZ$1,$S6:$HK6,csv!$L6:$HD6)),NA(),LOOKUP(HZ$1,$S6:$HK6,csv!$L6:$HD6))</f>
        <v>0</v>
      </c>
      <c r="IA6" s="5">
        <f>IF(ISERROR(LOOKUP(IA$1,$S6:$HK6,csv!$L6:$HD6)),NA(),LOOKUP(IA$1,$S6:$HK6,csv!$L6:$HD6))</f>
        <v>0</v>
      </c>
      <c r="IB6" s="5">
        <f>IF(ISERROR(LOOKUP(IB$1,$S6:$HK6,csv!$L6:$HD6)),NA(),LOOKUP(IB$1,$S6:$HK6,csv!$L6:$HD6))</f>
        <v>0</v>
      </c>
      <c r="IC6" s="5">
        <f>IF(ISERROR(LOOKUP(IC$1,$S6:$HK6,csv!$L6:$HD6)),NA(),LOOKUP(IC$1,$S6:$HK6,csv!$L6:$HD6))</f>
        <v>0</v>
      </c>
      <c r="ID6" s="5">
        <f>IF(ISERROR(LOOKUP(ID$1,$S6:$HK6,csv!$L6:$HD6)),NA(),LOOKUP(ID$1,$S6:$HK6,csv!$L6:$HD6))</f>
        <v>0</v>
      </c>
      <c r="IE6" s="5">
        <f>IF(ISERROR(LOOKUP(IE$1,$S6:$HK6,csv!$L6:$HD6)),NA(),LOOKUP(IE$1,$S6:$HK6,csv!$L6:$HD6))</f>
        <v>0</v>
      </c>
      <c r="IF6" s="5">
        <f>IF(ISERROR(LOOKUP(IF$1,$S6:$HK6,csv!$L6:$HD6)),NA(),LOOKUP(IF$1,$S6:$HK6,csv!$L6:$HD6))</f>
        <v>0</v>
      </c>
      <c r="IG6" s="5">
        <f>IF(ISERROR(LOOKUP(IG$1,$S6:$HK6,csv!$L6:$HD6)),NA(),LOOKUP(IG$1,$S6:$HK6,csv!$L6:$HD6))</f>
        <v>0</v>
      </c>
      <c r="IH6" s="5">
        <f>IF(ISERROR(LOOKUP(IH$1,$S6:$HK6,csv!$L6:$HD6)),NA(),LOOKUP(IH$1,$S6:$HK6,csv!$L6:$HD6))</f>
        <v>0</v>
      </c>
      <c r="II6" s="5">
        <f>IF(ISERROR(LOOKUP(II$1,$S6:$HK6,csv!$L6:$HD6)),NA(),LOOKUP(II$1,$S6:$HK6,csv!$L6:$HD6))</f>
        <v>0</v>
      </c>
      <c r="IJ6" s="5">
        <f>IF(ISERROR(LOOKUP(IJ$1,$S6:$HK6,csv!$L6:$HD6)),NA(),LOOKUP(IJ$1,$S6:$HK6,csv!$L6:$HD6))</f>
        <v>0</v>
      </c>
      <c r="IK6" s="5">
        <f>IF(ISERROR(LOOKUP(IK$1,$S6:$HK6,csv!$L6:$HD6)),NA(),LOOKUP(IK$1,$S6:$HK6,csv!$L6:$HD6))</f>
        <v>0</v>
      </c>
      <c r="IL6" s="5">
        <f>IF(ISERROR(LOOKUP(IL$1,$S6:$HK6,csv!$L6:$HD6)),NA(),LOOKUP(IL$1,$S6:$HK6,csv!$L6:$HD6))</f>
        <v>0</v>
      </c>
      <c r="IM6" s="5">
        <f>IF(ISERROR(LOOKUP(IM$1,$S6:$HK6,csv!$L6:$HD6)),NA(),LOOKUP(IM$1,$S6:$HK6,csv!$L6:$HD6))</f>
        <v>0</v>
      </c>
      <c r="IN6" s="5">
        <f>IF(ISERROR(LOOKUP(IN$1,$S6:$HK6,csv!$L6:$HD6)),NA(),LOOKUP(IN$1,$S6:$HK6,csv!$L6:$HD6))</f>
        <v>0</v>
      </c>
      <c r="IO6" s="5">
        <f>IF(ISERROR(LOOKUP(IO$1,$S6:$HK6,csv!$L6:$HD6)),NA(),LOOKUP(IO$1,$S6:$HK6,csv!$L6:$HD6))</f>
        <v>0</v>
      </c>
      <c r="IP6" s="5">
        <f>IF(ISERROR(LOOKUP(IP$1,$S6:$HK6,csv!$L6:$HD6)),NA(),LOOKUP(IP$1,$S6:$HK6,csv!$L6:$HD6))</f>
        <v>0</v>
      </c>
      <c r="IQ6" s="5">
        <f>IF(ISERROR(LOOKUP(IQ$1,$S6:$HK6,csv!$L6:$HD6)),NA(),LOOKUP(IQ$1,$S6:$HK6,csv!$L6:$HD6))</f>
        <v>0</v>
      </c>
      <c r="IR6" s="5">
        <f>IF(ISERROR(LOOKUP(IR$1,$S6:$HK6,csv!$L6:$HD6)),NA(),LOOKUP(IR$1,$S6:$HK6,csv!$L6:$HD6))</f>
        <v>0</v>
      </c>
      <c r="IS6" s="5">
        <f>IF(ISERROR(LOOKUP(IS$1,$S6:$HK6,csv!$L6:$HD6)),NA(),LOOKUP(IS$1,$S6:$HK6,csv!$L6:$HD6))</f>
        <v>0</v>
      </c>
      <c r="IT6" s="5">
        <f>IF(ISERROR(LOOKUP(IT$1,$S6:$HK6,csv!$L6:$HD6)),NA(),LOOKUP(IT$1,$S6:$HK6,csv!$L6:$HD6))</f>
        <v>0</v>
      </c>
      <c r="IU6" s="5">
        <f>IF(ISERROR(LOOKUP(IU$1,$S6:$HK6,csv!$L6:$HD6)),NA(),LOOKUP(IU$1,$S6:$HK6,csv!$L6:$HD6))</f>
        <v>0</v>
      </c>
      <c r="IV6" s="5">
        <f>IF(ISERROR(LOOKUP(IV$1,$S6:$HK6,csv!$L6:$HD6)),NA(),LOOKUP(IV$1,$S6:$HK6,csv!$L6:$HD6))</f>
        <v>0</v>
      </c>
      <c r="IW6" s="5">
        <f>IF(ISERROR(LOOKUP(IW$1,$S6:$HK6,csv!$L6:$HD6)),NA(),LOOKUP(IW$1,$S6:$HK6,csv!$L6:$HD6))</f>
        <v>0</v>
      </c>
      <c r="IX6" s="5">
        <f>IF(ISERROR(LOOKUP(IX$1,$S6:$HK6,csv!$L6:$HD6)),NA(),LOOKUP(IX$1,$S6:$HK6,csv!$L6:$HD6))</f>
        <v>0</v>
      </c>
      <c r="IY6" s="5">
        <f>IF(ISERROR(LOOKUP(IY$1,$S6:$HK6,csv!$L6:$HD6)),NA(),LOOKUP(IY$1,$S6:$HK6,csv!$L6:$HD6))</f>
        <v>0</v>
      </c>
      <c r="IZ6" s="5">
        <f>IF(ISERROR(LOOKUP(IZ$1,$S6:$HK6,csv!$L6:$HD6)),NA(),LOOKUP(IZ$1,$S6:$HK6,csv!$L6:$HD6))</f>
        <v>0</v>
      </c>
      <c r="JA6" s="5">
        <f>IF(ISERROR(LOOKUP(JA$1,$S6:$HK6,csv!$L6:$HD6)),NA(),LOOKUP(JA$1,$S6:$HK6,csv!$L6:$HD6))</f>
        <v>0</v>
      </c>
      <c r="JB6" s="5">
        <f>IF(ISERROR(LOOKUP(JB$1,$S6:$HK6,csv!$L6:$HD6)),NA(),LOOKUP(JB$1,$S6:$HK6,csv!$L6:$HD6))</f>
        <v>0</v>
      </c>
      <c r="JC6" s="5">
        <f>IF(ISERROR(LOOKUP(JC$1,$S6:$HK6,csv!$L6:$HD6)),NA(),LOOKUP(JC$1,$S6:$HK6,csv!$L6:$HD6))</f>
        <v>0</v>
      </c>
      <c r="JD6" s="5">
        <f>IF(ISERROR(LOOKUP(JD$1,$S6:$HK6,csv!$L6:$HD6)),NA(),LOOKUP(JD$1,$S6:$HK6,csv!$L6:$HD6))</f>
        <v>0</v>
      </c>
      <c r="JE6" s="5">
        <f>IF(ISERROR(LOOKUP(JE$1,$S6:$HK6,csv!$L6:$HD6)),NA(),LOOKUP(JE$1,$S6:$HK6,csv!$L6:$HD6))</f>
        <v>0</v>
      </c>
      <c r="JF6" s="5">
        <f>IF(ISERROR(LOOKUP(JF$1,$S6:$HK6,csv!$L6:$HD6)),NA(),LOOKUP(JF$1,$S6:$HK6,csv!$L6:$HD6))</f>
        <v>0</v>
      </c>
      <c r="JG6" s="5">
        <f>IF(ISERROR(LOOKUP(JG$1,$S6:$HK6,csv!$L6:$HD6)),NA(),LOOKUP(JG$1,$S6:$HK6,csv!$L6:$HD6))</f>
        <v>0</v>
      </c>
      <c r="JH6" s="5">
        <f>IF(ISERROR(LOOKUP(JH$1,$S6:$HK6,csv!$L6:$HD6)),NA(),LOOKUP(JH$1,$S6:$HK6,csv!$L6:$HD6))</f>
        <v>0</v>
      </c>
      <c r="JI6" s="5">
        <f>IF(ISERROR(LOOKUP(JI$1,$S6:$HK6,csv!$L6:$HD6)),NA(),LOOKUP(JI$1,$S6:$HK6,csv!$L6:$HD6))</f>
        <v>0</v>
      </c>
      <c r="JJ6" s="5">
        <f>IF(ISERROR(LOOKUP(JJ$1,$S6:$HK6,csv!$L6:$HD6)),NA(),LOOKUP(JJ$1,$S6:$HK6,csv!$L6:$HD6))</f>
        <v>0</v>
      </c>
      <c r="JK6" s="5">
        <f>IF(ISERROR(LOOKUP(JK$1,$S6:$HK6,csv!$L6:$HD6)),NA(),LOOKUP(JK$1,$S6:$HK6,csv!$L6:$HD6))</f>
        <v>0</v>
      </c>
      <c r="JL6" s="5">
        <f>IF(ISERROR(LOOKUP(JL$1,$S6:$HK6,csv!$L6:$HD6)),NA(),LOOKUP(JL$1,$S6:$HK6,csv!$L6:$HD6))</f>
        <v>0</v>
      </c>
      <c r="JM6" s="5">
        <f>IF(ISERROR(LOOKUP(JM$1,$S6:$HK6,csv!$L6:$HD6)),NA(),LOOKUP(JM$1,$S6:$HK6,csv!$L6:$HD6))</f>
        <v>0</v>
      </c>
      <c r="JN6" s="5">
        <f>IF(ISERROR(LOOKUP(JN$1,$S6:$HK6,csv!$L6:$HD6)),NA(),LOOKUP(JN$1,$S6:$HK6,csv!$L6:$HD6))</f>
        <v>0</v>
      </c>
      <c r="JO6" s="5">
        <f>IF(ISERROR(LOOKUP(JO$1,$S6:$HK6,csv!$L6:$HD6)),NA(),LOOKUP(JO$1,$S6:$HK6,csv!$L6:$HD6))</f>
        <v>0</v>
      </c>
      <c r="JP6" s="5">
        <f>IF(ISERROR(LOOKUP(JP$1,$S6:$HK6,csv!$L6:$HD6)),NA(),LOOKUP(JP$1,$S6:$HK6,csv!$L6:$HD6))</f>
        <v>0</v>
      </c>
      <c r="JQ6" s="5">
        <f>IF(ISERROR(LOOKUP(JQ$1,$S6:$HK6,csv!$L6:$HD6)),NA(),LOOKUP(JQ$1,$S6:$HK6,csv!$L6:$HD6))</f>
        <v>0</v>
      </c>
      <c r="JR6" s="5">
        <f>IF(ISERROR(LOOKUP(JR$1,$S6:$HK6,csv!$L6:$HD6)),NA(),LOOKUP(JR$1,$S6:$HK6,csv!$L6:$HD6))</f>
        <v>0</v>
      </c>
      <c r="JS6" s="5">
        <f>IF(ISERROR(LOOKUP(JS$1,$S6:$HK6,csv!$L6:$HD6)),NA(),LOOKUP(JS$1,$S6:$HK6,csv!$L6:$HD6))</f>
        <v>0</v>
      </c>
      <c r="JT6" s="5">
        <f>IF(ISERROR(LOOKUP(JT$1,$S6:$HK6,csv!$L6:$HD6)),NA(),LOOKUP(JT$1,$S6:$HK6,csv!$L6:$HD6))</f>
        <v>0</v>
      </c>
      <c r="JU6" s="5">
        <f>IF(ISERROR(LOOKUP(JU$1,$S6:$HK6,csv!$L6:$HD6)),NA(),LOOKUP(JU$1,$S6:$HK6,csv!$L6:$HD6))</f>
        <v>0</v>
      </c>
      <c r="JV6" s="5">
        <f>IF(ISERROR(LOOKUP(JV$1,$S6:$HK6,csv!$L6:$HD6)),NA(),LOOKUP(JV$1,$S6:$HK6,csv!$L6:$HD6))</f>
        <v>0</v>
      </c>
      <c r="JW6" s="5">
        <f>IF(ISERROR(LOOKUP(JW$1,$S6:$HK6,csv!$L6:$HD6)),NA(),LOOKUP(JW$1,$S6:$HK6,csv!$L6:$HD6))</f>
        <v>0</v>
      </c>
      <c r="JX6" s="5">
        <f>IF(ISERROR(LOOKUP(JX$1,$S6:$HK6,csv!$L6:$HD6)),NA(),LOOKUP(JX$1,$S6:$HK6,csv!$L6:$HD6))</f>
        <v>0</v>
      </c>
      <c r="JY6" s="5">
        <f>IF(ISERROR(LOOKUP(JY$1,$S6:$HK6,csv!$L6:$HD6)),NA(),LOOKUP(JY$1,$S6:$HK6,csv!$L6:$HD6))</f>
        <v>0</v>
      </c>
      <c r="JZ6" s="5">
        <f>IF(ISERROR(LOOKUP(JZ$1,$S6:$HK6,csv!$L6:$HD6)),NA(),LOOKUP(JZ$1,$S6:$HK6,csv!$L6:$HD6))</f>
        <v>0</v>
      </c>
      <c r="KA6" s="5">
        <f>IF(ISERROR(LOOKUP(KA$1,$S6:$HK6,csv!$L6:$HD6)),NA(),LOOKUP(KA$1,$S6:$HK6,csv!$L6:$HD6))</f>
        <v>0</v>
      </c>
      <c r="KB6" s="5">
        <f>IF(ISERROR(LOOKUP(KB$1,$S6:$HK6,csv!$L6:$HD6)),NA(),LOOKUP(KB$1,$S6:$HK6,csv!$L6:$HD6))</f>
        <v>0</v>
      </c>
      <c r="KC6" s="5">
        <f>IF(ISERROR(LOOKUP(KC$1,$S6:$HK6,csv!$L6:$HD6)),NA(),LOOKUP(KC$1,$S6:$HK6,csv!$L6:$HD6))</f>
        <v>0</v>
      </c>
      <c r="KD6" s="5">
        <f>IF(ISERROR(LOOKUP(KD$1,$S6:$HK6,csv!$L6:$HD6)),NA(),LOOKUP(KD$1,$S6:$HK6,csv!$L6:$HD6))</f>
        <v>0</v>
      </c>
      <c r="KE6" s="5">
        <f>IF(ISERROR(LOOKUP(KE$1,$S6:$HK6,csv!$L6:$HD6)),NA(),LOOKUP(KE$1,$S6:$HK6,csv!$L6:$HD6))</f>
        <v>0</v>
      </c>
      <c r="KF6" s="5">
        <f>IF(ISERROR(LOOKUP(KF$1,$S6:$HK6,csv!$L6:$HD6)),NA(),LOOKUP(KF$1,$S6:$HK6,csv!$L6:$HD6))</f>
        <v>0</v>
      </c>
      <c r="KG6" s="5">
        <f>IF(ISERROR(LOOKUP(KG$1,$S6:$HK6,csv!$L6:$HD6)),NA(),LOOKUP(KG$1,$S6:$HK6,csv!$L6:$HD6))</f>
        <v>0</v>
      </c>
      <c r="KH6" s="5">
        <f>IF(ISERROR(LOOKUP(KH$1,$S6:$HK6,csv!$L6:$HD6)),NA(),LOOKUP(KH$1,$S6:$HK6,csv!$L6:$HD6))</f>
        <v>0</v>
      </c>
      <c r="KI6" s="5">
        <f>IF(ISERROR(LOOKUP(KI$1,$S6:$HK6,csv!$L6:$HD6)),NA(),LOOKUP(KI$1,$S6:$HK6,csv!$L6:$HD6))</f>
        <v>0</v>
      </c>
      <c r="KJ6" s="5">
        <f>IF(ISERROR(LOOKUP(KJ$1,$S6:$HK6,csv!$L6:$HD6)),NA(),LOOKUP(KJ$1,$S6:$HK6,csv!$L6:$HD6))</f>
        <v>0</v>
      </c>
      <c r="KK6" s="5">
        <f>IF(ISERROR(LOOKUP(KK$1,$S6:$HK6,csv!$L6:$HD6)),NA(),LOOKUP(KK$1,$S6:$HK6,csv!$L6:$HD6))</f>
        <v>0</v>
      </c>
      <c r="KL6" s="5">
        <f>IF(ISERROR(LOOKUP(KL$1,$S6:$HK6,csv!$L6:$HD6)),NA(),LOOKUP(KL$1,$S6:$HK6,csv!$L6:$HD6))</f>
        <v>0</v>
      </c>
      <c r="KM6" s="5">
        <f>IF(ISERROR(LOOKUP(KM$1,$S6:$HK6,csv!$L6:$HD6)),NA(),LOOKUP(KM$1,$S6:$HK6,csv!$L6:$HD6))</f>
        <v>0</v>
      </c>
      <c r="KN6" s="5">
        <f>IF(ISERROR(LOOKUP(KN$1,$S6:$HK6,csv!$L6:$HD6)),NA(),LOOKUP(KN$1,$S6:$HK6,csv!$L6:$HD6))</f>
        <v>0</v>
      </c>
      <c r="KO6" s="5">
        <f>IF(ISERROR(LOOKUP(KO$1,$S6:$HK6,csv!$L6:$HD6)),NA(),LOOKUP(KO$1,$S6:$HK6,csv!$L6:$HD6))</f>
        <v>0</v>
      </c>
      <c r="KP6" s="5">
        <f>IF(ISERROR(LOOKUP(KP$1,$S6:$HK6,csv!$L6:$HD6)),NA(),LOOKUP(KP$1,$S6:$HK6,csv!$L6:$HD6))</f>
        <v>0</v>
      </c>
      <c r="KQ6" s="5">
        <f>IF(ISERROR(LOOKUP(KQ$1,$S6:$HK6,csv!$L6:$HD6)),NA(),LOOKUP(KQ$1,$S6:$HK6,csv!$L6:$HD6))</f>
        <v>0</v>
      </c>
      <c r="KR6" s="5">
        <f>IF(ISERROR(LOOKUP(KR$1,$S6:$HK6,csv!$L6:$HD6)),NA(),LOOKUP(KR$1,$S6:$HK6,csv!$L6:$HD6))</f>
        <v>0</v>
      </c>
      <c r="KS6" s="5">
        <f>IF(ISERROR(LOOKUP(KS$1,$S6:$HK6,csv!$L6:$HD6)),NA(),LOOKUP(KS$1,$S6:$HK6,csv!$L6:$HD6))</f>
        <v>0</v>
      </c>
      <c r="KT6" s="5">
        <f>IF(ISERROR(LOOKUP(KT$1,$S6:$HK6,csv!$L6:$HD6)),NA(),LOOKUP(KT$1,$S6:$HK6,csv!$L6:$HD6))</f>
        <v>0</v>
      </c>
      <c r="KU6" s="5">
        <f>IF(ISERROR(LOOKUP(KU$1,$S6:$HK6,csv!$L6:$HD6)),NA(),LOOKUP(KU$1,$S6:$HK6,csv!$L6:$HD6))</f>
        <v>0</v>
      </c>
      <c r="KV6" s="5">
        <f>IF(ISERROR(LOOKUP(KV$1,$S6:$HK6,csv!$L6:$HD6)),NA(),LOOKUP(KV$1,$S6:$HK6,csv!$L6:$HD6))</f>
        <v>0</v>
      </c>
      <c r="KW6" s="5">
        <f>IF(ISERROR(LOOKUP(KW$1,$S6:$HK6,csv!$L6:$HD6)),NA(),LOOKUP(KW$1,$S6:$HK6,csv!$L6:$HD6))</f>
        <v>0</v>
      </c>
      <c r="KX6" s="5">
        <f>IF(ISERROR(LOOKUP(KX$1,$S6:$HK6,csv!$L6:$HD6)),NA(),LOOKUP(KX$1,$S6:$HK6,csv!$L6:$HD6))</f>
        <v>0</v>
      </c>
      <c r="KY6" s="5">
        <f>IF(ISERROR(LOOKUP(KY$1,$S6:$HK6,csv!$L6:$HD6)),NA(),LOOKUP(KY$1,$S6:$HK6,csv!$L6:$HD6))</f>
        <v>0</v>
      </c>
      <c r="KZ6" s="5">
        <f>IF(ISERROR(LOOKUP(KZ$1,$S6:$HK6,csv!$L6:$HD6)),NA(),LOOKUP(KZ$1,$S6:$HK6,csv!$L6:$HD6))</f>
        <v>0</v>
      </c>
      <c r="LA6" s="5">
        <f>IF(ISERROR(LOOKUP(LA$1,$S6:$HK6,csv!$L6:$HD6)),NA(),LOOKUP(LA$1,$S6:$HK6,csv!$L6:$HD6))</f>
        <v>0</v>
      </c>
      <c r="LB6" s="5">
        <f>IF(ISERROR(LOOKUP(LB$1,$S6:$HK6,csv!$L6:$HD6)),NA(),LOOKUP(LB$1,$S6:$HK6,csv!$L6:$HD6))</f>
        <v>0</v>
      </c>
      <c r="LC6" s="5">
        <f>IF(ISERROR(LOOKUP(LC$1,$S6:$HK6,csv!$L6:$HD6)),NA(),LOOKUP(LC$1,$S6:$HK6,csv!$L6:$HD6))</f>
        <v>0</v>
      </c>
      <c r="LD6" s="5">
        <f>IF(ISERROR(LOOKUP(LD$1,$S6:$HK6,csv!$L6:$HD6)),NA(),LOOKUP(LD$1,$S6:$HK6,csv!$L6:$HD6))</f>
        <v>0</v>
      </c>
      <c r="LE6" s="5">
        <f>IF(ISERROR(LOOKUP(LE$1,$S6:$HK6,csv!$L6:$HD6)),NA(),LOOKUP(LE$1,$S6:$HK6,csv!$L6:$HD6))</f>
        <v>0</v>
      </c>
      <c r="LF6" s="5">
        <f>IF(ISERROR(LOOKUP(LF$1,$S6:$HK6,csv!$L6:$HD6)),NA(),LOOKUP(LF$1,$S6:$HK6,csv!$L6:$HD6))</f>
        <v>0</v>
      </c>
      <c r="LG6" s="5">
        <f>IF(ISERROR(LOOKUP(LG$1,$S6:$HK6,csv!$L6:$HD6)),NA(),LOOKUP(LG$1,$S6:$HK6,csv!$L6:$HD6))</f>
        <v>0</v>
      </c>
      <c r="LH6" s="5">
        <f>IF(ISERROR(LOOKUP(LH$1,$S6:$HK6,csv!$L6:$HD6)),NA(),LOOKUP(LH$1,$S6:$HK6,csv!$L6:$HD6))</f>
        <v>0</v>
      </c>
      <c r="LI6" s="5">
        <f>IF(ISERROR(LOOKUP(LI$1,$S6:$HK6,csv!$L6:$HD6)),NA(),LOOKUP(LI$1,$S6:$HK6,csv!$L6:$HD6))</f>
        <v>0</v>
      </c>
      <c r="LJ6" s="5">
        <f>IF(ISERROR(LOOKUP(LJ$1,$S6:$HK6,csv!$L6:$HD6)),NA(),LOOKUP(LJ$1,$S6:$HK6,csv!$L6:$HD6))</f>
        <v>0</v>
      </c>
      <c r="LK6" s="5">
        <f>IF(ISERROR(LOOKUP(LK$1,$S6:$HK6,csv!$L6:$HD6)),NA(),LOOKUP(LK$1,$S6:$HK6,csv!$L6:$HD6))</f>
        <v>0</v>
      </c>
      <c r="LL6" s="5">
        <f>IF(ISERROR(LOOKUP(LL$1,$S6:$HK6,csv!$L6:$HD6)),NA(),LOOKUP(LL$1,$S6:$HK6,csv!$L6:$HD6))</f>
        <v>0</v>
      </c>
      <c r="LM6" s="5">
        <f>IF(ISERROR(LOOKUP(LM$1,$S6:$HK6,csv!$L6:$HD6)),NA(),LOOKUP(LM$1,$S6:$HK6,csv!$L6:$HD6))</f>
        <v>0</v>
      </c>
      <c r="LN6" s="5">
        <f>IF(ISERROR(LOOKUP(LN$1,$S6:$HK6,csv!$L6:$HD6)),NA(),LOOKUP(LN$1,$S6:$HK6,csv!$L6:$HD6))</f>
        <v>0</v>
      </c>
      <c r="LO6" s="5">
        <f>IF(ISERROR(LOOKUP(LO$1,$S6:$HK6,csv!$L6:$HD6)),NA(),LOOKUP(LO$1,$S6:$HK6,csv!$L6:$HD6))</f>
        <v>0</v>
      </c>
      <c r="LP6" s="5">
        <f>IF(ISERROR(LOOKUP(LP$1,$S6:$HK6,csv!$L6:$HD6)),NA(),LOOKUP(LP$1,$S6:$HK6,csv!$L6:$HD6))</f>
        <v>0</v>
      </c>
      <c r="LQ6" s="5">
        <f>IF(ISERROR(LOOKUP(LQ$1,$S6:$HK6,csv!$L6:$HD6)),NA(),LOOKUP(LQ$1,$S6:$HK6,csv!$L6:$HD6))</f>
        <v>0</v>
      </c>
      <c r="LR6" s="5">
        <f>IF(ISERROR(LOOKUP(LR$1,$S6:$HK6,csv!$L6:$HD6)),NA(),LOOKUP(LR$1,$S6:$HK6,csv!$L6:$HD6))</f>
        <v>0</v>
      </c>
      <c r="LS6" s="5">
        <f>IF(ISERROR(LOOKUP(LS$1,$S6:$HK6,csv!$L6:$HD6)),NA(),LOOKUP(LS$1,$S6:$HK6,csv!$L6:$HD6))</f>
        <v>0</v>
      </c>
      <c r="LT6" s="5">
        <f>IF(ISERROR(LOOKUP(LT$1,$S6:$HK6,csv!$L6:$HD6)),NA(),LOOKUP(LT$1,$S6:$HK6,csv!$L6:$HD6))</f>
        <v>0</v>
      </c>
      <c r="LU6" s="5">
        <f>IF(ISERROR(LOOKUP(LU$1,$S6:$HK6,csv!$L6:$HD6)),NA(),LOOKUP(LU$1,$S6:$HK6,csv!$L6:$HD6))</f>
        <v>0</v>
      </c>
      <c r="LV6" s="5">
        <f>IF(ISERROR(LOOKUP(LV$1,$S6:$HK6,csv!$L6:$HD6)),NA(),LOOKUP(LV$1,$S6:$HK6,csv!$L6:$HD6))</f>
        <v>0</v>
      </c>
      <c r="LW6" s="5">
        <f>IF(ISERROR(LOOKUP(LW$1,$S6:$HK6,csv!$L6:$HD6)),NA(),LOOKUP(LW$1,$S6:$HK6,csv!$L6:$HD6))</f>
        <v>0</v>
      </c>
      <c r="LX6" s="5">
        <f>IF(ISERROR(LOOKUP(LX$1,$S6:$HK6,csv!$L6:$HD6)),NA(),LOOKUP(LX$1,$S6:$HK6,csv!$L6:$HD6))</f>
        <v>0</v>
      </c>
      <c r="LY6" s="5">
        <f>IF(ISERROR(LOOKUP(LY$1,$S6:$HK6,csv!$L6:$HD6)),NA(),LOOKUP(LY$1,$S6:$HK6,csv!$L6:$HD6))</f>
        <v>0</v>
      </c>
      <c r="LZ6" s="5">
        <f>IF(ISERROR(LOOKUP(LZ$1,$S6:$HK6,csv!$L6:$HD6)),NA(),LOOKUP(LZ$1,$S6:$HK6,csv!$L6:$HD6))</f>
        <v>0</v>
      </c>
      <c r="MA6" s="5">
        <f>IF(ISERROR(LOOKUP(MA$1,$S6:$HK6,csv!$L6:$HD6)),NA(),LOOKUP(MA$1,$S6:$HK6,csv!$L6:$HD6))</f>
        <v>0</v>
      </c>
      <c r="MB6" s="5">
        <f>IF(ISERROR(LOOKUP(MB$1,$S6:$HK6,csv!$L6:$HD6)),NA(),LOOKUP(MB$1,$S6:$HK6,csv!$L6:$HD6))</f>
        <v>0</v>
      </c>
      <c r="MC6" s="5">
        <f>IF(ISERROR(LOOKUP(MC$1,$S6:$HK6,csv!$L6:$HD6)),NA(),LOOKUP(MC$1,$S6:$HK6,csv!$L6:$HD6))</f>
        <v>0</v>
      </c>
      <c r="MD6" s="5">
        <f>IF(ISERROR(LOOKUP(MD$1,$S6:$HK6,csv!$L6:$HD6)),NA(),LOOKUP(MD$1,$S6:$HK6,csv!$L6:$HD6))</f>
        <v>0</v>
      </c>
      <c r="ME6" s="5">
        <f>IF(ISERROR(LOOKUP(ME$1,$S6:$HK6,csv!$L6:$HD6)),NA(),LOOKUP(ME$1,$S6:$HK6,csv!$L6:$HD6))</f>
        <v>0</v>
      </c>
      <c r="MF6" s="5">
        <f>IF(ISERROR(LOOKUP(MF$1,$S6:$HK6,csv!$L6:$HD6)),NA(),LOOKUP(MF$1,$S6:$HK6,csv!$L6:$HD6))</f>
        <v>0</v>
      </c>
      <c r="MG6" s="5">
        <f>IF(ISERROR(LOOKUP(MG$1,$S6:$HK6,csv!$L6:$HD6)),NA(),LOOKUP(MG$1,$S6:$HK6,csv!$L6:$HD6))</f>
        <v>0</v>
      </c>
      <c r="MH6" s="5">
        <f>IF(ISERROR(LOOKUP(MH$1,$S6:$HK6,csv!$L6:$HD6)),NA(),LOOKUP(MH$1,$S6:$HK6,csv!$L6:$HD6))</f>
        <v>0</v>
      </c>
      <c r="MI6" s="5">
        <f>IF(ISERROR(LOOKUP(MI$1,$S6:$HK6,csv!$L6:$HD6)),NA(),LOOKUP(MI$1,$S6:$HK6,csv!$L6:$HD6))</f>
        <v>0</v>
      </c>
      <c r="MJ6" s="5">
        <f>IF(ISERROR(LOOKUP(MJ$1,$S6:$HK6,csv!$L6:$HD6)),NA(),LOOKUP(MJ$1,$S6:$HK6,csv!$L6:$HD6))</f>
        <v>0</v>
      </c>
      <c r="MK6" s="5">
        <f>IF(ISERROR(LOOKUP(MK$1,$S6:$HK6,csv!$L6:$HD6)),NA(),LOOKUP(MK$1,$S6:$HK6,csv!$L6:$HD6))</f>
        <v>0</v>
      </c>
      <c r="ML6" s="5">
        <f>IF(ISERROR(LOOKUP(ML$1,$S6:$HK6,csv!$L6:$HD6)),NA(),LOOKUP(ML$1,$S6:$HK6,csv!$L6:$HD6))</f>
        <v>0</v>
      </c>
      <c r="MM6" s="5">
        <f>IF(ISERROR(LOOKUP(MM$1,$S6:$HK6,csv!$L6:$HD6)),NA(),LOOKUP(MM$1,$S6:$HK6,csv!$L6:$HD6))</f>
        <v>0</v>
      </c>
      <c r="MN6" s="5">
        <f>IF(ISERROR(LOOKUP(MN$1,$S6:$HK6,csv!$L6:$HD6)),NA(),LOOKUP(MN$1,$S6:$HK6,csv!$L6:$HD6))</f>
        <v>0</v>
      </c>
      <c r="MO6" s="5">
        <f>IF(ISERROR(LOOKUP(MO$1,$S6:$HK6,csv!$L6:$HD6)),NA(),LOOKUP(MO$1,$S6:$HK6,csv!$L6:$HD6))</f>
        <v>0</v>
      </c>
      <c r="MP6" s="5">
        <f>IF(ISERROR(LOOKUP(MP$1,$S6:$HK6,csv!$L6:$HD6)),NA(),LOOKUP(MP$1,$S6:$HK6,csv!$L6:$HD6))</f>
        <v>0</v>
      </c>
      <c r="MQ6" s="5">
        <f>IF(ISERROR(LOOKUP(MQ$1,$S6:$HK6,csv!$L6:$HD6)),NA(),LOOKUP(MQ$1,$S6:$HK6,csv!$L6:$HD6))</f>
        <v>0</v>
      </c>
      <c r="MR6" s="5">
        <f>IF(ISERROR(LOOKUP(MR$1,$S6:$HK6,csv!$L6:$HD6)),NA(),LOOKUP(MR$1,$S6:$HK6,csv!$L6:$HD6))</f>
        <v>0</v>
      </c>
      <c r="MS6" s="5">
        <f>IF(ISERROR(LOOKUP(MS$1,$S6:$HK6,csv!$L6:$HD6)),NA(),LOOKUP(MS$1,$S6:$HK6,csv!$L6:$HD6))</f>
        <v>0</v>
      </c>
      <c r="MT6" s="5">
        <f>IF(ISERROR(LOOKUP(MT$1,$S6:$HK6,csv!$L6:$HD6)),NA(),LOOKUP(MT$1,$S6:$HK6,csv!$L6:$HD6))</f>
        <v>0</v>
      </c>
      <c r="MU6" s="5">
        <f>IF(ISERROR(LOOKUP(MU$1,$S6:$HK6,csv!$L6:$HD6)),NA(),LOOKUP(MU$1,$S6:$HK6,csv!$L6:$HD6))</f>
        <v>0</v>
      </c>
      <c r="MV6" s="5">
        <f>IF(ISERROR(LOOKUP(MV$1,$S6:$HK6,csv!$L6:$HD6)),NA(),LOOKUP(MV$1,$S6:$HK6,csv!$L6:$HD6))</f>
        <v>0</v>
      </c>
      <c r="MW6" s="5">
        <f>IF(ISERROR(LOOKUP(MW$1,$S6:$HK6,csv!$L6:$HD6)),NA(),LOOKUP(MW$1,$S6:$HK6,csv!$L6:$HD6))</f>
        <v>0</v>
      </c>
      <c r="MX6" s="5">
        <f>IF(ISERROR(LOOKUP(MX$1,$S6:$HK6,csv!$L6:$HD6)),NA(),LOOKUP(MX$1,$S6:$HK6,csv!$L6:$HD6))</f>
        <v>0</v>
      </c>
      <c r="MY6" s="5">
        <f>IF(ISERROR(LOOKUP(MY$1,$S6:$HK6,csv!$L6:$HD6)),NA(),LOOKUP(MY$1,$S6:$HK6,csv!$L6:$HD6))</f>
        <v>0</v>
      </c>
      <c r="MZ6" s="5">
        <f>IF(ISERROR(LOOKUP(MZ$1,$S6:$HK6,csv!$L6:$HD6)),NA(),LOOKUP(MZ$1,$S6:$HK6,csv!$L6:$HD6))</f>
        <v>0</v>
      </c>
      <c r="NA6" s="5">
        <f>IF(ISERROR(LOOKUP(NA$1,$S6:$HK6,csv!$L6:$HD6)),NA(),LOOKUP(NA$1,$S6:$HK6,csv!$L6:$HD6))</f>
        <v>0</v>
      </c>
      <c r="NB6" s="5">
        <f>IF(ISERROR(LOOKUP(NB$1,$S6:$HK6,csv!$L6:$HD6)),NA(),LOOKUP(NB$1,$S6:$HK6,csv!$L6:$HD6))</f>
        <v>0</v>
      </c>
      <c r="NC6" s="5">
        <f>IF(ISERROR(LOOKUP(NC$1,$S6:$HK6,csv!$L6:$HD6)),NA(),LOOKUP(NC$1,$S6:$HK6,csv!$L6:$HD6))</f>
        <v>0</v>
      </c>
      <c r="ND6" s="5">
        <f>IF(ISERROR(LOOKUP(ND$1,$S6:$HK6,csv!$L6:$HD6)),NA(),LOOKUP(ND$1,$S6:$HK6,csv!$L6:$HD6))</f>
        <v>0</v>
      </c>
      <c r="NE6" s="5">
        <f>IF(ISERROR(LOOKUP(NE$1,$S6:$HK6,csv!$L6:$HD6)),NA(),LOOKUP(NE$1,$S6:$HK6,csv!$L6:$HD6))</f>
        <v>0</v>
      </c>
      <c r="NF6" s="5">
        <f>IF(ISERROR(LOOKUP(NF$1,$S6:$HK6,csv!$L6:$HD6)),NA(),LOOKUP(NF$1,$S6:$HK6,csv!$L6:$HD6))</f>
        <v>0</v>
      </c>
      <c r="NG6" s="5">
        <f>IF(ISERROR(LOOKUP(NG$1,$S6:$HK6,csv!$L6:$HD6)),NA(),LOOKUP(NG$1,$S6:$HK6,csv!$L6:$HD6))</f>
        <v>0</v>
      </c>
      <c r="NH6" s="5">
        <f>IF(ISERROR(LOOKUP(NH$1,$S6:$HK6,csv!$L6:$HD6)),NA(),LOOKUP(NH$1,$S6:$HK6,csv!$L6:$HD6))</f>
        <v>0</v>
      </c>
      <c r="NI6" s="5">
        <f>IF(ISERROR(LOOKUP(NI$1,$S6:$HK6,csv!$L6:$HD6)),NA(),LOOKUP(NI$1,$S6:$HK6,csv!$L6:$HD6))</f>
        <v>0</v>
      </c>
      <c r="NJ6" s="5">
        <f>IF(ISERROR(LOOKUP(NJ$1,$S6:$HK6,csv!$L6:$HD6)),NA(),LOOKUP(NJ$1,$S6:$HK6,csv!$L6:$HD6))</f>
        <v>0</v>
      </c>
      <c r="NK6" s="5">
        <f>IF(ISERROR(LOOKUP(NK$1,$S6:$HK6,csv!$L6:$HD6)),NA(),LOOKUP(NK$1,$S6:$HK6,csv!$L6:$HD6))</f>
        <v>0</v>
      </c>
      <c r="NL6" s="5">
        <f>IF(ISERROR(LOOKUP(NL$1,$S6:$HK6,csv!$L6:$HD6)),NA(),LOOKUP(NL$1,$S6:$HK6,csv!$L6:$HD6))</f>
        <v>0</v>
      </c>
      <c r="NM6" s="5">
        <f>IF(ISERROR(LOOKUP(NM$1,$S6:$HK6,csv!$L6:$HD6)),NA(),LOOKUP(NM$1,$S6:$HK6,csv!$L6:$HD6))</f>
        <v>0</v>
      </c>
      <c r="NN6" s="5">
        <f>IF(ISERROR(LOOKUP(NN$1,$S6:$HK6,csv!$L6:$HD6)),NA(),LOOKUP(NN$1,$S6:$HK6,csv!$L6:$HD6))</f>
        <v>0</v>
      </c>
      <c r="NO6" s="5">
        <f>IF(ISERROR(LOOKUP(NO$1,$S6:$HK6,csv!$L6:$HD6)),NA(),LOOKUP(NO$1,$S6:$HK6,csv!$L6:$HD6))</f>
        <v>0</v>
      </c>
      <c r="NP6" s="5">
        <f>IF(ISERROR(LOOKUP(NP$1,$S6:$HK6,csv!$L6:$HD6)),NA(),LOOKUP(NP$1,$S6:$HK6,csv!$L6:$HD6))</f>
        <v>0</v>
      </c>
      <c r="NQ6" s="5">
        <f>IF(ISERROR(LOOKUP(NQ$1,$S6:$HK6,csv!$L6:$HD6)),NA(),LOOKUP(NQ$1,$S6:$HK6,csv!$L6:$HD6))</f>
        <v>0</v>
      </c>
      <c r="NR6" s="5">
        <f>IF(ISERROR(LOOKUP(NR$1,$S6:$HK6,csv!$L6:$HD6)),NA(),LOOKUP(NR$1,$S6:$HK6,csv!$L6:$HD6))</f>
        <v>0</v>
      </c>
      <c r="NS6" s="5">
        <f>IF(ISERROR(LOOKUP(NS$1,$S6:$HK6,csv!$L6:$HD6)),NA(),LOOKUP(NS$1,$S6:$HK6,csv!$L6:$HD6))</f>
        <v>0</v>
      </c>
      <c r="NT6" s="5">
        <f>IF(ISERROR(LOOKUP(NT$1,$S6:$HK6,csv!$L6:$HD6)),NA(),LOOKUP(NT$1,$S6:$HK6,csv!$L6:$HD6))</f>
        <v>0</v>
      </c>
      <c r="NU6" s="5">
        <f>IF(ISERROR(LOOKUP(NU$1,$S6:$HK6,csv!$L6:$HD6)),NA(),LOOKUP(NU$1,$S6:$HK6,csv!$L6:$HD6))</f>
        <v>0</v>
      </c>
      <c r="NV6" s="5">
        <f>IF(ISERROR(LOOKUP(NV$1,$S6:$HK6,csv!$L6:$HD6)),NA(),LOOKUP(NV$1,$S6:$HK6,csv!$L6:$HD6))</f>
        <v>0</v>
      </c>
      <c r="NW6" s="5">
        <f>IF(ISERROR(LOOKUP(NW$1,$S6:$HK6,csv!$L6:$HD6)),NA(),LOOKUP(NW$1,$S6:$HK6,csv!$L6:$HD6))</f>
        <v>0</v>
      </c>
      <c r="NX6" s="5">
        <f>IF(ISERROR(LOOKUP(NX$1,$S6:$HK6,csv!$L6:$HD6)),NA(),LOOKUP(NX$1,$S6:$HK6,csv!$L6:$HD6))</f>
        <v>0</v>
      </c>
      <c r="NY6" s="5">
        <f>IF(ISERROR(LOOKUP(NY$1,$S6:$HK6,csv!$L6:$HD6)),NA(),LOOKUP(NY$1,$S6:$HK6,csv!$L6:$HD6))</f>
        <v>0</v>
      </c>
      <c r="NZ6" s="5">
        <f>IF(ISERROR(LOOKUP(NZ$1,$S6:$HK6,csv!$L6:$HD6)),NA(),LOOKUP(NZ$1,$S6:$HK6,csv!$L6:$HD6))</f>
        <v>0</v>
      </c>
      <c r="OA6" s="5">
        <f>IF(ISERROR(LOOKUP(OA$1,$S6:$HK6,csv!$L6:$HD6)),NA(),LOOKUP(OA$1,$S6:$HK6,csv!$L6:$HD6))</f>
        <v>0</v>
      </c>
      <c r="OB6" s="5">
        <f>IF(ISERROR(LOOKUP(OB$1,$S6:$HK6,csv!$L6:$HD6)),NA(),LOOKUP(OB$1,$S6:$HK6,csv!$L6:$HD6))</f>
        <v>0</v>
      </c>
      <c r="OC6" s="5">
        <f>IF(ISERROR(LOOKUP(OC$1,$S6:$HK6,csv!$L6:$HD6)),NA(),LOOKUP(OC$1,$S6:$HK6,csv!$L6:$HD6))</f>
        <v>0</v>
      </c>
      <c r="OD6" s="5">
        <f>IF(ISERROR(LOOKUP(OD$1,$S6:$HK6,csv!$L6:$HD6)),NA(),LOOKUP(OD$1,$S6:$HK6,csv!$L6:$HD6))</f>
        <v>0</v>
      </c>
      <c r="OE6" s="5">
        <f>IF(ISERROR(LOOKUP(OE$1,$S6:$HK6,csv!$L6:$HD6)),NA(),LOOKUP(OE$1,$S6:$HK6,csv!$L6:$HD6))</f>
        <v>0</v>
      </c>
      <c r="OF6" s="5">
        <f>IF(ISERROR(LOOKUP(OF$1,$S6:$HK6,csv!$L6:$HD6)),NA(),LOOKUP(OF$1,$S6:$HK6,csv!$L6:$HD6))</f>
        <v>0</v>
      </c>
      <c r="OG6" s="5">
        <f>IF(ISERROR(LOOKUP(OG$1,$S6:$HK6,csv!$L6:$HD6)),NA(),LOOKUP(OG$1,$S6:$HK6,csv!$L6:$HD6))</f>
        <v>0</v>
      </c>
      <c r="OH6" s="5">
        <f>IF(ISERROR(LOOKUP(OH$1,$S6:$HK6,csv!$L6:$HD6)),NA(),LOOKUP(OH$1,$S6:$HK6,csv!$L6:$HD6))</f>
        <v>0</v>
      </c>
      <c r="OI6" s="5">
        <f>IF(ISERROR(LOOKUP(OI$1,$S6:$HK6,csv!$L6:$HD6)),NA(),LOOKUP(OI$1,$S6:$HK6,csv!$L6:$HD6))</f>
        <v>0</v>
      </c>
      <c r="OJ6" s="5">
        <f>IF(ISERROR(LOOKUP(OJ$1,$S6:$HK6,csv!$L6:$HD6)),NA(),LOOKUP(OJ$1,$S6:$HK6,csv!$L6:$HD6))</f>
        <v>0</v>
      </c>
      <c r="OK6" s="5">
        <f>IF(ISERROR(LOOKUP(OK$1,$S6:$HK6,csv!$L6:$HD6)),NA(),LOOKUP(OK$1,$S6:$HK6,csv!$L6:$HD6))</f>
        <v>0</v>
      </c>
      <c r="OL6" s="5">
        <f>IF(ISERROR(LOOKUP(OL$1,$S6:$HK6,csv!$L6:$HD6)),NA(),LOOKUP(OL$1,$S6:$HK6,csv!$L6:$HD6))</f>
        <v>0</v>
      </c>
      <c r="OM6" s="5">
        <f>IF(ISERROR(LOOKUP(OM$1,$S6:$HK6,csv!$L6:$HD6)),NA(),LOOKUP(OM$1,$S6:$HK6,csv!$L6:$HD6))</f>
        <v>0</v>
      </c>
      <c r="ON6" s="5">
        <f>IF(ISERROR(LOOKUP(ON$1,$S6:$HK6,csv!$L6:$HD6)),NA(),LOOKUP(ON$1,$S6:$HK6,csv!$L6:$HD6))</f>
        <v>0</v>
      </c>
      <c r="OO6" s="5">
        <f>IF(ISERROR(LOOKUP(OO$1,$S6:$HK6,csv!$L6:$HD6)),NA(),LOOKUP(OO$1,$S6:$HK6,csv!$L6:$HD6))</f>
        <v>0</v>
      </c>
      <c r="OP6" s="5">
        <f>IF(ISERROR(LOOKUP(OP$1,$S6:$HK6,csv!$L6:$HD6)),NA(),LOOKUP(OP$1,$S6:$HK6,csv!$L6:$HD6))</f>
        <v>0</v>
      </c>
      <c r="OQ6" s="5">
        <f>IF(ISERROR(LOOKUP(OQ$1,$S6:$HK6,csv!$L6:$HD6)),NA(),LOOKUP(OQ$1,$S6:$HK6,csv!$L6:$HD6))</f>
        <v>0</v>
      </c>
      <c r="OR6" s="5">
        <f>IF(ISERROR(LOOKUP(OR$1,$S6:$HK6,csv!$L6:$HD6)),NA(),LOOKUP(OR$1,$S6:$HK6,csv!$L6:$HD6))</f>
        <v>0</v>
      </c>
      <c r="OS6" s="5">
        <f>IF(ISERROR(LOOKUP(OS$1,$S6:$HK6,csv!$L6:$HD6)),NA(),LOOKUP(OS$1,$S6:$HK6,csv!$L6:$HD6))</f>
        <v>0</v>
      </c>
      <c r="OT6" s="5">
        <f>IF(ISERROR(LOOKUP(OT$1,$S6:$HK6,csv!$L6:$HD6)),NA(),LOOKUP(OT$1,$S6:$HK6,csv!$L6:$HD6))</f>
        <v>0</v>
      </c>
      <c r="OU6" s="5">
        <f>IF(ISERROR(LOOKUP(OU$1,$S6:$HK6,csv!$L6:$HD6)),NA(),LOOKUP(OU$1,$S6:$HK6,csv!$L6:$HD6))</f>
        <v>0</v>
      </c>
      <c r="OV6" s="5">
        <f>IF(ISERROR(LOOKUP(OV$1,$S6:$HK6,csv!$L6:$HD6)),NA(),LOOKUP(OV$1,$S6:$HK6,csv!$L6:$HD6))</f>
        <v>0</v>
      </c>
      <c r="OW6" s="5">
        <f>IF(ISERROR(LOOKUP(OW$1,$S6:$HK6,csv!$L6:$HD6)),NA(),LOOKUP(OW$1,$S6:$HK6,csv!$L6:$HD6))</f>
        <v>0</v>
      </c>
      <c r="OX6" s="5">
        <f>IF(ISERROR(LOOKUP(OX$1,$S6:$HK6,csv!$L6:$HD6)),NA(),LOOKUP(OX$1,$S6:$HK6,csv!$L6:$HD6))</f>
        <v>0</v>
      </c>
      <c r="OY6" s="5">
        <f>IF(ISERROR(LOOKUP(OY$1,$S6:$HK6,csv!$L6:$HD6)),NA(),LOOKUP(OY$1,$S6:$HK6,csv!$L6:$HD6))</f>
        <v>0</v>
      </c>
      <c r="OZ6" s="5">
        <f>IF(ISERROR(LOOKUP(OZ$1,$S6:$HK6,csv!$L6:$HD6)),NA(),LOOKUP(OZ$1,$S6:$HK6,csv!$L6:$HD6))</f>
        <v>0</v>
      </c>
      <c r="PA6" s="5">
        <f>IF(ISERROR(LOOKUP(PA$1,$S6:$HK6,csv!$L6:$HD6)),NA(),LOOKUP(PA$1,$S6:$HK6,csv!$L6:$HD6))</f>
        <v>0</v>
      </c>
      <c r="PB6" s="5">
        <f>IF(ISERROR(LOOKUP(PB$1,$S6:$HK6,csv!$L6:$HD6)),NA(),LOOKUP(PB$1,$S6:$HK6,csv!$L6:$HD6))</f>
        <v>0</v>
      </c>
      <c r="PC6" s="5">
        <f>IF(ISERROR(LOOKUP(PC$1,$S6:$HK6,csv!$L6:$HD6)),NA(),LOOKUP(PC$1,$S6:$HK6,csv!$L6:$HD6))</f>
        <v>0</v>
      </c>
      <c r="PD6" s="5">
        <f>IF(ISERROR(LOOKUP(PD$1,$S6:$HK6,csv!$L6:$HD6)),NA(),LOOKUP(PD$1,$S6:$HK6,csv!$L6:$HD6))</f>
        <v>0</v>
      </c>
      <c r="PE6" s="5">
        <f>IF(ISERROR(LOOKUP(PE$1,$S6:$HK6,csv!$L6:$HD6)),NA(),LOOKUP(PE$1,$S6:$HK6,csv!$L6:$HD6))</f>
        <v>0</v>
      </c>
      <c r="PF6" s="5">
        <f>IF(ISERROR(LOOKUP(PF$1,$S6:$HK6,csv!$L6:$HD6)),NA(),LOOKUP(PF$1,$S6:$HK6,csv!$L6:$HD6))</f>
        <v>0</v>
      </c>
      <c r="PG6" s="5">
        <f>IF(ISERROR(LOOKUP(PG$1,$S6:$HK6,csv!$L6:$HD6)),NA(),LOOKUP(PG$1,$S6:$HK6,csv!$L6:$HD6))</f>
        <v>0</v>
      </c>
      <c r="PH6" s="5">
        <f>IF(ISERROR(LOOKUP(PH$1,$S6:$HK6,csv!$L6:$HD6)),NA(),LOOKUP(PH$1,$S6:$HK6,csv!$L6:$HD6))</f>
        <v>0</v>
      </c>
      <c r="PI6" s="5">
        <f>IF(ISERROR(LOOKUP(PI$1,$S6:$HK6,csv!$L6:$HD6)),NA(),LOOKUP(PI$1,$S6:$HK6,csv!$L6:$HD6))</f>
        <v>0</v>
      </c>
      <c r="PJ6" s="5">
        <f>IF(ISERROR(LOOKUP(PJ$1,$S6:$HK6,csv!$L6:$HD6)),NA(),LOOKUP(PJ$1,$S6:$HK6,csv!$L6:$HD6))</f>
        <v>0</v>
      </c>
      <c r="PK6" s="5">
        <f>IF(ISERROR(LOOKUP(PK$1,$S6:$HK6,csv!$L6:$HD6)),NA(),LOOKUP(PK$1,$S6:$HK6,csv!$L6:$HD6))</f>
        <v>0</v>
      </c>
      <c r="PL6" s="5">
        <f>IF(ISERROR(LOOKUP(PL$1,$S6:$HK6,csv!$L6:$HD6)),NA(),LOOKUP(PL$1,$S6:$HK6,csv!$L6:$HD6))</f>
        <v>0</v>
      </c>
      <c r="PM6" s="5">
        <f>IF(ISERROR(LOOKUP(PM$1,$S6:$HK6,csv!$L6:$HD6)),NA(),LOOKUP(PM$1,$S6:$HK6,csv!$L6:$HD6))</f>
        <v>0</v>
      </c>
      <c r="PN6" s="5">
        <f>IF(ISERROR(LOOKUP(PN$1,$S6:$HK6,csv!$L6:$HD6)),NA(),LOOKUP(PN$1,$S6:$HK6,csv!$L6:$HD6))</f>
        <v>0</v>
      </c>
      <c r="PO6" s="5">
        <f>IF(ISERROR(LOOKUP(PO$1,$S6:$HK6,csv!$L6:$HD6)),NA(),LOOKUP(PO$1,$S6:$HK6,csv!$L6:$HD6))</f>
        <v>0</v>
      </c>
      <c r="PP6" s="5">
        <f>IF(ISERROR(LOOKUP(PP$1,$S6:$HK6,csv!$L6:$HD6)),NA(),LOOKUP(PP$1,$S6:$HK6,csv!$L6:$HD6))</f>
        <v>0</v>
      </c>
      <c r="PQ6" s="5">
        <f>IF(ISERROR(LOOKUP(PQ$1,$S6:$HK6,csv!$L6:$HD6)),NA(),LOOKUP(PQ$1,$S6:$HK6,csv!$L6:$HD6))</f>
        <v>0</v>
      </c>
      <c r="PR6" s="5">
        <f>IF(ISERROR(LOOKUP(PR$1,$S6:$HK6,csv!$L6:$HD6)),NA(),LOOKUP(PR$1,$S6:$HK6,csv!$L6:$HD6))</f>
        <v>0</v>
      </c>
      <c r="PS6" s="5">
        <f>IF(ISERROR(LOOKUP(PS$1,$S6:$HK6,csv!$L6:$HD6)),NA(),LOOKUP(PS$1,$S6:$HK6,csv!$L6:$HD6))</f>
        <v>0</v>
      </c>
      <c r="PT6" s="5">
        <f>IF(ISERROR(LOOKUP(PT$1,$S6:$HK6,csv!$L6:$HD6)),NA(),LOOKUP(PT$1,$S6:$HK6,csv!$L6:$HD6))</f>
        <v>0</v>
      </c>
      <c r="PU6" s="5">
        <f>IF(ISERROR(LOOKUP(PU$1,$S6:$HK6,csv!$L6:$HD6)),NA(),LOOKUP(PU$1,$S6:$HK6,csv!$L6:$HD6))</f>
        <v>0</v>
      </c>
      <c r="PV6" s="5">
        <f>IF(ISERROR(LOOKUP(PV$1,$S6:$HK6,csv!$L6:$HD6)),NA(),LOOKUP(PV$1,$S6:$HK6,csv!$L6:$HD6))</f>
        <v>0</v>
      </c>
      <c r="PW6" s="5">
        <f>IF(ISERROR(LOOKUP(PW$1,$S6:$HK6,csv!$L6:$HD6)),NA(),LOOKUP(PW$1,$S6:$HK6,csv!$L6:$HD6))</f>
        <v>0</v>
      </c>
      <c r="PX6" s="5">
        <f>IF(ISERROR(LOOKUP(PX$1,$S6:$HK6,csv!$L6:$HD6)),NA(),LOOKUP(PX$1,$S6:$HK6,csv!$L6:$HD6))</f>
        <v>0</v>
      </c>
      <c r="PY6" s="5">
        <f>IF(ISERROR(LOOKUP(PY$1,$S6:$HK6,csv!$L6:$HD6)),NA(),LOOKUP(PY$1,$S6:$HK6,csv!$L6:$HD6))</f>
        <v>0</v>
      </c>
      <c r="PZ6" s="5">
        <f>IF(ISERROR(LOOKUP(PZ$1,$S6:$HK6,csv!$L6:$HD6)),NA(),LOOKUP(PZ$1,$S6:$HK6,csv!$L6:$HD6))</f>
        <v>0</v>
      </c>
      <c r="QA6" s="5">
        <f>IF(ISERROR(LOOKUP(QA$1,$S6:$HK6,csv!$L6:$HD6)),NA(),LOOKUP(QA$1,$S6:$HK6,csv!$L6:$HD6))</f>
        <v>0</v>
      </c>
      <c r="QB6" s="5">
        <f>IF(ISERROR(LOOKUP(QB$1,$S6:$HK6,csv!$L6:$HD6)),NA(),LOOKUP(QB$1,$S6:$HK6,csv!$L6:$HD6))</f>
        <v>0</v>
      </c>
      <c r="QC6" s="5">
        <f>IF(ISERROR(LOOKUP(QC$1,$S6:$HK6,csv!$L6:$HD6)),NA(),LOOKUP(QC$1,$S6:$HK6,csv!$L6:$HD6))</f>
        <v>0</v>
      </c>
      <c r="QD6" s="5">
        <f>IF(ISERROR(LOOKUP(QD$1,$S6:$HK6,csv!$L6:$HD6)),NA(),LOOKUP(QD$1,$S6:$HK6,csv!$L6:$HD6))</f>
        <v>0</v>
      </c>
      <c r="QE6" s="5">
        <f>IF(ISERROR(LOOKUP(QE$1,$S6:$HK6,csv!$L6:$HD6)),NA(),LOOKUP(QE$1,$S6:$HK6,csv!$L6:$HD6))</f>
        <v>0</v>
      </c>
      <c r="QF6" s="5">
        <f>IF(ISERROR(LOOKUP(QF$1,$S6:$HK6,csv!$L6:$HD6)),NA(),LOOKUP(QF$1,$S6:$HK6,csv!$L6:$HD6))</f>
        <v>0</v>
      </c>
      <c r="QG6" s="5">
        <f>IF(ISERROR(LOOKUP(QG$1,$S6:$HK6,csv!$L6:$HD6)),NA(),LOOKUP(QG$1,$S6:$HK6,csv!$L6:$HD6))</f>
        <v>0</v>
      </c>
      <c r="QH6" s="5">
        <f>IF(ISERROR(LOOKUP(QH$1,$S6:$HK6,csv!$L6:$HD6)),NA(),LOOKUP(QH$1,$S6:$HK6,csv!$L6:$HD6))</f>
        <v>0</v>
      </c>
      <c r="QI6" s="5">
        <f>IF(ISERROR(LOOKUP(QI$1,$S6:$HK6,csv!$L6:$HD6)),NA(),LOOKUP(QI$1,$S6:$HK6,csv!$L6:$HD6))</f>
        <v>0</v>
      </c>
      <c r="QJ6" s="5">
        <f>IF(ISERROR(LOOKUP(QJ$1,$S6:$HK6,csv!$L6:$HD6)),NA(),LOOKUP(QJ$1,$S6:$HK6,csv!$L6:$HD6))</f>
        <v>0</v>
      </c>
      <c r="QK6" s="5">
        <f>IF(ISERROR(LOOKUP(QK$1,$S6:$HK6,csv!$L6:$HD6)),NA(),LOOKUP(QK$1,$S6:$HK6,csv!$L6:$HD6))</f>
        <v>0</v>
      </c>
      <c r="QL6" s="5">
        <f>IF(ISERROR(LOOKUP(QL$1,$S6:$HK6,csv!$L6:$HD6)),NA(),LOOKUP(QL$1,$S6:$HK6,csv!$L6:$HD6))</f>
        <v>0</v>
      </c>
      <c r="QM6" s="5">
        <f>IF(ISERROR(LOOKUP(QM$1,$S6:$HK6,csv!$L6:$HD6)),NA(),LOOKUP(QM$1,$S6:$HK6,csv!$L6:$HD6))</f>
        <v>0</v>
      </c>
      <c r="QN6" s="5">
        <f>IF(ISERROR(LOOKUP(QN$1,$S6:$HK6,csv!$L6:$HD6)),NA(),LOOKUP(QN$1,$S6:$HK6,csv!$L6:$HD6))</f>
        <v>0</v>
      </c>
      <c r="QO6" s="5">
        <f>IF(ISERROR(LOOKUP(QO$1,$S6:$HK6,csv!$L6:$HD6)),NA(),LOOKUP(QO$1,$S6:$HK6,csv!$L6:$HD6))</f>
        <v>0</v>
      </c>
      <c r="QP6" s="5">
        <f>IF(ISERROR(LOOKUP(QP$1,$S6:$HK6,csv!$L6:$HD6)),NA(),LOOKUP(QP$1,$S6:$HK6,csv!$L6:$HD6))</f>
        <v>0</v>
      </c>
      <c r="QQ6" s="5">
        <f>IF(ISERROR(LOOKUP(QQ$1,$S6:$HK6,csv!$L6:$HD6)),NA(),LOOKUP(QQ$1,$S6:$HK6,csv!$L6:$HD6))</f>
        <v>0</v>
      </c>
      <c r="QR6" s="5">
        <f>IF(ISERROR(LOOKUP(QR$1,$S6:$HK6,csv!$L6:$HD6)),NA(),LOOKUP(QR$1,$S6:$HK6,csv!$L6:$HD6))</f>
        <v>0</v>
      </c>
      <c r="QS6" s="5">
        <f>IF(ISERROR(LOOKUP(QS$1,$S6:$HK6,csv!$L6:$HD6)),NA(),LOOKUP(QS$1,$S6:$HK6,csv!$L6:$HD6))</f>
        <v>0</v>
      </c>
      <c r="QT6" s="5">
        <f>IF(ISERROR(LOOKUP(QT$1,$S6:$HK6,csv!$L6:$HD6)),NA(),LOOKUP(QT$1,$S6:$HK6,csv!$L6:$HD6))</f>
        <v>0</v>
      </c>
      <c r="QU6" s="5">
        <f>IF(ISERROR(LOOKUP(QU$1,$S6:$HK6,csv!$L6:$HD6)),NA(),LOOKUP(QU$1,$S6:$HK6,csv!$L6:$HD6))</f>
        <v>0</v>
      </c>
      <c r="QV6" s="5">
        <f>IF(ISERROR(LOOKUP(QV$1,$S6:$HK6,csv!$L6:$HD6)),NA(),LOOKUP(QV$1,$S6:$HK6,csv!$L6:$HD6))</f>
        <v>0</v>
      </c>
      <c r="QW6" s="5">
        <f>IF(ISERROR(LOOKUP(QW$1,$S6:$HK6,csv!$L6:$HD6)),NA(),LOOKUP(QW$1,$S6:$HK6,csv!$L6:$HD6))</f>
        <v>0</v>
      </c>
      <c r="QX6" s="5">
        <f>IF(ISERROR(LOOKUP(QX$1,$S6:$HK6,csv!$L6:$HD6)),NA(),LOOKUP(QX$1,$S6:$HK6,csv!$L6:$HD6))</f>
        <v>0</v>
      </c>
      <c r="QY6" s="5">
        <f>IF(ISERROR(LOOKUP(QY$1,$S6:$HK6,csv!$L6:$HD6)),NA(),LOOKUP(QY$1,$S6:$HK6,csv!$L6:$HD6))</f>
        <v>0</v>
      </c>
      <c r="QZ6" s="5">
        <f>IF(ISERROR(LOOKUP(QZ$1,$S6:$HK6,csv!$L6:$HD6)),NA(),LOOKUP(QZ$1,$S6:$HK6,csv!$L6:$HD6))</f>
        <v>0</v>
      </c>
      <c r="RA6" s="5">
        <f>IF(ISERROR(LOOKUP(RA$1,$S6:$HK6,csv!$L6:$HD6)),NA(),LOOKUP(RA$1,$S6:$HK6,csv!$L6:$HD6))</f>
        <v>0</v>
      </c>
      <c r="RB6" s="5">
        <f>IF(ISERROR(LOOKUP(RB$1,$S6:$HK6,csv!$L6:$HD6)),NA(),LOOKUP(RB$1,$S6:$HK6,csv!$L6:$HD6))</f>
        <v>0</v>
      </c>
      <c r="RC6" s="5">
        <f>IF(ISERROR(LOOKUP(RC$1,$S6:$HK6,csv!$L6:$HD6)),NA(),LOOKUP(RC$1,$S6:$HK6,csv!$L6:$HD6))</f>
        <v>0</v>
      </c>
      <c r="RD6" s="5">
        <f>IF(ISERROR(LOOKUP(RD$1,$S6:$HK6,csv!$L6:$HD6)),NA(),LOOKUP(RD$1,$S6:$HK6,csv!$L6:$HD6))</f>
        <v>0</v>
      </c>
      <c r="RE6" s="5">
        <f>IF(ISERROR(LOOKUP(RE$1,$S6:$HK6,csv!$L6:$HD6)),NA(),LOOKUP(RE$1,$S6:$HK6,csv!$L6:$HD6))</f>
        <v>0</v>
      </c>
      <c r="RF6" s="5">
        <f>IF(ISERROR(LOOKUP(RF$1,$S6:$HK6,csv!$L6:$HD6)),NA(),LOOKUP(RF$1,$S6:$HK6,csv!$L6:$HD6))</f>
        <v>0</v>
      </c>
      <c r="RG6" s="5">
        <f>IF(ISERROR(LOOKUP(RG$1,$S6:$HK6,csv!$L6:$HD6)),NA(),LOOKUP(RG$1,$S6:$HK6,csv!$L6:$HD6))</f>
        <v>0</v>
      </c>
      <c r="RH6" s="5">
        <f>IF(ISERROR(LOOKUP(RH$1,$S6:$HK6,csv!$L6:$HD6)),NA(),LOOKUP(RH$1,$S6:$HK6,csv!$L6:$HD6))</f>
        <v>0</v>
      </c>
      <c r="RI6" s="5">
        <f>IF(ISERROR(LOOKUP(RI$1,$S6:$HK6,csv!$L6:$HD6)),NA(),LOOKUP(RI$1,$S6:$HK6,csv!$L6:$HD6))</f>
        <v>0</v>
      </c>
      <c r="RJ6" s="5">
        <f>IF(ISERROR(LOOKUP(RJ$1,$S6:$HK6,csv!$L6:$HD6)),NA(),LOOKUP(RJ$1,$S6:$HK6,csv!$L6:$HD6))</f>
        <v>0</v>
      </c>
      <c r="RK6" s="5">
        <f>IF(ISERROR(LOOKUP(RK$1,$S6:$HK6,csv!$L6:$HD6)),NA(),LOOKUP(RK$1,$S6:$HK6,csv!$L6:$HD6))</f>
        <v>0</v>
      </c>
      <c r="RL6" s="5">
        <f>IF(ISERROR(LOOKUP(RL$1,$S6:$HK6,csv!$L6:$HD6)),NA(),LOOKUP(RL$1,$S6:$HK6,csv!$L6:$HD6))</f>
        <v>0</v>
      </c>
      <c r="RM6" s="5">
        <f>IF(ISERROR(LOOKUP(RM$1,$S6:$HK6,csv!$L6:$HD6)),NA(),LOOKUP(RM$1,$S6:$HK6,csv!$L6:$HD6))</f>
        <v>0</v>
      </c>
      <c r="RN6" s="5">
        <f>IF(ISERROR(LOOKUP(RN$1,$S6:$HK6,csv!$L6:$HD6)),NA(),LOOKUP(RN$1,$S6:$HK6,csv!$L6:$HD6))</f>
        <v>0</v>
      </c>
      <c r="RO6" s="5">
        <f>IF(ISERROR(LOOKUP(RO$1,$S6:$HK6,csv!$L6:$HD6)),NA(),LOOKUP(RO$1,$S6:$HK6,csv!$L6:$HD6))</f>
        <v>0</v>
      </c>
      <c r="RP6" s="5">
        <f>IF(ISERROR(LOOKUP(RP$1,$S6:$HK6,csv!$L6:$HD6)),NA(),LOOKUP(RP$1,$S6:$HK6,csv!$L6:$HD6))</f>
        <v>0</v>
      </c>
      <c r="RQ6" s="5">
        <f>IF(ISERROR(LOOKUP(RQ$1,$S6:$HK6,csv!$L6:$HD6)),NA(),LOOKUP(RQ$1,$S6:$HK6,csv!$L6:$HD6))</f>
        <v>0</v>
      </c>
      <c r="RR6" s="5">
        <f>IF(ISERROR(LOOKUP(RR$1,$S6:$HK6,csv!$L6:$HD6)),NA(),LOOKUP(RR$1,$S6:$HK6,csv!$L6:$HD6))</f>
        <v>0</v>
      </c>
      <c r="RS6" s="5">
        <f>IF(ISERROR(LOOKUP(RS$1,$S6:$HK6,csv!$L6:$HD6)),NA(),LOOKUP(RS$1,$S6:$HK6,csv!$L6:$HD6))</f>
        <v>0</v>
      </c>
      <c r="RT6" s="5">
        <f>IF(ISERROR(LOOKUP(RT$1,$S6:$HK6,csv!$L6:$HD6)),NA(),LOOKUP(RT$1,$S6:$HK6,csv!$L6:$HD6))</f>
        <v>0</v>
      </c>
      <c r="RU6" s="5">
        <f>IF(ISERROR(LOOKUP(RU$1,$S6:$HK6,csv!$L6:$HD6)),NA(),LOOKUP(RU$1,$S6:$HK6,csv!$L6:$HD6))</f>
        <v>0</v>
      </c>
      <c r="RV6" s="5">
        <f>IF(ISERROR(LOOKUP(RV$1,$S6:$HK6,csv!$L6:$HD6)),NA(),LOOKUP(RV$1,$S6:$HK6,csv!$L6:$HD6))</f>
        <v>0</v>
      </c>
      <c r="RW6" s="5">
        <f>IF(ISERROR(LOOKUP(RW$1,$S6:$HK6,csv!$L6:$HD6)),NA(),LOOKUP(RW$1,$S6:$HK6,csv!$L6:$HD6))</f>
        <v>0</v>
      </c>
      <c r="RX6" s="5">
        <f>IF(ISERROR(LOOKUP(RX$1,$S6:$HK6,csv!$L6:$HD6)),NA(),LOOKUP(RX$1,$S6:$HK6,csv!$L6:$HD6))</f>
        <v>0</v>
      </c>
      <c r="RY6" s="5">
        <f>IF(ISERROR(LOOKUP(RY$1,$S6:$HK6,csv!$L6:$HD6)),NA(),LOOKUP(RY$1,$S6:$HK6,csv!$L6:$HD6))</f>
        <v>0</v>
      </c>
      <c r="RZ6" s="5">
        <f>IF(ISERROR(LOOKUP(RZ$1,$S6:$HK6,csv!$L6:$HD6)),NA(),LOOKUP(RZ$1,$S6:$HK6,csv!$L6:$HD6))</f>
        <v>0</v>
      </c>
      <c r="SA6" s="5">
        <f>IF(ISERROR(LOOKUP(SA$1,$S6:$HK6,csv!$L6:$HD6)),NA(),LOOKUP(SA$1,$S6:$HK6,csv!$L6:$HD6))</f>
        <v>0</v>
      </c>
      <c r="SB6" s="5">
        <f>IF(ISERROR(LOOKUP(SB$1,$S6:$HK6,csv!$L6:$HD6)),NA(),LOOKUP(SB$1,$S6:$HK6,csv!$L6:$HD6))</f>
        <v>0</v>
      </c>
      <c r="SC6" s="5">
        <f>IF(ISERROR(LOOKUP(SC$1,$S6:$HK6,csv!$L6:$HD6)),NA(),LOOKUP(SC$1,$S6:$HK6,csv!$L6:$HD6))</f>
        <v>0</v>
      </c>
      <c r="SD6" s="5">
        <f>IF(ISERROR(LOOKUP(SD$1,$S6:$HK6,csv!$L6:$HD6)),NA(),LOOKUP(SD$1,$S6:$HK6,csv!$L6:$HD6))</f>
        <v>0</v>
      </c>
      <c r="SE6" s="5">
        <f>IF(ISERROR(LOOKUP(SE$1,$S6:$HK6,csv!$L6:$HD6)),NA(),LOOKUP(SE$1,$S6:$HK6,csv!$L6:$HD6))</f>
        <v>0</v>
      </c>
      <c r="SF6" s="5">
        <f>IF(ISERROR(LOOKUP(SF$1,$S6:$HK6,csv!$L6:$HD6)),NA(),LOOKUP(SF$1,$S6:$HK6,csv!$L6:$HD6))</f>
        <v>0</v>
      </c>
      <c r="SG6" s="5">
        <f>IF(ISERROR(LOOKUP(SG$1,$S6:$HK6,csv!$L6:$HD6)),NA(),LOOKUP(SG$1,$S6:$HK6,csv!$L6:$HD6))</f>
        <v>0</v>
      </c>
      <c r="SH6" s="5">
        <f>IF(ISERROR(LOOKUP(SH$1,$S6:$HK6,csv!$L6:$HD6)),NA(),LOOKUP(SH$1,$S6:$HK6,csv!$L6:$HD6))</f>
        <v>0</v>
      </c>
      <c r="SI6" s="5">
        <f>IF(ISERROR(LOOKUP(SI$1,$S6:$HK6,csv!$L6:$HD6)),NA(),LOOKUP(SI$1,$S6:$HK6,csv!$L6:$HD6))</f>
        <v>0</v>
      </c>
      <c r="SJ6" s="5">
        <f>IF(ISERROR(LOOKUP(SJ$1,$S6:$HK6,csv!$L6:$HD6)),NA(),LOOKUP(SJ$1,$S6:$HK6,csv!$L6:$HD6))</f>
        <v>0</v>
      </c>
      <c r="SK6" s="5">
        <f>IF(ISERROR(LOOKUP(SK$1,$S6:$HK6,csv!$L6:$HD6)),NA(),LOOKUP(SK$1,$S6:$HK6,csv!$L6:$HD6))</f>
        <v>0</v>
      </c>
      <c r="SL6" s="5">
        <f>IF(ISERROR(LOOKUP(SL$1,$S6:$HK6,csv!$L6:$HD6)),NA(),LOOKUP(SL$1,$S6:$HK6,csv!$L6:$HD6))</f>
        <v>0</v>
      </c>
      <c r="SM6" s="5">
        <f>IF(ISERROR(LOOKUP(SM$1,$S6:$HK6,csv!$L6:$HD6)),NA(),LOOKUP(SM$1,$S6:$HK6,csv!$L6:$HD6))</f>
        <v>0</v>
      </c>
      <c r="SN6" s="5">
        <f>IF(ISERROR(LOOKUP(SN$1,$S6:$HK6,csv!$L6:$HD6)),NA(),LOOKUP(SN$1,$S6:$HK6,csv!$L6:$HD6))</f>
        <v>0</v>
      </c>
      <c r="SO6" s="5">
        <f>IF(ISERROR(LOOKUP(SO$1,$S6:$HK6,csv!$L6:$HD6)),NA(),LOOKUP(SO$1,$S6:$HK6,csv!$L6:$HD6))</f>
        <v>0</v>
      </c>
      <c r="SP6" s="5">
        <f>IF(ISERROR(LOOKUP(SP$1,$S6:$HK6,csv!$L6:$HD6)),NA(),LOOKUP(SP$1,$S6:$HK6,csv!$L6:$HD6))</f>
        <v>0</v>
      </c>
      <c r="SQ6" s="5">
        <f>IF(ISERROR(LOOKUP(SQ$1,$S6:$HK6,csv!$L6:$HD6)),NA(),LOOKUP(SQ$1,$S6:$HK6,csv!$L6:$HD6))</f>
        <v>0</v>
      </c>
      <c r="SR6" s="5">
        <f>IF(ISERROR(LOOKUP(SR$1,$S6:$HK6,csv!$L6:$HD6)),NA(),LOOKUP(SR$1,$S6:$HK6,csv!$L6:$HD6))</f>
        <v>0</v>
      </c>
      <c r="SS6" s="5">
        <f>IF(ISERROR(LOOKUP(SS$1,$S6:$HK6,csv!$L6:$HD6)),NA(),LOOKUP(SS$1,$S6:$HK6,csv!$L6:$HD6))</f>
        <v>0</v>
      </c>
      <c r="ST6" s="5">
        <f>IF(ISERROR(LOOKUP(ST$1,$S6:$HK6,csv!$L6:$HD6)),NA(),LOOKUP(ST$1,$S6:$HK6,csv!$L6:$HD6))</f>
        <v>0</v>
      </c>
      <c r="SU6" s="5">
        <f>IF(ISERROR(LOOKUP(SU$1,$S6:$HK6,csv!$L6:$HD6)),NA(),LOOKUP(SU$1,$S6:$HK6,csv!$L6:$HD6))</f>
        <v>0</v>
      </c>
      <c r="SV6" s="5">
        <f>IF(ISERROR(LOOKUP(SV$1,$S6:$HK6,csv!$L6:$HD6)),NA(),LOOKUP(SV$1,$S6:$HK6,csv!$L6:$HD6))</f>
        <v>0</v>
      </c>
      <c r="SW6" s="5">
        <f>IF(ISERROR(LOOKUP(SW$1,$S6:$HK6,csv!$L6:$HD6)),NA(),LOOKUP(SW$1,$S6:$HK6,csv!$L6:$HD6))</f>
        <v>0</v>
      </c>
      <c r="SX6" s="5">
        <f>IF(ISERROR(LOOKUP(SX$1,$S6:$HK6,csv!$L6:$HD6)),NA(),LOOKUP(SX$1,$S6:$HK6,csv!$L6:$HD6))</f>
        <v>0</v>
      </c>
      <c r="SY6" s="5">
        <f>IF(ISERROR(LOOKUP(SY$1,$S6:$HK6,csv!$L6:$HD6)),NA(),LOOKUP(SY$1,$S6:$HK6,csv!$L6:$HD6))</f>
        <v>0</v>
      </c>
      <c r="SZ6" s="5">
        <f>IF(ISERROR(LOOKUP(SZ$1,$S6:$HK6,csv!$L6:$HD6)),NA(),LOOKUP(SZ$1,$S6:$HK6,csv!$L6:$HD6))</f>
        <v>0</v>
      </c>
      <c r="TA6" s="5">
        <f>IF(ISERROR(LOOKUP(TA$1,$S6:$HK6,csv!$L6:$HD6)),NA(),LOOKUP(TA$1,$S6:$HK6,csv!$L6:$HD6))</f>
        <v>0</v>
      </c>
      <c r="TB6" s="5">
        <f>IF(ISERROR(LOOKUP(TB$1,$S6:$HK6,csv!$L6:$HD6)),NA(),LOOKUP(TB$1,$S6:$HK6,csv!$L6:$HD6))</f>
        <v>0</v>
      </c>
      <c r="TD6">
        <f>csv!HG6/10</f>
        <v>0</v>
      </c>
    </row>
    <row r="7" spans="1:524" x14ac:dyDescent="0.15">
      <c r="C7" s="32" t="str">
        <f>TEXT(csv!B7&amp;"/"&amp;csv!C7&amp;"-"&amp;csv!E7&amp;"/"&amp;csv!F7,"mm/dd")</f>
        <v>/-/</v>
      </c>
      <c r="D7">
        <f>csv!A7*10000+csv!B7*100+csv!C7</f>
        <v>0</v>
      </c>
      <c r="E7">
        <f>(IF(csv!HG7&lt;-1000,NA(),csv!HG7)+csv!K7)/10</f>
        <v>0</v>
      </c>
      <c r="F7">
        <f>(IF(csv!HG20&lt;-1000,NA(),csv!HG20)+csv!K20)/10</f>
        <v>0</v>
      </c>
      <c r="G7">
        <f>(IF(csv!HG33&lt;-1000,NA(),csv!HG33)+csv!K33)/10</f>
        <v>0</v>
      </c>
      <c r="H7">
        <f>IF(csv!HG7&lt;-1000,NA(),csv!HG7/10)</f>
        <v>0</v>
      </c>
      <c r="I7">
        <f>IF(csv!HG20&lt;-1000,NA(),csv!HG20/10)</f>
        <v>0</v>
      </c>
      <c r="J7">
        <f>IF(csv!HG33&lt;-1000,NA(),csv!HG33/10)</f>
        <v>0</v>
      </c>
      <c r="K7">
        <f>IF(csv!HF7&lt;-1000,NA(),csv!HF7/10)</f>
        <v>0</v>
      </c>
      <c r="L7">
        <f>IF(csv!HF20&lt;-1000,NA(),csv!HF20/10)</f>
        <v>0</v>
      </c>
      <c r="M7">
        <f>IF(csv!HF33&lt;-1000,NA(),csv!HF33/10)</f>
        <v>0</v>
      </c>
      <c r="N7">
        <f>IF(csv!HE7&lt;-1000,NA(),csv!HE7/10)</f>
        <v>0</v>
      </c>
      <c r="O7">
        <f>IF(csv!HE20&lt;-1000,NA(),csv!HE20/10)</f>
        <v>0</v>
      </c>
      <c r="P7">
        <f>IF(csv!HE33&lt;-1000,NA(),csv!HE33/10)</f>
        <v>0</v>
      </c>
      <c r="S7" s="4">
        <f>ROUND((csv!$HG7/10+calc!S$1),1)</f>
        <v>-10</v>
      </c>
      <c r="T7" s="4">
        <f>ROUND((csv!$HG7/10+calc!T$1),1)</f>
        <v>-9.9</v>
      </c>
      <c r="U7" s="4">
        <f>ROUND((csv!$HG7/10+calc!U$1),1)</f>
        <v>-9.8000000000000007</v>
      </c>
      <c r="V7" s="4">
        <f>ROUND((csv!$HG7/10+calc!V$1),1)</f>
        <v>-9.6999999999999993</v>
      </c>
      <c r="W7" s="4">
        <f>ROUND((csv!$HG7/10+calc!W$1),1)</f>
        <v>-9.6</v>
      </c>
      <c r="X7" s="4">
        <f>ROUND((csv!$HG7/10+calc!X$1),1)</f>
        <v>-9.5</v>
      </c>
      <c r="Y7" s="4">
        <f>ROUND((csv!$HG7/10+calc!Y$1),1)</f>
        <v>-9.4</v>
      </c>
      <c r="Z7" s="4">
        <f>ROUND((csv!$HG7/10+calc!Z$1),1)</f>
        <v>-9.3000000000000007</v>
      </c>
      <c r="AA7" s="4">
        <f>ROUND((csv!$HG7/10+calc!AA$1),1)</f>
        <v>-9.1999999999999993</v>
      </c>
      <c r="AB7" s="4">
        <f>ROUND((csv!$HG7/10+calc!AB$1),1)</f>
        <v>-9.1</v>
      </c>
      <c r="AC7" s="4">
        <f>ROUND((csv!$HG7/10+calc!AC$1),1)</f>
        <v>-9</v>
      </c>
      <c r="AD7" s="4">
        <f>ROUND((csv!$HG7/10+calc!AD$1),1)</f>
        <v>-8.9</v>
      </c>
      <c r="AE7" s="4">
        <f>ROUND((csv!$HG7/10+calc!AE$1),1)</f>
        <v>-8.8000000000000007</v>
      </c>
      <c r="AF7" s="4">
        <f>ROUND((csv!$HG7/10+calc!AF$1),1)</f>
        <v>-8.6999999999999993</v>
      </c>
      <c r="AG7" s="4">
        <f>ROUND((csv!$HG7/10+calc!AG$1),1)</f>
        <v>-8.6</v>
      </c>
      <c r="AH7" s="4">
        <f>ROUND((csv!$HG7/10+calc!AH$1),1)</f>
        <v>-8.5</v>
      </c>
      <c r="AI7" s="4">
        <f>ROUND((csv!$HG7/10+calc!AI$1),1)</f>
        <v>-8.4</v>
      </c>
      <c r="AJ7" s="4">
        <f>ROUND((csv!$HG7/10+calc!AJ$1),1)</f>
        <v>-8.3000000000000007</v>
      </c>
      <c r="AK7" s="4">
        <f>ROUND((csv!$HG7/10+calc!AK$1),1)</f>
        <v>-8.1999999999999993</v>
      </c>
      <c r="AL7" s="4">
        <f>ROUND((csv!$HG7/10+calc!AL$1),1)</f>
        <v>-8.1</v>
      </c>
      <c r="AM7" s="4">
        <f>ROUND((csv!$HG7/10+calc!AM$1),1)</f>
        <v>-8</v>
      </c>
      <c r="AN7" s="4">
        <f>ROUND((csv!$HG7/10+calc!AN$1),1)</f>
        <v>-7.9</v>
      </c>
      <c r="AO7" s="4">
        <f>ROUND((csv!$HG7/10+calc!AO$1),1)</f>
        <v>-7.8</v>
      </c>
      <c r="AP7" s="4">
        <f>ROUND((csv!$HG7/10+calc!AP$1),1)</f>
        <v>-7.7</v>
      </c>
      <c r="AQ7" s="4">
        <f>ROUND((csv!$HG7/10+calc!AQ$1),1)</f>
        <v>-7.6</v>
      </c>
      <c r="AR7" s="4">
        <f>ROUND((csv!$HG7/10+calc!AR$1),1)</f>
        <v>-7.5</v>
      </c>
      <c r="AS7" s="4">
        <f>ROUND((csv!$HG7/10+calc!AS$1),1)</f>
        <v>-7.4</v>
      </c>
      <c r="AT7" s="4">
        <f>ROUND((csv!$HG7/10+calc!AT$1),1)</f>
        <v>-7.3</v>
      </c>
      <c r="AU7" s="4">
        <f>ROUND((csv!$HG7/10+calc!AU$1),1)</f>
        <v>-7.2</v>
      </c>
      <c r="AV7" s="4">
        <f>ROUND((csv!$HG7/10+calc!AV$1),1)</f>
        <v>-7.1</v>
      </c>
      <c r="AW7" s="4">
        <f>ROUND((csv!$HG7/10+calc!AW$1),1)</f>
        <v>-7</v>
      </c>
      <c r="AX7" s="4">
        <f>ROUND((csv!$HG7/10+calc!AX$1),1)</f>
        <v>-6.9</v>
      </c>
      <c r="AY7" s="4">
        <f>ROUND((csv!$HG7/10+calc!AY$1),1)</f>
        <v>-6.8</v>
      </c>
      <c r="AZ7" s="4">
        <f>ROUND((csv!$HG7/10+calc!AZ$1),1)</f>
        <v>-6.7</v>
      </c>
      <c r="BA7" s="4">
        <f>ROUND((csv!$HG7/10+calc!BA$1),1)</f>
        <v>-6.6</v>
      </c>
      <c r="BB7" s="4">
        <f>ROUND((csv!$HG7/10+calc!BB$1),1)</f>
        <v>-6.5</v>
      </c>
      <c r="BC7" s="4">
        <f>ROUND((csv!$HG7/10+calc!BC$1),1)</f>
        <v>-6.4</v>
      </c>
      <c r="BD7" s="4">
        <f>ROUND((csv!$HG7/10+calc!BD$1),1)</f>
        <v>-6.3</v>
      </c>
      <c r="BE7" s="4">
        <f>ROUND((csv!$HG7/10+calc!BE$1),1)</f>
        <v>-6.2</v>
      </c>
      <c r="BF7" s="4">
        <f>ROUND((csv!$HG7/10+calc!BF$1),1)</f>
        <v>-6.1</v>
      </c>
      <c r="BG7" s="4">
        <f>ROUND((csv!$HG7/10+calc!BG$1),1)</f>
        <v>-6</v>
      </c>
      <c r="BH7" s="4">
        <f>ROUND((csv!$HG7/10+calc!BH$1),1)</f>
        <v>-5.9</v>
      </c>
      <c r="BI7" s="4">
        <f>ROUND((csv!$HG7/10+calc!BI$1),1)</f>
        <v>-5.8</v>
      </c>
      <c r="BJ7" s="4">
        <f>ROUND((csv!$HG7/10+calc!BJ$1),1)</f>
        <v>-5.7</v>
      </c>
      <c r="BK7" s="4">
        <f>ROUND((csv!$HG7/10+calc!BK$1),1)</f>
        <v>-5.6</v>
      </c>
      <c r="BL7" s="4">
        <f>ROUND((csv!$HG7/10+calc!BL$1),1)</f>
        <v>-5.5</v>
      </c>
      <c r="BM7" s="4">
        <f>ROUND((csv!$HG7/10+calc!BM$1),1)</f>
        <v>-5.4</v>
      </c>
      <c r="BN7" s="4">
        <f>ROUND((csv!$HG7/10+calc!BN$1),1)</f>
        <v>-5.3</v>
      </c>
      <c r="BO7" s="4">
        <f>ROUND((csv!$HG7/10+calc!BO$1),1)</f>
        <v>-5.2</v>
      </c>
      <c r="BP7" s="4">
        <f>ROUND((csv!$HG7/10+calc!BP$1),1)</f>
        <v>-5.0999999999999996</v>
      </c>
      <c r="BQ7" s="4">
        <f>ROUND((csv!$HG7/10+calc!BQ$1),1)</f>
        <v>-5</v>
      </c>
      <c r="BR7" s="4">
        <f>ROUND((csv!$HG7/10+calc!BR$1),1)</f>
        <v>-4.9000000000000004</v>
      </c>
      <c r="BS7" s="4">
        <f>ROUND((csv!$HG7/10+calc!BS$1),1)</f>
        <v>-4.8</v>
      </c>
      <c r="BT7" s="4">
        <f>ROUND((csv!$HG7/10+calc!BT$1),1)</f>
        <v>-4.7</v>
      </c>
      <c r="BU7" s="4">
        <f>ROUND((csv!$HG7/10+calc!BU$1),1)</f>
        <v>-4.5999999999999996</v>
      </c>
      <c r="BV7" s="4">
        <f>ROUND((csv!$HG7/10+calc!BV$1),1)</f>
        <v>-4.5</v>
      </c>
      <c r="BW7" s="4">
        <f>ROUND((csv!$HG7/10+calc!BW$1),1)</f>
        <v>-4.4000000000000004</v>
      </c>
      <c r="BX7" s="4">
        <f>ROUND((csv!$HG7/10+calc!BX$1),1)</f>
        <v>-4.3</v>
      </c>
      <c r="BY7" s="4">
        <f>ROUND((csv!$HG7/10+calc!BY$1),1)</f>
        <v>-4.2</v>
      </c>
      <c r="BZ7" s="4">
        <f>ROUND((csv!$HG7/10+calc!BZ$1),1)</f>
        <v>-4.0999999999999996</v>
      </c>
      <c r="CA7" s="4">
        <f>ROUND((csv!$HG7/10+calc!CA$1),1)</f>
        <v>-4</v>
      </c>
      <c r="CB7" s="4">
        <f>ROUND((csv!$HG7/10+calc!CB$1),1)</f>
        <v>-3.9</v>
      </c>
      <c r="CC7" s="4">
        <f>ROUND((csv!$HG7/10+calc!CC$1),1)</f>
        <v>-3.8</v>
      </c>
      <c r="CD7" s="4">
        <f>ROUND((csv!$HG7/10+calc!CD$1),1)</f>
        <v>-3.7</v>
      </c>
      <c r="CE7" s="4">
        <f>ROUND((csv!$HG7/10+calc!CE$1),1)</f>
        <v>-3.6</v>
      </c>
      <c r="CF7" s="4">
        <f>ROUND((csv!$HG7/10+calc!CF$1),1)</f>
        <v>-3.5</v>
      </c>
      <c r="CG7" s="4">
        <f>ROUND((csv!$HG7/10+calc!CG$1),1)</f>
        <v>-3.4</v>
      </c>
      <c r="CH7" s="4">
        <f>ROUND((csv!$HG7/10+calc!CH$1),1)</f>
        <v>-3.3</v>
      </c>
      <c r="CI7" s="4">
        <f>ROUND((csv!$HG7/10+calc!CI$1),1)</f>
        <v>-3.2</v>
      </c>
      <c r="CJ7" s="4">
        <f>ROUND((csv!$HG7/10+calc!CJ$1),1)</f>
        <v>-3.1</v>
      </c>
      <c r="CK7" s="4">
        <f>ROUND((csv!$HG7/10+calc!CK$1),1)</f>
        <v>-3</v>
      </c>
      <c r="CL7" s="4">
        <f>ROUND((csv!$HG7/10+calc!CL$1),1)</f>
        <v>-2.9</v>
      </c>
      <c r="CM7" s="4">
        <f>ROUND((csv!$HG7/10+calc!CM$1),1)</f>
        <v>-2.8</v>
      </c>
      <c r="CN7" s="4">
        <f>ROUND((csv!$HG7/10+calc!CN$1),1)</f>
        <v>-2.7</v>
      </c>
      <c r="CO7" s="4">
        <f>ROUND((csv!$HG7/10+calc!CO$1),1)</f>
        <v>-2.6</v>
      </c>
      <c r="CP7" s="4">
        <f>ROUND((csv!$HG7/10+calc!CP$1),1)</f>
        <v>-2.5</v>
      </c>
      <c r="CQ7" s="4">
        <f>ROUND((csv!$HG7/10+calc!CQ$1),1)</f>
        <v>-2.4</v>
      </c>
      <c r="CR7" s="4">
        <f>ROUND((csv!$HG7/10+calc!CR$1),1)</f>
        <v>-2.2999999999999998</v>
      </c>
      <c r="CS7" s="4">
        <f>ROUND((csv!$HG7/10+calc!CS$1),1)</f>
        <v>-2.2000000000000002</v>
      </c>
      <c r="CT7" s="4">
        <f>ROUND((csv!$HG7/10+calc!CT$1),1)</f>
        <v>-2.1</v>
      </c>
      <c r="CU7" s="4">
        <f>ROUND((csv!$HG7/10+calc!CU$1),1)</f>
        <v>-2</v>
      </c>
      <c r="CV7" s="4">
        <f>ROUND((csv!$HG7/10+calc!CV$1),1)</f>
        <v>-1.9</v>
      </c>
      <c r="CW7" s="4">
        <f>ROUND((csv!$HG7/10+calc!CW$1),1)</f>
        <v>-1.8</v>
      </c>
      <c r="CX7" s="4">
        <f>ROUND((csv!$HG7/10+calc!CX$1),1)</f>
        <v>-1.7</v>
      </c>
      <c r="CY7" s="4">
        <f>ROUND((csv!$HG7/10+calc!CY$1),1)</f>
        <v>-1.6</v>
      </c>
      <c r="CZ7" s="4">
        <f>ROUND((csv!$HG7/10+calc!CZ$1),1)</f>
        <v>-1.5</v>
      </c>
      <c r="DA7" s="4">
        <f>ROUND((csv!$HG7/10+calc!DA$1),1)</f>
        <v>-1.4</v>
      </c>
      <c r="DB7" s="4">
        <f>ROUND((csv!$HG7/10+calc!DB$1),1)</f>
        <v>-1.3</v>
      </c>
      <c r="DC7" s="4">
        <f>ROUND((csv!$HG7/10+calc!DC$1),1)</f>
        <v>-1.2</v>
      </c>
      <c r="DD7" s="4">
        <f>ROUND((csv!$HG7/10+calc!DD$1),1)</f>
        <v>-1.1000000000000001</v>
      </c>
      <c r="DE7" s="4">
        <f>ROUND((csv!$HG7/10+calc!DE$1),1)</f>
        <v>-1</v>
      </c>
      <c r="DF7" s="4">
        <f>ROUND((csv!$HG7/10+calc!DF$1),1)</f>
        <v>-0.9</v>
      </c>
      <c r="DG7" s="4">
        <f>ROUND((csv!$HG7/10+calc!DG$1),1)</f>
        <v>-0.8</v>
      </c>
      <c r="DH7" s="4">
        <f>ROUND((csv!$HG7/10+calc!DH$1),1)</f>
        <v>-0.7</v>
      </c>
      <c r="DI7" s="4">
        <f>ROUND((csv!$HG7/10+calc!DI$1),1)</f>
        <v>-0.6</v>
      </c>
      <c r="DJ7" s="4">
        <f>ROUND((csv!$HG7/10+calc!DJ$1),1)</f>
        <v>-0.5</v>
      </c>
      <c r="DK7" s="4">
        <f>ROUND((csv!$HG7/10+calc!DK$1),1)</f>
        <v>-0.4</v>
      </c>
      <c r="DL7" s="4">
        <f>ROUND((csv!$HG7/10+calc!DL$1),1)</f>
        <v>-0.3</v>
      </c>
      <c r="DM7" s="4">
        <f>ROUND((csv!$HG7/10+calc!DM$1),1)</f>
        <v>-0.2</v>
      </c>
      <c r="DN7" s="4">
        <f>ROUND((csv!$HG7/10+calc!DN$1),1)</f>
        <v>-0.1</v>
      </c>
      <c r="DO7" s="4">
        <f>ROUND((csv!$HG7/10+calc!DO$1),1)</f>
        <v>0</v>
      </c>
      <c r="DP7" s="4">
        <f>ROUND((csv!$HG7/10+calc!DP$1),1)</f>
        <v>0.1</v>
      </c>
      <c r="DQ7" s="4">
        <f>ROUND((csv!$HG7/10+calc!DQ$1),1)</f>
        <v>0.2</v>
      </c>
      <c r="DR7" s="4">
        <f>ROUND((csv!$HG7/10+calc!DR$1),1)</f>
        <v>0.3</v>
      </c>
      <c r="DS7" s="4">
        <f>ROUND((csv!$HG7/10+calc!DS$1),1)</f>
        <v>0.4</v>
      </c>
      <c r="DT7" s="4">
        <f>ROUND((csv!$HG7/10+calc!DT$1),1)</f>
        <v>0.5</v>
      </c>
      <c r="DU7" s="4">
        <f>ROUND((csv!$HG7/10+calc!DU$1),1)</f>
        <v>0.6</v>
      </c>
      <c r="DV7" s="4">
        <f>ROUND((csv!$HG7/10+calc!DV$1),1)</f>
        <v>0.7</v>
      </c>
      <c r="DW7" s="4">
        <f>ROUND((csv!$HG7/10+calc!DW$1),1)</f>
        <v>0.8</v>
      </c>
      <c r="DX7" s="4">
        <f>ROUND((csv!$HG7/10+calc!DX$1),1)</f>
        <v>0.9</v>
      </c>
      <c r="DY7" s="4">
        <f>ROUND((csv!$HG7/10+calc!DY$1),1)</f>
        <v>1</v>
      </c>
      <c r="DZ7" s="4">
        <f>ROUND((csv!$HG7/10+calc!DZ$1),1)</f>
        <v>1.1000000000000001</v>
      </c>
      <c r="EA7" s="4">
        <f>ROUND((csv!$HG7/10+calc!EA$1),1)</f>
        <v>1.2</v>
      </c>
      <c r="EB7" s="4">
        <f>ROUND((csv!$HG7/10+calc!EB$1),1)</f>
        <v>1.3</v>
      </c>
      <c r="EC7" s="4">
        <f>ROUND((csv!$HG7/10+calc!EC$1),1)</f>
        <v>1.4</v>
      </c>
      <c r="ED7" s="4">
        <f>ROUND((csv!$HG7/10+calc!ED$1),1)</f>
        <v>1.5</v>
      </c>
      <c r="EE7" s="4">
        <f>ROUND((csv!$HG7/10+calc!EE$1),1)</f>
        <v>1.6</v>
      </c>
      <c r="EF7" s="4">
        <f>ROUND((csv!$HG7/10+calc!EF$1),1)</f>
        <v>1.7</v>
      </c>
      <c r="EG7" s="4">
        <f>ROUND((csv!$HG7/10+calc!EG$1),1)</f>
        <v>1.8</v>
      </c>
      <c r="EH7" s="4">
        <f>ROUND((csv!$HG7/10+calc!EH$1),1)</f>
        <v>1.9</v>
      </c>
      <c r="EI7" s="4">
        <f>ROUND((csv!$HG7/10+calc!EI$1),1)</f>
        <v>2</v>
      </c>
      <c r="EJ7" s="4">
        <f>ROUND((csv!$HG7/10+calc!EJ$1),1)</f>
        <v>2.1</v>
      </c>
      <c r="EK7" s="4">
        <f>ROUND((csv!$HG7/10+calc!EK$1),1)</f>
        <v>2.2000000000000002</v>
      </c>
      <c r="EL7" s="4">
        <f>ROUND((csv!$HG7/10+calc!EL$1),1)</f>
        <v>2.2999999999999998</v>
      </c>
      <c r="EM7" s="4">
        <f>ROUND((csv!$HG7/10+calc!EM$1),1)</f>
        <v>2.4</v>
      </c>
      <c r="EN7" s="4">
        <f>ROUND((csv!$HG7/10+calc!EN$1),1)</f>
        <v>2.5</v>
      </c>
      <c r="EO7" s="4">
        <f>ROUND((csv!$HG7/10+calc!EO$1),1)</f>
        <v>2.6</v>
      </c>
      <c r="EP7" s="4">
        <f>ROUND((csv!$HG7/10+calc!EP$1),1)</f>
        <v>2.7</v>
      </c>
      <c r="EQ7" s="4">
        <f>ROUND((csv!$HG7/10+calc!EQ$1),1)</f>
        <v>2.8</v>
      </c>
      <c r="ER7" s="4">
        <f>ROUND((csv!$HG7/10+calc!ER$1),1)</f>
        <v>2.9</v>
      </c>
      <c r="ES7" s="4">
        <f>ROUND((csv!$HG7/10+calc!ES$1),1)</f>
        <v>3</v>
      </c>
      <c r="ET7" s="4">
        <f>ROUND((csv!$HG7/10+calc!ET$1),1)</f>
        <v>3.1</v>
      </c>
      <c r="EU7" s="4">
        <f>ROUND((csv!$HG7/10+calc!EU$1),1)</f>
        <v>3.2</v>
      </c>
      <c r="EV7" s="4">
        <f>ROUND((csv!$HG7/10+calc!EV$1),1)</f>
        <v>3.3</v>
      </c>
      <c r="EW7" s="4">
        <f>ROUND((csv!$HG7/10+calc!EW$1),1)</f>
        <v>3.4</v>
      </c>
      <c r="EX7" s="4">
        <f>ROUND((csv!$HG7/10+calc!EX$1),1)</f>
        <v>3.5</v>
      </c>
      <c r="EY7" s="4">
        <f>ROUND((csv!$HG7/10+calc!EY$1),1)</f>
        <v>3.6</v>
      </c>
      <c r="EZ7" s="4">
        <f>ROUND((csv!$HG7/10+calc!EZ$1),1)</f>
        <v>3.7</v>
      </c>
      <c r="FA7" s="4">
        <f>ROUND((csv!$HG7/10+calc!FA$1),1)</f>
        <v>3.8</v>
      </c>
      <c r="FB7" s="4">
        <f>ROUND((csv!$HG7/10+calc!FB$1),1)</f>
        <v>3.9</v>
      </c>
      <c r="FC7" s="4">
        <f>ROUND((csv!$HG7/10+calc!FC$1),1)</f>
        <v>4</v>
      </c>
      <c r="FD7" s="4">
        <f>ROUND((csv!$HG7/10+calc!FD$1),1)</f>
        <v>4.0999999999999996</v>
      </c>
      <c r="FE7" s="4">
        <f>ROUND((csv!$HG7/10+calc!FE$1),1)</f>
        <v>4.2</v>
      </c>
      <c r="FF7" s="4">
        <f>ROUND((csv!$HG7/10+calc!FF$1),1)</f>
        <v>4.3</v>
      </c>
      <c r="FG7" s="4">
        <f>ROUND((csv!$HG7/10+calc!FG$1),1)</f>
        <v>4.4000000000000004</v>
      </c>
      <c r="FH7" s="4">
        <f>ROUND((csv!$HG7/10+calc!FH$1),1)</f>
        <v>4.5</v>
      </c>
      <c r="FI7" s="4">
        <f>ROUND((csv!$HG7/10+calc!FI$1),1)</f>
        <v>4.5999999999999996</v>
      </c>
      <c r="FJ7" s="4">
        <f>ROUND((csv!$HG7/10+calc!FJ$1),1)</f>
        <v>4.7</v>
      </c>
      <c r="FK7" s="4">
        <f>ROUND((csv!$HG7/10+calc!FK$1),1)</f>
        <v>4.8</v>
      </c>
      <c r="FL7" s="4">
        <f>ROUND((csv!$HG7/10+calc!FL$1),1)</f>
        <v>4.9000000000000004</v>
      </c>
      <c r="FM7" s="4">
        <f>ROUND((csv!$HG7/10+calc!FM$1),1)</f>
        <v>5</v>
      </c>
      <c r="FN7" s="4">
        <f>ROUND((csv!$HG7/10+calc!FN$1),1)</f>
        <v>5.0999999999999996</v>
      </c>
      <c r="FO7" s="4">
        <f>ROUND((csv!$HG7/10+calc!FO$1),1)</f>
        <v>5.2</v>
      </c>
      <c r="FP7" s="4">
        <f>ROUND((csv!$HG7/10+calc!FP$1),1)</f>
        <v>5.3</v>
      </c>
      <c r="FQ7" s="4">
        <f>ROUND((csv!$HG7/10+calc!FQ$1),1)</f>
        <v>5.4</v>
      </c>
      <c r="FR7" s="4">
        <f>ROUND((csv!$HG7/10+calc!FR$1),1)</f>
        <v>5.5</v>
      </c>
      <c r="FS7" s="4">
        <f>ROUND((csv!$HG7/10+calc!FS$1),1)</f>
        <v>5.6</v>
      </c>
      <c r="FT7" s="4">
        <f>ROUND((csv!$HG7/10+calc!FT$1),1)</f>
        <v>5.7</v>
      </c>
      <c r="FU7" s="4">
        <f>ROUND((csv!$HG7/10+calc!FU$1),1)</f>
        <v>5.8</v>
      </c>
      <c r="FV7" s="4">
        <f>ROUND((csv!$HG7/10+calc!FV$1),1)</f>
        <v>5.9</v>
      </c>
      <c r="FW7" s="4">
        <f>ROUND((csv!$HG7/10+calc!FW$1),1)</f>
        <v>6</v>
      </c>
      <c r="FX7" s="4">
        <f>ROUND((csv!$HG7/10+calc!FX$1),1)</f>
        <v>6.1</v>
      </c>
      <c r="FY7" s="4">
        <f>ROUND((csv!$HG7/10+calc!FY$1),1)</f>
        <v>6.2</v>
      </c>
      <c r="FZ7" s="4">
        <f>ROUND((csv!$HG7/10+calc!FZ$1),1)</f>
        <v>6.3</v>
      </c>
      <c r="GA7" s="4">
        <f>ROUND((csv!$HG7/10+calc!GA$1),1)</f>
        <v>6.4</v>
      </c>
      <c r="GB7" s="4">
        <f>ROUND((csv!$HG7/10+calc!GB$1),1)</f>
        <v>6.5</v>
      </c>
      <c r="GC7" s="4">
        <f>ROUND((csv!$HG7/10+calc!GC$1),1)</f>
        <v>6.6</v>
      </c>
      <c r="GD7" s="4">
        <f>ROUND((csv!$HG7/10+calc!GD$1),1)</f>
        <v>6.7</v>
      </c>
      <c r="GE7" s="4">
        <f>ROUND((csv!$HG7/10+calc!GE$1),1)</f>
        <v>6.8</v>
      </c>
      <c r="GF7" s="4">
        <f>ROUND((csv!$HG7/10+calc!GF$1),1)</f>
        <v>6.9</v>
      </c>
      <c r="GG7" s="4">
        <f>ROUND((csv!$HG7/10+calc!GG$1),1)</f>
        <v>7</v>
      </c>
      <c r="GH7" s="4">
        <f>ROUND((csv!$HG7/10+calc!GH$1),1)</f>
        <v>7.1</v>
      </c>
      <c r="GI7" s="4">
        <f>ROUND((csv!$HG7/10+calc!GI$1),1)</f>
        <v>7.2</v>
      </c>
      <c r="GJ7" s="4">
        <f>ROUND((csv!$HG7/10+calc!GJ$1),1)</f>
        <v>7.3</v>
      </c>
      <c r="GK7" s="4">
        <f>ROUND((csv!$HG7/10+calc!GK$1),1)</f>
        <v>7.4</v>
      </c>
      <c r="GL7" s="4">
        <f>ROUND((csv!$HG7/10+calc!GL$1),1)</f>
        <v>7.5</v>
      </c>
      <c r="GM7" s="4">
        <f>ROUND((csv!$HG7/10+calc!GM$1),1)</f>
        <v>7.6</v>
      </c>
      <c r="GN7" s="4">
        <f>ROUND((csv!$HG7/10+calc!GN$1),1)</f>
        <v>7.7</v>
      </c>
      <c r="GO7" s="4">
        <f>ROUND((csv!$HG7/10+calc!GO$1),1)</f>
        <v>7.8</v>
      </c>
      <c r="GP7" s="4">
        <f>ROUND((csv!$HG7/10+calc!GP$1),1)</f>
        <v>7.9</v>
      </c>
      <c r="GQ7" s="4">
        <f>ROUND((csv!$HG7/10+calc!GQ$1),1)</f>
        <v>8</v>
      </c>
      <c r="GR7" s="4">
        <f>ROUND((csv!$HG7/10+calc!GR$1),1)</f>
        <v>8.1</v>
      </c>
      <c r="GS7" s="4">
        <f>ROUND((csv!$HG7/10+calc!GS$1),1)</f>
        <v>8.1999999999999993</v>
      </c>
      <c r="GT7" s="4">
        <f>ROUND((csv!$HG7/10+calc!GT$1),1)</f>
        <v>8.3000000000000007</v>
      </c>
      <c r="GU7" s="4">
        <f>ROUND((csv!$HG7/10+calc!GU$1),1)</f>
        <v>8.4</v>
      </c>
      <c r="GV7" s="4">
        <f>ROUND((csv!$HG7/10+calc!GV$1),1)</f>
        <v>8.5</v>
      </c>
      <c r="GW7" s="4">
        <f>ROUND((csv!$HG7/10+calc!GW$1),1)</f>
        <v>8.6</v>
      </c>
      <c r="GX7" s="4">
        <f>ROUND((csv!$HG7/10+calc!GX$1),1)</f>
        <v>8.6999999999999993</v>
      </c>
      <c r="GY7" s="4">
        <f>ROUND((csv!$HG7/10+calc!GY$1),1)</f>
        <v>8.8000000000000007</v>
      </c>
      <c r="GZ7" s="4">
        <f>ROUND((csv!$HG7/10+calc!GZ$1),1)</f>
        <v>8.9</v>
      </c>
      <c r="HA7" s="4">
        <f>ROUND((csv!$HG7/10+calc!HA$1),1)</f>
        <v>9</v>
      </c>
      <c r="HB7" s="4">
        <f>ROUND((csv!$HG7/10+calc!HB$1),1)</f>
        <v>9.1</v>
      </c>
      <c r="HC7" s="4">
        <f>ROUND((csv!$HG7/10+calc!HC$1),1)</f>
        <v>9.1999999999999993</v>
      </c>
      <c r="HD7" s="4">
        <f>ROUND((csv!$HG7/10+calc!HD$1),1)</f>
        <v>9.3000000000000007</v>
      </c>
      <c r="HE7" s="4">
        <f>ROUND((csv!$HG7/10+calc!HE$1),1)</f>
        <v>9.4</v>
      </c>
      <c r="HF7" s="4">
        <f>ROUND((csv!$HG7/10+calc!HF$1),1)</f>
        <v>9.5</v>
      </c>
      <c r="HG7" s="4">
        <f>ROUND((csv!$HG7/10+calc!HG$1),1)</f>
        <v>9.6</v>
      </c>
      <c r="HH7" s="4">
        <f>ROUND((csv!$HG7/10+calc!HH$1),1)</f>
        <v>9.6999999999999993</v>
      </c>
      <c r="HI7" s="4">
        <f>ROUND((csv!$HG7/10+calc!HI$1),1)</f>
        <v>9.8000000000000007</v>
      </c>
      <c r="HJ7" s="4">
        <f>ROUND((csv!$HG7/10+calc!HJ$1),1)</f>
        <v>9.9</v>
      </c>
      <c r="HK7" s="4">
        <f>ROUND((csv!$HG7/10+calc!HK$1),1)</f>
        <v>10</v>
      </c>
      <c r="HM7" s="2">
        <f>csv!A7*10000+csv!B7*100+csv!C7</f>
        <v>0</v>
      </c>
      <c r="HN7" s="5">
        <f>IF(ISERROR(LOOKUP(HN$1,$S7:$HK7,csv!$L7:$HD7)),NA(),LOOKUP(HN$1,$S7:$HK7,csv!$L7:$HD7))</f>
        <v>0</v>
      </c>
      <c r="HO7" s="5">
        <f>IF(ISERROR(LOOKUP(HO$1,$S7:$HK7,csv!$L7:$HD7)),NA(),LOOKUP(HO$1,$S7:$HK7,csv!$L7:$HD7))</f>
        <v>0</v>
      </c>
      <c r="HP7" s="5">
        <f>IF(ISERROR(LOOKUP(HP$1,$S7:$HK7,csv!$L7:$HD7)),NA(),LOOKUP(HP$1,$S7:$HK7,csv!$L7:$HD7))</f>
        <v>0</v>
      </c>
      <c r="HQ7" s="5">
        <f>IF(ISERROR(LOOKUP(HQ$1,$S7:$HK7,csv!$L7:$HD7)),NA(),LOOKUP(HQ$1,$S7:$HK7,csv!$L7:$HD7))</f>
        <v>0</v>
      </c>
      <c r="HR7" s="5">
        <f>IF(ISERROR(LOOKUP(HR$1,$S7:$HK7,csv!$L7:$HD7)),NA(),LOOKUP(HR$1,$S7:$HK7,csv!$L7:$HD7))</f>
        <v>0</v>
      </c>
      <c r="HS7" s="5">
        <f>IF(ISERROR(LOOKUP(HS$1,$S7:$HK7,csv!$L7:$HD7)),NA(),LOOKUP(HS$1,$S7:$HK7,csv!$L7:$HD7))</f>
        <v>0</v>
      </c>
      <c r="HT7" s="5">
        <f>IF(ISERROR(LOOKUP(HT$1,$S7:$HK7,csv!$L7:$HD7)),NA(),LOOKUP(HT$1,$S7:$HK7,csv!$L7:$HD7))</f>
        <v>0</v>
      </c>
      <c r="HU7" s="5">
        <f>IF(ISERROR(LOOKUP(HU$1,$S7:$HK7,csv!$L7:$HD7)),NA(),LOOKUP(HU$1,$S7:$HK7,csv!$L7:$HD7))</f>
        <v>0</v>
      </c>
      <c r="HV7" s="5">
        <f>IF(ISERROR(LOOKUP(HV$1,$S7:$HK7,csv!$L7:$HD7)),NA(),LOOKUP(HV$1,$S7:$HK7,csv!$L7:$HD7))</f>
        <v>0</v>
      </c>
      <c r="HW7" s="5">
        <f>IF(ISERROR(LOOKUP(HW$1,$S7:$HK7,csv!$L7:$HD7)),NA(),LOOKUP(HW$1,$S7:$HK7,csv!$L7:$HD7))</f>
        <v>0</v>
      </c>
      <c r="HX7" s="5">
        <f>IF(ISERROR(LOOKUP(HX$1,$S7:$HK7,csv!$L7:$HD7)),NA(),LOOKUP(HX$1,$S7:$HK7,csv!$L7:$HD7))</f>
        <v>0</v>
      </c>
      <c r="HY7" s="5">
        <f>IF(ISERROR(LOOKUP(HY$1,$S7:$HK7,csv!$L7:$HD7)),NA(),LOOKUP(HY$1,$S7:$HK7,csv!$L7:$HD7))</f>
        <v>0</v>
      </c>
      <c r="HZ7" s="5">
        <f>IF(ISERROR(LOOKUP(HZ$1,$S7:$HK7,csv!$L7:$HD7)),NA(),LOOKUP(HZ$1,$S7:$HK7,csv!$L7:$HD7))</f>
        <v>0</v>
      </c>
      <c r="IA7" s="5">
        <f>IF(ISERROR(LOOKUP(IA$1,$S7:$HK7,csv!$L7:$HD7)),NA(),LOOKUP(IA$1,$S7:$HK7,csv!$L7:$HD7))</f>
        <v>0</v>
      </c>
      <c r="IB7" s="5">
        <f>IF(ISERROR(LOOKUP(IB$1,$S7:$HK7,csv!$L7:$HD7)),NA(),LOOKUP(IB$1,$S7:$HK7,csv!$L7:$HD7))</f>
        <v>0</v>
      </c>
      <c r="IC7" s="5">
        <f>IF(ISERROR(LOOKUP(IC$1,$S7:$HK7,csv!$L7:$HD7)),NA(),LOOKUP(IC$1,$S7:$HK7,csv!$L7:$HD7))</f>
        <v>0</v>
      </c>
      <c r="ID7" s="5">
        <f>IF(ISERROR(LOOKUP(ID$1,$S7:$HK7,csv!$L7:$HD7)),NA(),LOOKUP(ID$1,$S7:$HK7,csv!$L7:$HD7))</f>
        <v>0</v>
      </c>
      <c r="IE7" s="5">
        <f>IF(ISERROR(LOOKUP(IE$1,$S7:$HK7,csv!$L7:$HD7)),NA(),LOOKUP(IE$1,$S7:$HK7,csv!$L7:$HD7))</f>
        <v>0</v>
      </c>
      <c r="IF7" s="5">
        <f>IF(ISERROR(LOOKUP(IF$1,$S7:$HK7,csv!$L7:$HD7)),NA(),LOOKUP(IF$1,$S7:$HK7,csv!$L7:$HD7))</f>
        <v>0</v>
      </c>
      <c r="IG7" s="5">
        <f>IF(ISERROR(LOOKUP(IG$1,$S7:$HK7,csv!$L7:$HD7)),NA(),LOOKUP(IG$1,$S7:$HK7,csv!$L7:$HD7))</f>
        <v>0</v>
      </c>
      <c r="IH7" s="5">
        <f>IF(ISERROR(LOOKUP(IH$1,$S7:$HK7,csv!$L7:$HD7)),NA(),LOOKUP(IH$1,$S7:$HK7,csv!$L7:$HD7))</f>
        <v>0</v>
      </c>
      <c r="II7" s="5">
        <f>IF(ISERROR(LOOKUP(II$1,$S7:$HK7,csv!$L7:$HD7)),NA(),LOOKUP(II$1,$S7:$HK7,csv!$L7:$HD7))</f>
        <v>0</v>
      </c>
      <c r="IJ7" s="5">
        <f>IF(ISERROR(LOOKUP(IJ$1,$S7:$HK7,csv!$L7:$HD7)),NA(),LOOKUP(IJ$1,$S7:$HK7,csv!$L7:$HD7))</f>
        <v>0</v>
      </c>
      <c r="IK7" s="5">
        <f>IF(ISERROR(LOOKUP(IK$1,$S7:$HK7,csv!$L7:$HD7)),NA(),LOOKUP(IK$1,$S7:$HK7,csv!$L7:$HD7))</f>
        <v>0</v>
      </c>
      <c r="IL7" s="5">
        <f>IF(ISERROR(LOOKUP(IL$1,$S7:$HK7,csv!$L7:$HD7)),NA(),LOOKUP(IL$1,$S7:$HK7,csv!$L7:$HD7))</f>
        <v>0</v>
      </c>
      <c r="IM7" s="5">
        <f>IF(ISERROR(LOOKUP(IM$1,$S7:$HK7,csv!$L7:$HD7)),NA(),LOOKUP(IM$1,$S7:$HK7,csv!$L7:$HD7))</f>
        <v>0</v>
      </c>
      <c r="IN7" s="5">
        <f>IF(ISERROR(LOOKUP(IN$1,$S7:$HK7,csv!$L7:$HD7)),NA(),LOOKUP(IN$1,$S7:$HK7,csv!$L7:$HD7))</f>
        <v>0</v>
      </c>
      <c r="IO7" s="5">
        <f>IF(ISERROR(LOOKUP(IO$1,$S7:$HK7,csv!$L7:$HD7)),NA(),LOOKUP(IO$1,$S7:$HK7,csv!$L7:$HD7))</f>
        <v>0</v>
      </c>
      <c r="IP7" s="5">
        <f>IF(ISERROR(LOOKUP(IP$1,$S7:$HK7,csv!$L7:$HD7)),NA(),LOOKUP(IP$1,$S7:$HK7,csv!$L7:$HD7))</f>
        <v>0</v>
      </c>
      <c r="IQ7" s="5">
        <f>IF(ISERROR(LOOKUP(IQ$1,$S7:$HK7,csv!$L7:$HD7)),NA(),LOOKUP(IQ$1,$S7:$HK7,csv!$L7:$HD7))</f>
        <v>0</v>
      </c>
      <c r="IR7" s="5">
        <f>IF(ISERROR(LOOKUP(IR$1,$S7:$HK7,csv!$L7:$HD7)),NA(),LOOKUP(IR$1,$S7:$HK7,csv!$L7:$HD7))</f>
        <v>0</v>
      </c>
      <c r="IS7" s="5">
        <f>IF(ISERROR(LOOKUP(IS$1,$S7:$HK7,csv!$L7:$HD7)),NA(),LOOKUP(IS$1,$S7:$HK7,csv!$L7:$HD7))</f>
        <v>0</v>
      </c>
      <c r="IT7" s="5">
        <f>IF(ISERROR(LOOKUP(IT$1,$S7:$HK7,csv!$L7:$HD7)),NA(),LOOKUP(IT$1,$S7:$HK7,csv!$L7:$HD7))</f>
        <v>0</v>
      </c>
      <c r="IU7" s="5">
        <f>IF(ISERROR(LOOKUP(IU$1,$S7:$HK7,csv!$L7:$HD7)),NA(),LOOKUP(IU$1,$S7:$HK7,csv!$L7:$HD7))</f>
        <v>0</v>
      </c>
      <c r="IV7" s="5">
        <f>IF(ISERROR(LOOKUP(IV$1,$S7:$HK7,csv!$L7:$HD7)),NA(),LOOKUP(IV$1,$S7:$HK7,csv!$L7:$HD7))</f>
        <v>0</v>
      </c>
      <c r="IW7" s="5">
        <f>IF(ISERROR(LOOKUP(IW$1,$S7:$HK7,csv!$L7:$HD7)),NA(),LOOKUP(IW$1,$S7:$HK7,csv!$L7:$HD7))</f>
        <v>0</v>
      </c>
      <c r="IX7" s="5">
        <f>IF(ISERROR(LOOKUP(IX$1,$S7:$HK7,csv!$L7:$HD7)),NA(),LOOKUP(IX$1,$S7:$HK7,csv!$L7:$HD7))</f>
        <v>0</v>
      </c>
      <c r="IY7" s="5">
        <f>IF(ISERROR(LOOKUP(IY$1,$S7:$HK7,csv!$L7:$HD7)),NA(),LOOKUP(IY$1,$S7:$HK7,csv!$L7:$HD7))</f>
        <v>0</v>
      </c>
      <c r="IZ7" s="5">
        <f>IF(ISERROR(LOOKUP(IZ$1,$S7:$HK7,csv!$L7:$HD7)),NA(),LOOKUP(IZ$1,$S7:$HK7,csv!$L7:$HD7))</f>
        <v>0</v>
      </c>
      <c r="JA7" s="5">
        <f>IF(ISERROR(LOOKUP(JA$1,$S7:$HK7,csv!$L7:$HD7)),NA(),LOOKUP(JA$1,$S7:$HK7,csv!$L7:$HD7))</f>
        <v>0</v>
      </c>
      <c r="JB7" s="5">
        <f>IF(ISERROR(LOOKUP(JB$1,$S7:$HK7,csv!$L7:$HD7)),NA(),LOOKUP(JB$1,$S7:$HK7,csv!$L7:$HD7))</f>
        <v>0</v>
      </c>
      <c r="JC7" s="5">
        <f>IF(ISERROR(LOOKUP(JC$1,$S7:$HK7,csv!$L7:$HD7)),NA(),LOOKUP(JC$1,$S7:$HK7,csv!$L7:$HD7))</f>
        <v>0</v>
      </c>
      <c r="JD7" s="5">
        <f>IF(ISERROR(LOOKUP(JD$1,$S7:$HK7,csv!$L7:$HD7)),NA(),LOOKUP(JD$1,$S7:$HK7,csv!$L7:$HD7))</f>
        <v>0</v>
      </c>
      <c r="JE7" s="5">
        <f>IF(ISERROR(LOOKUP(JE$1,$S7:$HK7,csv!$L7:$HD7)),NA(),LOOKUP(JE$1,$S7:$HK7,csv!$L7:$HD7))</f>
        <v>0</v>
      </c>
      <c r="JF7" s="5">
        <f>IF(ISERROR(LOOKUP(JF$1,$S7:$HK7,csv!$L7:$HD7)),NA(),LOOKUP(JF$1,$S7:$HK7,csv!$L7:$HD7))</f>
        <v>0</v>
      </c>
      <c r="JG7" s="5">
        <f>IF(ISERROR(LOOKUP(JG$1,$S7:$HK7,csv!$L7:$HD7)),NA(),LOOKUP(JG$1,$S7:$HK7,csv!$L7:$HD7))</f>
        <v>0</v>
      </c>
      <c r="JH7" s="5">
        <f>IF(ISERROR(LOOKUP(JH$1,$S7:$HK7,csv!$L7:$HD7)),NA(),LOOKUP(JH$1,$S7:$HK7,csv!$L7:$HD7))</f>
        <v>0</v>
      </c>
      <c r="JI7" s="5">
        <f>IF(ISERROR(LOOKUP(JI$1,$S7:$HK7,csv!$L7:$HD7)),NA(),LOOKUP(JI$1,$S7:$HK7,csv!$L7:$HD7))</f>
        <v>0</v>
      </c>
      <c r="JJ7" s="5">
        <f>IF(ISERROR(LOOKUP(JJ$1,$S7:$HK7,csv!$L7:$HD7)),NA(),LOOKUP(JJ$1,$S7:$HK7,csv!$L7:$HD7))</f>
        <v>0</v>
      </c>
      <c r="JK7" s="5">
        <f>IF(ISERROR(LOOKUP(JK$1,$S7:$HK7,csv!$L7:$HD7)),NA(),LOOKUP(JK$1,$S7:$HK7,csv!$L7:$HD7))</f>
        <v>0</v>
      </c>
      <c r="JL7" s="5">
        <f>IF(ISERROR(LOOKUP(JL$1,$S7:$HK7,csv!$L7:$HD7)),NA(),LOOKUP(JL$1,$S7:$HK7,csv!$L7:$HD7))</f>
        <v>0</v>
      </c>
      <c r="JM7" s="5">
        <f>IF(ISERROR(LOOKUP(JM$1,$S7:$HK7,csv!$L7:$HD7)),NA(),LOOKUP(JM$1,$S7:$HK7,csv!$L7:$HD7))</f>
        <v>0</v>
      </c>
      <c r="JN7" s="5">
        <f>IF(ISERROR(LOOKUP(JN$1,$S7:$HK7,csv!$L7:$HD7)),NA(),LOOKUP(JN$1,$S7:$HK7,csv!$L7:$HD7))</f>
        <v>0</v>
      </c>
      <c r="JO7" s="5">
        <f>IF(ISERROR(LOOKUP(JO$1,$S7:$HK7,csv!$L7:$HD7)),NA(),LOOKUP(JO$1,$S7:$HK7,csv!$L7:$HD7))</f>
        <v>0</v>
      </c>
      <c r="JP7" s="5">
        <f>IF(ISERROR(LOOKUP(JP$1,$S7:$HK7,csv!$L7:$HD7)),NA(),LOOKUP(JP$1,$S7:$HK7,csv!$L7:$HD7))</f>
        <v>0</v>
      </c>
      <c r="JQ7" s="5">
        <f>IF(ISERROR(LOOKUP(JQ$1,$S7:$HK7,csv!$L7:$HD7)),NA(),LOOKUP(JQ$1,$S7:$HK7,csv!$L7:$HD7))</f>
        <v>0</v>
      </c>
      <c r="JR7" s="5">
        <f>IF(ISERROR(LOOKUP(JR$1,$S7:$HK7,csv!$L7:$HD7)),NA(),LOOKUP(JR$1,$S7:$HK7,csv!$L7:$HD7))</f>
        <v>0</v>
      </c>
      <c r="JS7" s="5">
        <f>IF(ISERROR(LOOKUP(JS$1,$S7:$HK7,csv!$L7:$HD7)),NA(),LOOKUP(JS$1,$S7:$HK7,csv!$L7:$HD7))</f>
        <v>0</v>
      </c>
      <c r="JT7" s="5">
        <f>IF(ISERROR(LOOKUP(JT$1,$S7:$HK7,csv!$L7:$HD7)),NA(),LOOKUP(JT$1,$S7:$HK7,csv!$L7:$HD7))</f>
        <v>0</v>
      </c>
      <c r="JU7" s="5">
        <f>IF(ISERROR(LOOKUP(JU$1,$S7:$HK7,csv!$L7:$HD7)),NA(),LOOKUP(JU$1,$S7:$HK7,csv!$L7:$HD7))</f>
        <v>0</v>
      </c>
      <c r="JV7" s="5">
        <f>IF(ISERROR(LOOKUP(JV$1,$S7:$HK7,csv!$L7:$HD7)),NA(),LOOKUP(JV$1,$S7:$HK7,csv!$L7:$HD7))</f>
        <v>0</v>
      </c>
      <c r="JW7" s="5">
        <f>IF(ISERROR(LOOKUP(JW$1,$S7:$HK7,csv!$L7:$HD7)),NA(),LOOKUP(JW$1,$S7:$HK7,csv!$L7:$HD7))</f>
        <v>0</v>
      </c>
      <c r="JX7" s="5">
        <f>IF(ISERROR(LOOKUP(JX$1,$S7:$HK7,csv!$L7:$HD7)),NA(),LOOKUP(JX$1,$S7:$HK7,csv!$L7:$HD7))</f>
        <v>0</v>
      </c>
      <c r="JY7" s="5">
        <f>IF(ISERROR(LOOKUP(JY$1,$S7:$HK7,csv!$L7:$HD7)),NA(),LOOKUP(JY$1,$S7:$HK7,csv!$L7:$HD7))</f>
        <v>0</v>
      </c>
      <c r="JZ7" s="5">
        <f>IF(ISERROR(LOOKUP(JZ$1,$S7:$HK7,csv!$L7:$HD7)),NA(),LOOKUP(JZ$1,$S7:$HK7,csv!$L7:$HD7))</f>
        <v>0</v>
      </c>
      <c r="KA7" s="5">
        <f>IF(ISERROR(LOOKUP(KA$1,$S7:$HK7,csv!$L7:$HD7)),NA(),LOOKUP(KA$1,$S7:$HK7,csv!$L7:$HD7))</f>
        <v>0</v>
      </c>
      <c r="KB7" s="5">
        <f>IF(ISERROR(LOOKUP(KB$1,$S7:$HK7,csv!$L7:$HD7)),NA(),LOOKUP(KB$1,$S7:$HK7,csv!$L7:$HD7))</f>
        <v>0</v>
      </c>
      <c r="KC7" s="5">
        <f>IF(ISERROR(LOOKUP(KC$1,$S7:$HK7,csv!$L7:$HD7)),NA(),LOOKUP(KC$1,$S7:$HK7,csv!$L7:$HD7))</f>
        <v>0</v>
      </c>
      <c r="KD7" s="5">
        <f>IF(ISERROR(LOOKUP(KD$1,$S7:$HK7,csv!$L7:$HD7)),NA(),LOOKUP(KD$1,$S7:$HK7,csv!$L7:$HD7))</f>
        <v>0</v>
      </c>
      <c r="KE7" s="5">
        <f>IF(ISERROR(LOOKUP(KE$1,$S7:$HK7,csv!$L7:$HD7)),NA(),LOOKUP(KE$1,$S7:$HK7,csv!$L7:$HD7))</f>
        <v>0</v>
      </c>
      <c r="KF7" s="5">
        <f>IF(ISERROR(LOOKUP(KF$1,$S7:$HK7,csv!$L7:$HD7)),NA(),LOOKUP(KF$1,$S7:$HK7,csv!$L7:$HD7))</f>
        <v>0</v>
      </c>
      <c r="KG7" s="5">
        <f>IF(ISERROR(LOOKUP(KG$1,$S7:$HK7,csv!$L7:$HD7)),NA(),LOOKUP(KG$1,$S7:$HK7,csv!$L7:$HD7))</f>
        <v>0</v>
      </c>
      <c r="KH7" s="5">
        <f>IF(ISERROR(LOOKUP(KH$1,$S7:$HK7,csv!$L7:$HD7)),NA(),LOOKUP(KH$1,$S7:$HK7,csv!$L7:$HD7))</f>
        <v>0</v>
      </c>
      <c r="KI7" s="5">
        <f>IF(ISERROR(LOOKUP(KI$1,$S7:$HK7,csv!$L7:$HD7)),NA(),LOOKUP(KI$1,$S7:$HK7,csv!$L7:$HD7))</f>
        <v>0</v>
      </c>
      <c r="KJ7" s="5">
        <f>IF(ISERROR(LOOKUP(KJ$1,$S7:$HK7,csv!$L7:$HD7)),NA(),LOOKUP(KJ$1,$S7:$HK7,csv!$L7:$HD7))</f>
        <v>0</v>
      </c>
      <c r="KK7" s="5">
        <f>IF(ISERROR(LOOKUP(KK$1,$S7:$HK7,csv!$L7:$HD7)),NA(),LOOKUP(KK$1,$S7:$HK7,csv!$L7:$HD7))</f>
        <v>0</v>
      </c>
      <c r="KL7" s="5">
        <f>IF(ISERROR(LOOKUP(KL$1,$S7:$HK7,csv!$L7:$HD7)),NA(),LOOKUP(KL$1,$S7:$HK7,csv!$L7:$HD7))</f>
        <v>0</v>
      </c>
      <c r="KM7" s="5">
        <f>IF(ISERROR(LOOKUP(KM$1,$S7:$HK7,csv!$L7:$HD7)),NA(),LOOKUP(KM$1,$S7:$HK7,csv!$L7:$HD7))</f>
        <v>0</v>
      </c>
      <c r="KN7" s="5">
        <f>IF(ISERROR(LOOKUP(KN$1,$S7:$HK7,csv!$L7:$HD7)),NA(),LOOKUP(KN$1,$S7:$HK7,csv!$L7:$HD7))</f>
        <v>0</v>
      </c>
      <c r="KO7" s="5">
        <f>IF(ISERROR(LOOKUP(KO$1,$S7:$HK7,csv!$L7:$HD7)),NA(),LOOKUP(KO$1,$S7:$HK7,csv!$L7:$HD7))</f>
        <v>0</v>
      </c>
      <c r="KP7" s="5">
        <f>IF(ISERROR(LOOKUP(KP$1,$S7:$HK7,csv!$L7:$HD7)),NA(),LOOKUP(KP$1,$S7:$HK7,csv!$L7:$HD7))</f>
        <v>0</v>
      </c>
      <c r="KQ7" s="5">
        <f>IF(ISERROR(LOOKUP(KQ$1,$S7:$HK7,csv!$L7:$HD7)),NA(),LOOKUP(KQ$1,$S7:$HK7,csv!$L7:$HD7))</f>
        <v>0</v>
      </c>
      <c r="KR7" s="5">
        <f>IF(ISERROR(LOOKUP(KR$1,$S7:$HK7,csv!$L7:$HD7)),NA(),LOOKUP(KR$1,$S7:$HK7,csv!$L7:$HD7))</f>
        <v>0</v>
      </c>
      <c r="KS7" s="5">
        <f>IF(ISERROR(LOOKUP(KS$1,$S7:$HK7,csv!$L7:$HD7)),NA(),LOOKUP(KS$1,$S7:$HK7,csv!$L7:$HD7))</f>
        <v>0</v>
      </c>
      <c r="KT7" s="5">
        <f>IF(ISERROR(LOOKUP(KT$1,$S7:$HK7,csv!$L7:$HD7)),NA(),LOOKUP(KT$1,$S7:$HK7,csv!$L7:$HD7))</f>
        <v>0</v>
      </c>
      <c r="KU7" s="5">
        <f>IF(ISERROR(LOOKUP(KU$1,$S7:$HK7,csv!$L7:$HD7)),NA(),LOOKUP(KU$1,$S7:$HK7,csv!$L7:$HD7))</f>
        <v>0</v>
      </c>
      <c r="KV7" s="5">
        <f>IF(ISERROR(LOOKUP(KV$1,$S7:$HK7,csv!$L7:$HD7)),NA(),LOOKUP(KV$1,$S7:$HK7,csv!$L7:$HD7))</f>
        <v>0</v>
      </c>
      <c r="KW7" s="5">
        <f>IF(ISERROR(LOOKUP(KW$1,$S7:$HK7,csv!$L7:$HD7)),NA(),LOOKUP(KW$1,$S7:$HK7,csv!$L7:$HD7))</f>
        <v>0</v>
      </c>
      <c r="KX7" s="5">
        <f>IF(ISERROR(LOOKUP(KX$1,$S7:$HK7,csv!$L7:$HD7)),NA(),LOOKUP(KX$1,$S7:$HK7,csv!$L7:$HD7))</f>
        <v>0</v>
      </c>
      <c r="KY7" s="5">
        <f>IF(ISERROR(LOOKUP(KY$1,$S7:$HK7,csv!$L7:$HD7)),NA(),LOOKUP(KY$1,$S7:$HK7,csv!$L7:$HD7))</f>
        <v>0</v>
      </c>
      <c r="KZ7" s="5">
        <f>IF(ISERROR(LOOKUP(KZ$1,$S7:$HK7,csv!$L7:$HD7)),NA(),LOOKUP(KZ$1,$S7:$HK7,csv!$L7:$HD7))</f>
        <v>0</v>
      </c>
      <c r="LA7" s="5">
        <f>IF(ISERROR(LOOKUP(LA$1,$S7:$HK7,csv!$L7:$HD7)),NA(),LOOKUP(LA$1,$S7:$HK7,csv!$L7:$HD7))</f>
        <v>0</v>
      </c>
      <c r="LB7" s="5">
        <f>IF(ISERROR(LOOKUP(LB$1,$S7:$HK7,csv!$L7:$HD7)),NA(),LOOKUP(LB$1,$S7:$HK7,csv!$L7:$HD7))</f>
        <v>0</v>
      </c>
      <c r="LC7" s="5">
        <f>IF(ISERROR(LOOKUP(LC$1,$S7:$HK7,csv!$L7:$HD7)),NA(),LOOKUP(LC$1,$S7:$HK7,csv!$L7:$HD7))</f>
        <v>0</v>
      </c>
      <c r="LD7" s="5">
        <f>IF(ISERROR(LOOKUP(LD$1,$S7:$HK7,csv!$L7:$HD7)),NA(),LOOKUP(LD$1,$S7:$HK7,csv!$L7:$HD7))</f>
        <v>0</v>
      </c>
      <c r="LE7" s="5">
        <f>IF(ISERROR(LOOKUP(LE$1,$S7:$HK7,csv!$L7:$HD7)),NA(),LOOKUP(LE$1,$S7:$HK7,csv!$L7:$HD7))</f>
        <v>0</v>
      </c>
      <c r="LF7" s="5">
        <f>IF(ISERROR(LOOKUP(LF$1,$S7:$HK7,csv!$L7:$HD7)),NA(),LOOKUP(LF$1,$S7:$HK7,csv!$L7:$HD7))</f>
        <v>0</v>
      </c>
      <c r="LG7" s="5">
        <f>IF(ISERROR(LOOKUP(LG$1,$S7:$HK7,csv!$L7:$HD7)),NA(),LOOKUP(LG$1,$S7:$HK7,csv!$L7:$HD7))</f>
        <v>0</v>
      </c>
      <c r="LH7" s="5">
        <f>IF(ISERROR(LOOKUP(LH$1,$S7:$HK7,csv!$L7:$HD7)),NA(),LOOKUP(LH$1,$S7:$HK7,csv!$L7:$HD7))</f>
        <v>0</v>
      </c>
      <c r="LI7" s="5">
        <f>IF(ISERROR(LOOKUP(LI$1,$S7:$HK7,csv!$L7:$HD7)),NA(),LOOKUP(LI$1,$S7:$HK7,csv!$L7:$HD7))</f>
        <v>0</v>
      </c>
      <c r="LJ7" s="5">
        <f>IF(ISERROR(LOOKUP(LJ$1,$S7:$HK7,csv!$L7:$HD7)),NA(),LOOKUP(LJ$1,$S7:$HK7,csv!$L7:$HD7))</f>
        <v>0</v>
      </c>
      <c r="LK7" s="5">
        <f>IF(ISERROR(LOOKUP(LK$1,$S7:$HK7,csv!$L7:$HD7)),NA(),LOOKUP(LK$1,$S7:$HK7,csv!$L7:$HD7))</f>
        <v>0</v>
      </c>
      <c r="LL7" s="5">
        <f>IF(ISERROR(LOOKUP(LL$1,$S7:$HK7,csv!$L7:$HD7)),NA(),LOOKUP(LL$1,$S7:$HK7,csv!$L7:$HD7))</f>
        <v>0</v>
      </c>
      <c r="LM7" s="5">
        <f>IF(ISERROR(LOOKUP(LM$1,$S7:$HK7,csv!$L7:$HD7)),NA(),LOOKUP(LM$1,$S7:$HK7,csv!$L7:$HD7))</f>
        <v>0</v>
      </c>
      <c r="LN7" s="5">
        <f>IF(ISERROR(LOOKUP(LN$1,$S7:$HK7,csv!$L7:$HD7)),NA(),LOOKUP(LN$1,$S7:$HK7,csv!$L7:$HD7))</f>
        <v>0</v>
      </c>
      <c r="LO7" s="5">
        <f>IF(ISERROR(LOOKUP(LO$1,$S7:$HK7,csv!$L7:$HD7)),NA(),LOOKUP(LO$1,$S7:$HK7,csv!$L7:$HD7))</f>
        <v>0</v>
      </c>
      <c r="LP7" s="5">
        <f>IF(ISERROR(LOOKUP(LP$1,$S7:$HK7,csv!$L7:$HD7)),NA(),LOOKUP(LP$1,$S7:$HK7,csv!$L7:$HD7))</f>
        <v>0</v>
      </c>
      <c r="LQ7" s="5">
        <f>IF(ISERROR(LOOKUP(LQ$1,$S7:$HK7,csv!$L7:$HD7)),NA(),LOOKUP(LQ$1,$S7:$HK7,csv!$L7:$HD7))</f>
        <v>0</v>
      </c>
      <c r="LR7" s="5">
        <f>IF(ISERROR(LOOKUP(LR$1,$S7:$HK7,csv!$L7:$HD7)),NA(),LOOKUP(LR$1,$S7:$HK7,csv!$L7:$HD7))</f>
        <v>0</v>
      </c>
      <c r="LS7" s="5">
        <f>IF(ISERROR(LOOKUP(LS$1,$S7:$HK7,csv!$L7:$HD7)),NA(),LOOKUP(LS$1,$S7:$HK7,csv!$L7:$HD7))</f>
        <v>0</v>
      </c>
      <c r="LT7" s="5">
        <f>IF(ISERROR(LOOKUP(LT$1,$S7:$HK7,csv!$L7:$HD7)),NA(),LOOKUP(LT$1,$S7:$HK7,csv!$L7:$HD7))</f>
        <v>0</v>
      </c>
      <c r="LU7" s="5">
        <f>IF(ISERROR(LOOKUP(LU$1,$S7:$HK7,csv!$L7:$HD7)),NA(),LOOKUP(LU$1,$S7:$HK7,csv!$L7:$HD7))</f>
        <v>0</v>
      </c>
      <c r="LV7" s="5">
        <f>IF(ISERROR(LOOKUP(LV$1,$S7:$HK7,csv!$L7:$HD7)),NA(),LOOKUP(LV$1,$S7:$HK7,csv!$L7:$HD7))</f>
        <v>0</v>
      </c>
      <c r="LW7" s="5">
        <f>IF(ISERROR(LOOKUP(LW$1,$S7:$HK7,csv!$L7:$HD7)),NA(),LOOKUP(LW$1,$S7:$HK7,csv!$L7:$HD7))</f>
        <v>0</v>
      </c>
      <c r="LX7" s="5">
        <f>IF(ISERROR(LOOKUP(LX$1,$S7:$HK7,csv!$L7:$HD7)),NA(),LOOKUP(LX$1,$S7:$HK7,csv!$L7:$HD7))</f>
        <v>0</v>
      </c>
      <c r="LY7" s="5">
        <f>IF(ISERROR(LOOKUP(LY$1,$S7:$HK7,csv!$L7:$HD7)),NA(),LOOKUP(LY$1,$S7:$HK7,csv!$L7:$HD7))</f>
        <v>0</v>
      </c>
      <c r="LZ7" s="5">
        <f>IF(ISERROR(LOOKUP(LZ$1,$S7:$HK7,csv!$L7:$HD7)),NA(),LOOKUP(LZ$1,$S7:$HK7,csv!$L7:$HD7))</f>
        <v>0</v>
      </c>
      <c r="MA7" s="5">
        <f>IF(ISERROR(LOOKUP(MA$1,$S7:$HK7,csv!$L7:$HD7)),NA(),LOOKUP(MA$1,$S7:$HK7,csv!$L7:$HD7))</f>
        <v>0</v>
      </c>
      <c r="MB7" s="5">
        <f>IF(ISERROR(LOOKUP(MB$1,$S7:$HK7,csv!$L7:$HD7)),NA(),LOOKUP(MB$1,$S7:$HK7,csv!$L7:$HD7))</f>
        <v>0</v>
      </c>
      <c r="MC7" s="5">
        <f>IF(ISERROR(LOOKUP(MC$1,$S7:$HK7,csv!$L7:$HD7)),NA(),LOOKUP(MC$1,$S7:$HK7,csv!$L7:$HD7))</f>
        <v>0</v>
      </c>
      <c r="MD7" s="5">
        <f>IF(ISERROR(LOOKUP(MD$1,$S7:$HK7,csv!$L7:$HD7)),NA(),LOOKUP(MD$1,$S7:$HK7,csv!$L7:$HD7))</f>
        <v>0</v>
      </c>
      <c r="ME7" s="5">
        <f>IF(ISERROR(LOOKUP(ME$1,$S7:$HK7,csv!$L7:$HD7)),NA(),LOOKUP(ME$1,$S7:$HK7,csv!$L7:$HD7))</f>
        <v>0</v>
      </c>
      <c r="MF7" s="5">
        <f>IF(ISERROR(LOOKUP(MF$1,$S7:$HK7,csv!$L7:$HD7)),NA(),LOOKUP(MF$1,$S7:$HK7,csv!$L7:$HD7))</f>
        <v>0</v>
      </c>
      <c r="MG7" s="5">
        <f>IF(ISERROR(LOOKUP(MG$1,$S7:$HK7,csv!$L7:$HD7)),NA(),LOOKUP(MG$1,$S7:$HK7,csv!$L7:$HD7))</f>
        <v>0</v>
      </c>
      <c r="MH7" s="5">
        <f>IF(ISERROR(LOOKUP(MH$1,$S7:$HK7,csv!$L7:$HD7)),NA(),LOOKUP(MH$1,$S7:$HK7,csv!$L7:$HD7))</f>
        <v>0</v>
      </c>
      <c r="MI7" s="5">
        <f>IF(ISERROR(LOOKUP(MI$1,$S7:$HK7,csv!$L7:$HD7)),NA(),LOOKUP(MI$1,$S7:$HK7,csv!$L7:$HD7))</f>
        <v>0</v>
      </c>
      <c r="MJ7" s="5">
        <f>IF(ISERROR(LOOKUP(MJ$1,$S7:$HK7,csv!$L7:$HD7)),NA(),LOOKUP(MJ$1,$S7:$HK7,csv!$L7:$HD7))</f>
        <v>0</v>
      </c>
      <c r="MK7" s="5">
        <f>IF(ISERROR(LOOKUP(MK$1,$S7:$HK7,csv!$L7:$HD7)),NA(),LOOKUP(MK$1,$S7:$HK7,csv!$L7:$HD7))</f>
        <v>0</v>
      </c>
      <c r="ML7" s="5">
        <f>IF(ISERROR(LOOKUP(ML$1,$S7:$HK7,csv!$L7:$HD7)),NA(),LOOKUP(ML$1,$S7:$HK7,csv!$L7:$HD7))</f>
        <v>0</v>
      </c>
      <c r="MM7" s="5">
        <f>IF(ISERROR(LOOKUP(MM$1,$S7:$HK7,csv!$L7:$HD7)),NA(),LOOKUP(MM$1,$S7:$HK7,csv!$L7:$HD7))</f>
        <v>0</v>
      </c>
      <c r="MN7" s="5">
        <f>IF(ISERROR(LOOKUP(MN$1,$S7:$HK7,csv!$L7:$HD7)),NA(),LOOKUP(MN$1,$S7:$HK7,csv!$L7:$HD7))</f>
        <v>0</v>
      </c>
      <c r="MO7" s="5">
        <f>IF(ISERROR(LOOKUP(MO$1,$S7:$HK7,csv!$L7:$HD7)),NA(),LOOKUP(MO$1,$S7:$HK7,csv!$L7:$HD7))</f>
        <v>0</v>
      </c>
      <c r="MP7" s="5">
        <f>IF(ISERROR(LOOKUP(MP$1,$S7:$HK7,csv!$L7:$HD7)),NA(),LOOKUP(MP$1,$S7:$HK7,csv!$L7:$HD7))</f>
        <v>0</v>
      </c>
      <c r="MQ7" s="5">
        <f>IF(ISERROR(LOOKUP(MQ$1,$S7:$HK7,csv!$L7:$HD7)),NA(),LOOKUP(MQ$1,$S7:$HK7,csv!$L7:$HD7))</f>
        <v>0</v>
      </c>
      <c r="MR7" s="5">
        <f>IF(ISERROR(LOOKUP(MR$1,$S7:$HK7,csv!$L7:$HD7)),NA(),LOOKUP(MR$1,$S7:$HK7,csv!$L7:$HD7))</f>
        <v>0</v>
      </c>
      <c r="MS7" s="5">
        <f>IF(ISERROR(LOOKUP(MS$1,$S7:$HK7,csv!$L7:$HD7)),NA(),LOOKUP(MS$1,$S7:$HK7,csv!$L7:$HD7))</f>
        <v>0</v>
      </c>
      <c r="MT7" s="5">
        <f>IF(ISERROR(LOOKUP(MT$1,$S7:$HK7,csv!$L7:$HD7)),NA(),LOOKUP(MT$1,$S7:$HK7,csv!$L7:$HD7))</f>
        <v>0</v>
      </c>
      <c r="MU7" s="5">
        <f>IF(ISERROR(LOOKUP(MU$1,$S7:$HK7,csv!$L7:$HD7)),NA(),LOOKUP(MU$1,$S7:$HK7,csv!$L7:$HD7))</f>
        <v>0</v>
      </c>
      <c r="MV7" s="5">
        <f>IF(ISERROR(LOOKUP(MV$1,$S7:$HK7,csv!$L7:$HD7)),NA(),LOOKUP(MV$1,$S7:$HK7,csv!$L7:$HD7))</f>
        <v>0</v>
      </c>
      <c r="MW7" s="5">
        <f>IF(ISERROR(LOOKUP(MW$1,$S7:$HK7,csv!$L7:$HD7)),NA(),LOOKUP(MW$1,$S7:$HK7,csv!$L7:$HD7))</f>
        <v>0</v>
      </c>
      <c r="MX7" s="5">
        <f>IF(ISERROR(LOOKUP(MX$1,$S7:$HK7,csv!$L7:$HD7)),NA(),LOOKUP(MX$1,$S7:$HK7,csv!$L7:$HD7))</f>
        <v>0</v>
      </c>
      <c r="MY7" s="5">
        <f>IF(ISERROR(LOOKUP(MY$1,$S7:$HK7,csv!$L7:$HD7)),NA(),LOOKUP(MY$1,$S7:$HK7,csv!$L7:$HD7))</f>
        <v>0</v>
      </c>
      <c r="MZ7" s="5">
        <f>IF(ISERROR(LOOKUP(MZ$1,$S7:$HK7,csv!$L7:$HD7)),NA(),LOOKUP(MZ$1,$S7:$HK7,csv!$L7:$HD7))</f>
        <v>0</v>
      </c>
      <c r="NA7" s="5">
        <f>IF(ISERROR(LOOKUP(NA$1,$S7:$HK7,csv!$L7:$HD7)),NA(),LOOKUP(NA$1,$S7:$HK7,csv!$L7:$HD7))</f>
        <v>0</v>
      </c>
      <c r="NB7" s="5">
        <f>IF(ISERROR(LOOKUP(NB$1,$S7:$HK7,csv!$L7:$HD7)),NA(),LOOKUP(NB$1,$S7:$HK7,csv!$L7:$HD7))</f>
        <v>0</v>
      </c>
      <c r="NC7" s="5">
        <f>IF(ISERROR(LOOKUP(NC$1,$S7:$HK7,csv!$L7:$HD7)),NA(),LOOKUP(NC$1,$S7:$HK7,csv!$L7:$HD7))</f>
        <v>0</v>
      </c>
      <c r="ND7" s="5">
        <f>IF(ISERROR(LOOKUP(ND$1,$S7:$HK7,csv!$L7:$HD7)),NA(),LOOKUP(ND$1,$S7:$HK7,csv!$L7:$HD7))</f>
        <v>0</v>
      </c>
      <c r="NE7" s="5">
        <f>IF(ISERROR(LOOKUP(NE$1,$S7:$HK7,csv!$L7:$HD7)),NA(),LOOKUP(NE$1,$S7:$HK7,csv!$L7:$HD7))</f>
        <v>0</v>
      </c>
      <c r="NF7" s="5">
        <f>IF(ISERROR(LOOKUP(NF$1,$S7:$HK7,csv!$L7:$HD7)),NA(),LOOKUP(NF$1,$S7:$HK7,csv!$L7:$HD7))</f>
        <v>0</v>
      </c>
      <c r="NG7" s="5">
        <f>IF(ISERROR(LOOKUP(NG$1,$S7:$HK7,csv!$L7:$HD7)),NA(),LOOKUP(NG$1,$S7:$HK7,csv!$L7:$HD7))</f>
        <v>0</v>
      </c>
      <c r="NH7" s="5">
        <f>IF(ISERROR(LOOKUP(NH$1,$S7:$HK7,csv!$L7:$HD7)),NA(),LOOKUP(NH$1,$S7:$HK7,csv!$L7:$HD7))</f>
        <v>0</v>
      </c>
      <c r="NI7" s="5">
        <f>IF(ISERROR(LOOKUP(NI$1,$S7:$HK7,csv!$L7:$HD7)),NA(),LOOKUP(NI$1,$S7:$HK7,csv!$L7:$HD7))</f>
        <v>0</v>
      </c>
      <c r="NJ7" s="5">
        <f>IF(ISERROR(LOOKUP(NJ$1,$S7:$HK7,csv!$L7:$HD7)),NA(),LOOKUP(NJ$1,$S7:$HK7,csv!$L7:$HD7))</f>
        <v>0</v>
      </c>
      <c r="NK7" s="5">
        <f>IF(ISERROR(LOOKUP(NK$1,$S7:$HK7,csv!$L7:$HD7)),NA(),LOOKUP(NK$1,$S7:$HK7,csv!$L7:$HD7))</f>
        <v>0</v>
      </c>
      <c r="NL7" s="5">
        <f>IF(ISERROR(LOOKUP(NL$1,$S7:$HK7,csv!$L7:$HD7)),NA(),LOOKUP(NL$1,$S7:$HK7,csv!$L7:$HD7))</f>
        <v>0</v>
      </c>
      <c r="NM7" s="5">
        <f>IF(ISERROR(LOOKUP(NM$1,$S7:$HK7,csv!$L7:$HD7)),NA(),LOOKUP(NM$1,$S7:$HK7,csv!$L7:$HD7))</f>
        <v>0</v>
      </c>
      <c r="NN7" s="5">
        <f>IF(ISERROR(LOOKUP(NN$1,$S7:$HK7,csv!$L7:$HD7)),NA(),LOOKUP(NN$1,$S7:$HK7,csv!$L7:$HD7))</f>
        <v>0</v>
      </c>
      <c r="NO7" s="5">
        <f>IF(ISERROR(LOOKUP(NO$1,$S7:$HK7,csv!$L7:$HD7)),NA(),LOOKUP(NO$1,$S7:$HK7,csv!$L7:$HD7))</f>
        <v>0</v>
      </c>
      <c r="NP7" s="5">
        <f>IF(ISERROR(LOOKUP(NP$1,$S7:$HK7,csv!$L7:$HD7)),NA(),LOOKUP(NP$1,$S7:$HK7,csv!$L7:$HD7))</f>
        <v>0</v>
      </c>
      <c r="NQ7" s="5">
        <f>IF(ISERROR(LOOKUP(NQ$1,$S7:$HK7,csv!$L7:$HD7)),NA(),LOOKUP(NQ$1,$S7:$HK7,csv!$L7:$HD7))</f>
        <v>0</v>
      </c>
      <c r="NR7" s="5">
        <f>IF(ISERROR(LOOKUP(NR$1,$S7:$HK7,csv!$L7:$HD7)),NA(),LOOKUP(NR$1,$S7:$HK7,csv!$L7:$HD7))</f>
        <v>0</v>
      </c>
      <c r="NS7" s="5">
        <f>IF(ISERROR(LOOKUP(NS$1,$S7:$HK7,csv!$L7:$HD7)),NA(),LOOKUP(NS$1,$S7:$HK7,csv!$L7:$HD7))</f>
        <v>0</v>
      </c>
      <c r="NT7" s="5">
        <f>IF(ISERROR(LOOKUP(NT$1,$S7:$HK7,csv!$L7:$HD7)),NA(),LOOKUP(NT$1,$S7:$HK7,csv!$L7:$HD7))</f>
        <v>0</v>
      </c>
      <c r="NU7" s="5">
        <f>IF(ISERROR(LOOKUP(NU$1,$S7:$HK7,csv!$L7:$HD7)),NA(),LOOKUP(NU$1,$S7:$HK7,csv!$L7:$HD7))</f>
        <v>0</v>
      </c>
      <c r="NV7" s="5">
        <f>IF(ISERROR(LOOKUP(NV$1,$S7:$HK7,csv!$L7:$HD7)),NA(),LOOKUP(NV$1,$S7:$HK7,csv!$L7:$HD7))</f>
        <v>0</v>
      </c>
      <c r="NW7" s="5">
        <f>IF(ISERROR(LOOKUP(NW$1,$S7:$HK7,csv!$L7:$HD7)),NA(),LOOKUP(NW$1,$S7:$HK7,csv!$L7:$HD7))</f>
        <v>0</v>
      </c>
      <c r="NX7" s="5">
        <f>IF(ISERROR(LOOKUP(NX$1,$S7:$HK7,csv!$L7:$HD7)),NA(),LOOKUP(NX$1,$S7:$HK7,csv!$L7:$HD7))</f>
        <v>0</v>
      </c>
      <c r="NY7" s="5">
        <f>IF(ISERROR(LOOKUP(NY$1,$S7:$HK7,csv!$L7:$HD7)),NA(),LOOKUP(NY$1,$S7:$HK7,csv!$L7:$HD7))</f>
        <v>0</v>
      </c>
      <c r="NZ7" s="5">
        <f>IF(ISERROR(LOOKUP(NZ$1,$S7:$HK7,csv!$L7:$HD7)),NA(),LOOKUP(NZ$1,$S7:$HK7,csv!$L7:$HD7))</f>
        <v>0</v>
      </c>
      <c r="OA7" s="5">
        <f>IF(ISERROR(LOOKUP(OA$1,$S7:$HK7,csv!$L7:$HD7)),NA(),LOOKUP(OA$1,$S7:$HK7,csv!$L7:$HD7))</f>
        <v>0</v>
      </c>
      <c r="OB7" s="5">
        <f>IF(ISERROR(LOOKUP(OB$1,$S7:$HK7,csv!$L7:$HD7)),NA(),LOOKUP(OB$1,$S7:$HK7,csv!$L7:$HD7))</f>
        <v>0</v>
      </c>
      <c r="OC7" s="5">
        <f>IF(ISERROR(LOOKUP(OC$1,$S7:$HK7,csv!$L7:$HD7)),NA(),LOOKUP(OC$1,$S7:$HK7,csv!$L7:$HD7))</f>
        <v>0</v>
      </c>
      <c r="OD7" s="5">
        <f>IF(ISERROR(LOOKUP(OD$1,$S7:$HK7,csv!$L7:$HD7)),NA(),LOOKUP(OD$1,$S7:$HK7,csv!$L7:$HD7))</f>
        <v>0</v>
      </c>
      <c r="OE7" s="5">
        <f>IF(ISERROR(LOOKUP(OE$1,$S7:$HK7,csv!$L7:$HD7)),NA(),LOOKUP(OE$1,$S7:$HK7,csv!$L7:$HD7))</f>
        <v>0</v>
      </c>
      <c r="OF7" s="5">
        <f>IF(ISERROR(LOOKUP(OF$1,$S7:$HK7,csv!$L7:$HD7)),NA(),LOOKUP(OF$1,$S7:$HK7,csv!$L7:$HD7))</f>
        <v>0</v>
      </c>
      <c r="OG7" s="5">
        <f>IF(ISERROR(LOOKUP(OG$1,$S7:$HK7,csv!$L7:$HD7)),NA(),LOOKUP(OG$1,$S7:$HK7,csv!$L7:$HD7))</f>
        <v>0</v>
      </c>
      <c r="OH7" s="5">
        <f>IF(ISERROR(LOOKUP(OH$1,$S7:$HK7,csv!$L7:$HD7)),NA(),LOOKUP(OH$1,$S7:$HK7,csv!$L7:$HD7))</f>
        <v>0</v>
      </c>
      <c r="OI7" s="5">
        <f>IF(ISERROR(LOOKUP(OI$1,$S7:$HK7,csv!$L7:$HD7)),NA(),LOOKUP(OI$1,$S7:$HK7,csv!$L7:$HD7))</f>
        <v>0</v>
      </c>
      <c r="OJ7" s="5">
        <f>IF(ISERROR(LOOKUP(OJ$1,$S7:$HK7,csv!$L7:$HD7)),NA(),LOOKUP(OJ$1,$S7:$HK7,csv!$L7:$HD7))</f>
        <v>0</v>
      </c>
      <c r="OK7" s="5">
        <f>IF(ISERROR(LOOKUP(OK$1,$S7:$HK7,csv!$L7:$HD7)),NA(),LOOKUP(OK$1,$S7:$HK7,csv!$L7:$HD7))</f>
        <v>0</v>
      </c>
      <c r="OL7" s="5">
        <f>IF(ISERROR(LOOKUP(OL$1,$S7:$HK7,csv!$L7:$HD7)),NA(),LOOKUP(OL$1,$S7:$HK7,csv!$L7:$HD7))</f>
        <v>0</v>
      </c>
      <c r="OM7" s="5">
        <f>IF(ISERROR(LOOKUP(OM$1,$S7:$HK7,csv!$L7:$HD7)),NA(),LOOKUP(OM$1,$S7:$HK7,csv!$L7:$HD7))</f>
        <v>0</v>
      </c>
      <c r="ON7" s="5">
        <f>IF(ISERROR(LOOKUP(ON$1,$S7:$HK7,csv!$L7:$HD7)),NA(),LOOKUP(ON$1,$S7:$HK7,csv!$L7:$HD7))</f>
        <v>0</v>
      </c>
      <c r="OO7" s="5">
        <f>IF(ISERROR(LOOKUP(OO$1,$S7:$HK7,csv!$L7:$HD7)),NA(),LOOKUP(OO$1,$S7:$HK7,csv!$L7:$HD7))</f>
        <v>0</v>
      </c>
      <c r="OP7" s="5">
        <f>IF(ISERROR(LOOKUP(OP$1,$S7:$HK7,csv!$L7:$HD7)),NA(),LOOKUP(OP$1,$S7:$HK7,csv!$L7:$HD7))</f>
        <v>0</v>
      </c>
      <c r="OQ7" s="5">
        <f>IF(ISERROR(LOOKUP(OQ$1,$S7:$HK7,csv!$L7:$HD7)),NA(),LOOKUP(OQ$1,$S7:$HK7,csv!$L7:$HD7))</f>
        <v>0</v>
      </c>
      <c r="OR7" s="5">
        <f>IF(ISERROR(LOOKUP(OR$1,$S7:$HK7,csv!$L7:$HD7)),NA(),LOOKUP(OR$1,$S7:$HK7,csv!$L7:$HD7))</f>
        <v>0</v>
      </c>
      <c r="OS7" s="5">
        <f>IF(ISERROR(LOOKUP(OS$1,$S7:$HK7,csv!$L7:$HD7)),NA(),LOOKUP(OS$1,$S7:$HK7,csv!$L7:$HD7))</f>
        <v>0</v>
      </c>
      <c r="OT7" s="5">
        <f>IF(ISERROR(LOOKUP(OT$1,$S7:$HK7,csv!$L7:$HD7)),NA(),LOOKUP(OT$1,$S7:$HK7,csv!$L7:$HD7))</f>
        <v>0</v>
      </c>
      <c r="OU7" s="5">
        <f>IF(ISERROR(LOOKUP(OU$1,$S7:$HK7,csv!$L7:$HD7)),NA(),LOOKUP(OU$1,$S7:$HK7,csv!$L7:$HD7))</f>
        <v>0</v>
      </c>
      <c r="OV7" s="5">
        <f>IF(ISERROR(LOOKUP(OV$1,$S7:$HK7,csv!$L7:$HD7)),NA(),LOOKUP(OV$1,$S7:$HK7,csv!$L7:$HD7))</f>
        <v>0</v>
      </c>
      <c r="OW7" s="5">
        <f>IF(ISERROR(LOOKUP(OW$1,$S7:$HK7,csv!$L7:$HD7)),NA(),LOOKUP(OW$1,$S7:$HK7,csv!$L7:$HD7))</f>
        <v>0</v>
      </c>
      <c r="OX7" s="5">
        <f>IF(ISERROR(LOOKUP(OX$1,$S7:$HK7,csv!$L7:$HD7)),NA(),LOOKUP(OX$1,$S7:$HK7,csv!$L7:$HD7))</f>
        <v>0</v>
      </c>
      <c r="OY7" s="5">
        <f>IF(ISERROR(LOOKUP(OY$1,$S7:$HK7,csv!$L7:$HD7)),NA(),LOOKUP(OY$1,$S7:$HK7,csv!$L7:$HD7))</f>
        <v>0</v>
      </c>
      <c r="OZ7" s="5">
        <f>IF(ISERROR(LOOKUP(OZ$1,$S7:$HK7,csv!$L7:$HD7)),NA(),LOOKUP(OZ$1,$S7:$HK7,csv!$L7:$HD7))</f>
        <v>0</v>
      </c>
      <c r="PA7" s="5">
        <f>IF(ISERROR(LOOKUP(PA$1,$S7:$HK7,csv!$L7:$HD7)),NA(),LOOKUP(PA$1,$S7:$HK7,csv!$L7:$HD7))</f>
        <v>0</v>
      </c>
      <c r="PB7" s="5">
        <f>IF(ISERROR(LOOKUP(PB$1,$S7:$HK7,csv!$L7:$HD7)),NA(),LOOKUP(PB$1,$S7:$HK7,csv!$L7:$HD7))</f>
        <v>0</v>
      </c>
      <c r="PC7" s="5">
        <f>IF(ISERROR(LOOKUP(PC$1,$S7:$HK7,csv!$L7:$HD7)),NA(),LOOKUP(PC$1,$S7:$HK7,csv!$L7:$HD7))</f>
        <v>0</v>
      </c>
      <c r="PD7" s="5">
        <f>IF(ISERROR(LOOKUP(PD$1,$S7:$HK7,csv!$L7:$HD7)),NA(),LOOKUP(PD$1,$S7:$HK7,csv!$L7:$HD7))</f>
        <v>0</v>
      </c>
      <c r="PE7" s="5">
        <f>IF(ISERROR(LOOKUP(PE$1,$S7:$HK7,csv!$L7:$HD7)),NA(),LOOKUP(PE$1,$S7:$HK7,csv!$L7:$HD7))</f>
        <v>0</v>
      </c>
      <c r="PF7" s="5">
        <f>IF(ISERROR(LOOKUP(PF$1,$S7:$HK7,csv!$L7:$HD7)),NA(),LOOKUP(PF$1,$S7:$HK7,csv!$L7:$HD7))</f>
        <v>0</v>
      </c>
      <c r="PG7" s="5">
        <f>IF(ISERROR(LOOKUP(PG$1,$S7:$HK7,csv!$L7:$HD7)),NA(),LOOKUP(PG$1,$S7:$HK7,csv!$L7:$HD7))</f>
        <v>0</v>
      </c>
      <c r="PH7" s="5">
        <f>IF(ISERROR(LOOKUP(PH$1,$S7:$HK7,csv!$L7:$HD7)),NA(),LOOKUP(PH$1,$S7:$HK7,csv!$L7:$HD7))</f>
        <v>0</v>
      </c>
      <c r="PI7" s="5">
        <f>IF(ISERROR(LOOKUP(PI$1,$S7:$HK7,csv!$L7:$HD7)),NA(),LOOKUP(PI$1,$S7:$HK7,csv!$L7:$HD7))</f>
        <v>0</v>
      </c>
      <c r="PJ7" s="5">
        <f>IF(ISERROR(LOOKUP(PJ$1,$S7:$HK7,csv!$L7:$HD7)),NA(),LOOKUP(PJ$1,$S7:$HK7,csv!$L7:$HD7))</f>
        <v>0</v>
      </c>
      <c r="PK7" s="5">
        <f>IF(ISERROR(LOOKUP(PK$1,$S7:$HK7,csv!$L7:$HD7)),NA(),LOOKUP(PK$1,$S7:$HK7,csv!$L7:$HD7))</f>
        <v>0</v>
      </c>
      <c r="PL7" s="5">
        <f>IF(ISERROR(LOOKUP(PL$1,$S7:$HK7,csv!$L7:$HD7)),NA(),LOOKUP(PL$1,$S7:$HK7,csv!$L7:$HD7))</f>
        <v>0</v>
      </c>
      <c r="PM7" s="5">
        <f>IF(ISERROR(LOOKUP(PM$1,$S7:$HK7,csv!$L7:$HD7)),NA(),LOOKUP(PM$1,$S7:$HK7,csv!$L7:$HD7))</f>
        <v>0</v>
      </c>
      <c r="PN7" s="5">
        <f>IF(ISERROR(LOOKUP(PN$1,$S7:$HK7,csv!$L7:$HD7)),NA(),LOOKUP(PN$1,$S7:$HK7,csv!$L7:$HD7))</f>
        <v>0</v>
      </c>
      <c r="PO7" s="5">
        <f>IF(ISERROR(LOOKUP(PO$1,$S7:$HK7,csv!$L7:$HD7)),NA(),LOOKUP(PO$1,$S7:$HK7,csv!$L7:$HD7))</f>
        <v>0</v>
      </c>
      <c r="PP7" s="5">
        <f>IF(ISERROR(LOOKUP(PP$1,$S7:$HK7,csv!$L7:$HD7)),NA(),LOOKUP(PP$1,$S7:$HK7,csv!$L7:$HD7))</f>
        <v>0</v>
      </c>
      <c r="PQ7" s="5">
        <f>IF(ISERROR(LOOKUP(PQ$1,$S7:$HK7,csv!$L7:$HD7)),NA(),LOOKUP(PQ$1,$S7:$HK7,csv!$L7:$HD7))</f>
        <v>0</v>
      </c>
      <c r="PR7" s="5">
        <f>IF(ISERROR(LOOKUP(PR$1,$S7:$HK7,csv!$L7:$HD7)),NA(),LOOKUP(PR$1,$S7:$HK7,csv!$L7:$HD7))</f>
        <v>0</v>
      </c>
      <c r="PS7" s="5">
        <f>IF(ISERROR(LOOKUP(PS$1,$S7:$HK7,csv!$L7:$HD7)),NA(),LOOKUP(PS$1,$S7:$HK7,csv!$L7:$HD7))</f>
        <v>0</v>
      </c>
      <c r="PT7" s="5">
        <f>IF(ISERROR(LOOKUP(PT$1,$S7:$HK7,csv!$L7:$HD7)),NA(),LOOKUP(PT$1,$S7:$HK7,csv!$L7:$HD7))</f>
        <v>0</v>
      </c>
      <c r="PU7" s="5">
        <f>IF(ISERROR(LOOKUP(PU$1,$S7:$HK7,csv!$L7:$HD7)),NA(),LOOKUP(PU$1,$S7:$HK7,csv!$L7:$HD7))</f>
        <v>0</v>
      </c>
      <c r="PV7" s="5">
        <f>IF(ISERROR(LOOKUP(PV$1,$S7:$HK7,csv!$L7:$HD7)),NA(),LOOKUP(PV$1,$S7:$HK7,csv!$L7:$HD7))</f>
        <v>0</v>
      </c>
      <c r="PW7" s="5">
        <f>IF(ISERROR(LOOKUP(PW$1,$S7:$HK7,csv!$L7:$HD7)),NA(),LOOKUP(PW$1,$S7:$HK7,csv!$L7:$HD7))</f>
        <v>0</v>
      </c>
      <c r="PX7" s="5">
        <f>IF(ISERROR(LOOKUP(PX$1,$S7:$HK7,csv!$L7:$HD7)),NA(),LOOKUP(PX$1,$S7:$HK7,csv!$L7:$HD7))</f>
        <v>0</v>
      </c>
      <c r="PY7" s="5">
        <f>IF(ISERROR(LOOKUP(PY$1,$S7:$HK7,csv!$L7:$HD7)),NA(),LOOKUP(PY$1,$S7:$HK7,csv!$L7:$HD7))</f>
        <v>0</v>
      </c>
      <c r="PZ7" s="5">
        <f>IF(ISERROR(LOOKUP(PZ$1,$S7:$HK7,csv!$L7:$HD7)),NA(),LOOKUP(PZ$1,$S7:$HK7,csv!$L7:$HD7))</f>
        <v>0</v>
      </c>
      <c r="QA7" s="5">
        <f>IF(ISERROR(LOOKUP(QA$1,$S7:$HK7,csv!$L7:$HD7)),NA(),LOOKUP(QA$1,$S7:$HK7,csv!$L7:$HD7))</f>
        <v>0</v>
      </c>
      <c r="QB7" s="5">
        <f>IF(ISERROR(LOOKUP(QB$1,$S7:$HK7,csv!$L7:$HD7)),NA(),LOOKUP(QB$1,$S7:$HK7,csv!$L7:$HD7))</f>
        <v>0</v>
      </c>
      <c r="QC7" s="5">
        <f>IF(ISERROR(LOOKUP(QC$1,$S7:$HK7,csv!$L7:$HD7)),NA(),LOOKUP(QC$1,$S7:$HK7,csv!$L7:$HD7))</f>
        <v>0</v>
      </c>
      <c r="QD7" s="5">
        <f>IF(ISERROR(LOOKUP(QD$1,$S7:$HK7,csv!$L7:$HD7)),NA(),LOOKUP(QD$1,$S7:$HK7,csv!$L7:$HD7))</f>
        <v>0</v>
      </c>
      <c r="QE7" s="5">
        <f>IF(ISERROR(LOOKUP(QE$1,$S7:$HK7,csv!$L7:$HD7)),NA(),LOOKUP(QE$1,$S7:$HK7,csv!$L7:$HD7))</f>
        <v>0</v>
      </c>
      <c r="QF7" s="5">
        <f>IF(ISERROR(LOOKUP(QF$1,$S7:$HK7,csv!$L7:$HD7)),NA(),LOOKUP(QF$1,$S7:$HK7,csv!$L7:$HD7))</f>
        <v>0</v>
      </c>
      <c r="QG7" s="5">
        <f>IF(ISERROR(LOOKUP(QG$1,$S7:$HK7,csv!$L7:$HD7)),NA(),LOOKUP(QG$1,$S7:$HK7,csv!$L7:$HD7))</f>
        <v>0</v>
      </c>
      <c r="QH7" s="5">
        <f>IF(ISERROR(LOOKUP(QH$1,$S7:$HK7,csv!$L7:$HD7)),NA(),LOOKUP(QH$1,$S7:$HK7,csv!$L7:$HD7))</f>
        <v>0</v>
      </c>
      <c r="QI7" s="5">
        <f>IF(ISERROR(LOOKUP(QI$1,$S7:$HK7,csv!$L7:$HD7)),NA(),LOOKUP(QI$1,$S7:$HK7,csv!$L7:$HD7))</f>
        <v>0</v>
      </c>
      <c r="QJ7" s="5">
        <f>IF(ISERROR(LOOKUP(QJ$1,$S7:$HK7,csv!$L7:$HD7)),NA(),LOOKUP(QJ$1,$S7:$HK7,csv!$L7:$HD7))</f>
        <v>0</v>
      </c>
      <c r="QK7" s="5">
        <f>IF(ISERROR(LOOKUP(QK$1,$S7:$HK7,csv!$L7:$HD7)),NA(),LOOKUP(QK$1,$S7:$HK7,csv!$L7:$HD7))</f>
        <v>0</v>
      </c>
      <c r="QL7" s="5">
        <f>IF(ISERROR(LOOKUP(QL$1,$S7:$HK7,csv!$L7:$HD7)),NA(),LOOKUP(QL$1,$S7:$HK7,csv!$L7:$HD7))</f>
        <v>0</v>
      </c>
      <c r="QM7" s="5">
        <f>IF(ISERROR(LOOKUP(QM$1,$S7:$HK7,csv!$L7:$HD7)),NA(),LOOKUP(QM$1,$S7:$HK7,csv!$L7:$HD7))</f>
        <v>0</v>
      </c>
      <c r="QN7" s="5">
        <f>IF(ISERROR(LOOKUP(QN$1,$S7:$HK7,csv!$L7:$HD7)),NA(),LOOKUP(QN$1,$S7:$HK7,csv!$L7:$HD7))</f>
        <v>0</v>
      </c>
      <c r="QO7" s="5">
        <f>IF(ISERROR(LOOKUP(QO$1,$S7:$HK7,csv!$L7:$HD7)),NA(),LOOKUP(QO$1,$S7:$HK7,csv!$L7:$HD7))</f>
        <v>0</v>
      </c>
      <c r="QP7" s="5">
        <f>IF(ISERROR(LOOKUP(QP$1,$S7:$HK7,csv!$L7:$HD7)),NA(),LOOKUP(QP$1,$S7:$HK7,csv!$L7:$HD7))</f>
        <v>0</v>
      </c>
      <c r="QQ7" s="5">
        <f>IF(ISERROR(LOOKUP(QQ$1,$S7:$HK7,csv!$L7:$HD7)),NA(),LOOKUP(QQ$1,$S7:$HK7,csv!$L7:$HD7))</f>
        <v>0</v>
      </c>
      <c r="QR7" s="5">
        <f>IF(ISERROR(LOOKUP(QR$1,$S7:$HK7,csv!$L7:$HD7)),NA(),LOOKUP(QR$1,$S7:$HK7,csv!$L7:$HD7))</f>
        <v>0</v>
      </c>
      <c r="QS7" s="5">
        <f>IF(ISERROR(LOOKUP(QS$1,$S7:$HK7,csv!$L7:$HD7)),NA(),LOOKUP(QS$1,$S7:$HK7,csv!$L7:$HD7))</f>
        <v>0</v>
      </c>
      <c r="QT7" s="5">
        <f>IF(ISERROR(LOOKUP(QT$1,$S7:$HK7,csv!$L7:$HD7)),NA(),LOOKUP(QT$1,$S7:$HK7,csv!$L7:$HD7))</f>
        <v>0</v>
      </c>
      <c r="QU7" s="5">
        <f>IF(ISERROR(LOOKUP(QU$1,$S7:$HK7,csv!$L7:$HD7)),NA(),LOOKUP(QU$1,$S7:$HK7,csv!$L7:$HD7))</f>
        <v>0</v>
      </c>
      <c r="QV7" s="5">
        <f>IF(ISERROR(LOOKUP(QV$1,$S7:$HK7,csv!$L7:$HD7)),NA(),LOOKUP(QV$1,$S7:$HK7,csv!$L7:$HD7))</f>
        <v>0</v>
      </c>
      <c r="QW7" s="5">
        <f>IF(ISERROR(LOOKUP(QW$1,$S7:$HK7,csv!$L7:$HD7)),NA(),LOOKUP(QW$1,$S7:$HK7,csv!$L7:$HD7))</f>
        <v>0</v>
      </c>
      <c r="QX7" s="5">
        <f>IF(ISERROR(LOOKUP(QX$1,$S7:$HK7,csv!$L7:$HD7)),NA(),LOOKUP(QX$1,$S7:$HK7,csv!$L7:$HD7))</f>
        <v>0</v>
      </c>
      <c r="QY7" s="5">
        <f>IF(ISERROR(LOOKUP(QY$1,$S7:$HK7,csv!$L7:$HD7)),NA(),LOOKUP(QY$1,$S7:$HK7,csv!$L7:$HD7))</f>
        <v>0</v>
      </c>
      <c r="QZ7" s="5">
        <f>IF(ISERROR(LOOKUP(QZ$1,$S7:$HK7,csv!$L7:$HD7)),NA(),LOOKUP(QZ$1,$S7:$HK7,csv!$L7:$HD7))</f>
        <v>0</v>
      </c>
      <c r="RA7" s="5">
        <f>IF(ISERROR(LOOKUP(RA$1,$S7:$HK7,csv!$L7:$HD7)),NA(),LOOKUP(RA$1,$S7:$HK7,csv!$L7:$HD7))</f>
        <v>0</v>
      </c>
      <c r="RB7" s="5">
        <f>IF(ISERROR(LOOKUP(RB$1,$S7:$HK7,csv!$L7:$HD7)),NA(),LOOKUP(RB$1,$S7:$HK7,csv!$L7:$HD7))</f>
        <v>0</v>
      </c>
      <c r="RC7" s="5">
        <f>IF(ISERROR(LOOKUP(RC$1,$S7:$HK7,csv!$L7:$HD7)),NA(),LOOKUP(RC$1,$S7:$HK7,csv!$L7:$HD7))</f>
        <v>0</v>
      </c>
      <c r="RD7" s="5">
        <f>IF(ISERROR(LOOKUP(RD$1,$S7:$HK7,csv!$L7:$HD7)),NA(),LOOKUP(RD$1,$S7:$HK7,csv!$L7:$HD7))</f>
        <v>0</v>
      </c>
      <c r="RE7" s="5">
        <f>IF(ISERROR(LOOKUP(RE$1,$S7:$HK7,csv!$L7:$HD7)),NA(),LOOKUP(RE$1,$S7:$HK7,csv!$L7:$HD7))</f>
        <v>0</v>
      </c>
      <c r="RF7" s="5">
        <f>IF(ISERROR(LOOKUP(RF$1,$S7:$HK7,csv!$L7:$HD7)),NA(),LOOKUP(RF$1,$S7:$HK7,csv!$L7:$HD7))</f>
        <v>0</v>
      </c>
      <c r="RG7" s="5">
        <f>IF(ISERROR(LOOKUP(RG$1,$S7:$HK7,csv!$L7:$HD7)),NA(),LOOKUP(RG$1,$S7:$HK7,csv!$L7:$HD7))</f>
        <v>0</v>
      </c>
      <c r="RH7" s="5">
        <f>IF(ISERROR(LOOKUP(RH$1,$S7:$HK7,csv!$L7:$HD7)),NA(),LOOKUP(RH$1,$S7:$HK7,csv!$L7:$HD7))</f>
        <v>0</v>
      </c>
      <c r="RI7" s="5">
        <f>IF(ISERROR(LOOKUP(RI$1,$S7:$HK7,csv!$L7:$HD7)),NA(),LOOKUP(RI$1,$S7:$HK7,csv!$L7:$HD7))</f>
        <v>0</v>
      </c>
      <c r="RJ7" s="5">
        <f>IF(ISERROR(LOOKUP(RJ$1,$S7:$HK7,csv!$L7:$HD7)),NA(),LOOKUP(RJ$1,$S7:$HK7,csv!$L7:$HD7))</f>
        <v>0</v>
      </c>
      <c r="RK7" s="5">
        <f>IF(ISERROR(LOOKUP(RK$1,$S7:$HK7,csv!$L7:$HD7)),NA(),LOOKUP(RK$1,$S7:$HK7,csv!$L7:$HD7))</f>
        <v>0</v>
      </c>
      <c r="RL7" s="5">
        <f>IF(ISERROR(LOOKUP(RL$1,$S7:$HK7,csv!$L7:$HD7)),NA(),LOOKUP(RL$1,$S7:$HK7,csv!$L7:$HD7))</f>
        <v>0</v>
      </c>
      <c r="RM7" s="5">
        <f>IF(ISERROR(LOOKUP(RM$1,$S7:$HK7,csv!$L7:$HD7)),NA(),LOOKUP(RM$1,$S7:$HK7,csv!$L7:$HD7))</f>
        <v>0</v>
      </c>
      <c r="RN7" s="5">
        <f>IF(ISERROR(LOOKUP(RN$1,$S7:$HK7,csv!$L7:$HD7)),NA(),LOOKUP(RN$1,$S7:$HK7,csv!$L7:$HD7))</f>
        <v>0</v>
      </c>
      <c r="RO7" s="5">
        <f>IF(ISERROR(LOOKUP(RO$1,$S7:$HK7,csv!$L7:$HD7)),NA(),LOOKUP(RO$1,$S7:$HK7,csv!$L7:$HD7))</f>
        <v>0</v>
      </c>
      <c r="RP7" s="5">
        <f>IF(ISERROR(LOOKUP(RP$1,$S7:$HK7,csv!$L7:$HD7)),NA(),LOOKUP(RP$1,$S7:$HK7,csv!$L7:$HD7))</f>
        <v>0</v>
      </c>
      <c r="RQ7" s="5">
        <f>IF(ISERROR(LOOKUP(RQ$1,$S7:$HK7,csv!$L7:$HD7)),NA(),LOOKUP(RQ$1,$S7:$HK7,csv!$L7:$HD7))</f>
        <v>0</v>
      </c>
      <c r="RR7" s="5">
        <f>IF(ISERROR(LOOKUP(RR$1,$S7:$HK7,csv!$L7:$HD7)),NA(),LOOKUP(RR$1,$S7:$HK7,csv!$L7:$HD7))</f>
        <v>0</v>
      </c>
      <c r="RS7" s="5">
        <f>IF(ISERROR(LOOKUP(RS$1,$S7:$HK7,csv!$L7:$HD7)),NA(),LOOKUP(RS$1,$S7:$HK7,csv!$L7:$HD7))</f>
        <v>0</v>
      </c>
      <c r="RT7" s="5">
        <f>IF(ISERROR(LOOKUP(RT$1,$S7:$HK7,csv!$L7:$HD7)),NA(),LOOKUP(RT$1,$S7:$HK7,csv!$L7:$HD7))</f>
        <v>0</v>
      </c>
      <c r="RU7" s="5">
        <f>IF(ISERROR(LOOKUP(RU$1,$S7:$HK7,csv!$L7:$HD7)),NA(),LOOKUP(RU$1,$S7:$HK7,csv!$L7:$HD7))</f>
        <v>0</v>
      </c>
      <c r="RV7" s="5">
        <f>IF(ISERROR(LOOKUP(RV$1,$S7:$HK7,csv!$L7:$HD7)),NA(),LOOKUP(RV$1,$S7:$HK7,csv!$L7:$HD7))</f>
        <v>0</v>
      </c>
      <c r="RW7" s="5">
        <f>IF(ISERROR(LOOKUP(RW$1,$S7:$HK7,csv!$L7:$HD7)),NA(),LOOKUP(RW$1,$S7:$HK7,csv!$L7:$HD7))</f>
        <v>0</v>
      </c>
      <c r="RX7" s="5">
        <f>IF(ISERROR(LOOKUP(RX$1,$S7:$HK7,csv!$L7:$HD7)),NA(),LOOKUP(RX$1,$S7:$HK7,csv!$L7:$HD7))</f>
        <v>0</v>
      </c>
      <c r="RY7" s="5">
        <f>IF(ISERROR(LOOKUP(RY$1,$S7:$HK7,csv!$L7:$HD7)),NA(),LOOKUP(RY$1,$S7:$HK7,csv!$L7:$HD7))</f>
        <v>0</v>
      </c>
      <c r="RZ7" s="5">
        <f>IF(ISERROR(LOOKUP(RZ$1,$S7:$HK7,csv!$L7:$HD7)),NA(),LOOKUP(RZ$1,$S7:$HK7,csv!$L7:$HD7))</f>
        <v>0</v>
      </c>
      <c r="SA7" s="5">
        <f>IF(ISERROR(LOOKUP(SA$1,$S7:$HK7,csv!$L7:$HD7)),NA(),LOOKUP(SA$1,$S7:$HK7,csv!$L7:$HD7))</f>
        <v>0</v>
      </c>
      <c r="SB7" s="5">
        <f>IF(ISERROR(LOOKUP(SB$1,$S7:$HK7,csv!$L7:$HD7)),NA(),LOOKUP(SB$1,$S7:$HK7,csv!$L7:$HD7))</f>
        <v>0</v>
      </c>
      <c r="SC7" s="5">
        <f>IF(ISERROR(LOOKUP(SC$1,$S7:$HK7,csv!$L7:$HD7)),NA(),LOOKUP(SC$1,$S7:$HK7,csv!$L7:$HD7))</f>
        <v>0</v>
      </c>
      <c r="SD7" s="5">
        <f>IF(ISERROR(LOOKUP(SD$1,$S7:$HK7,csv!$L7:$HD7)),NA(),LOOKUP(SD$1,$S7:$HK7,csv!$L7:$HD7))</f>
        <v>0</v>
      </c>
      <c r="SE7" s="5">
        <f>IF(ISERROR(LOOKUP(SE$1,$S7:$HK7,csv!$L7:$HD7)),NA(),LOOKUP(SE$1,$S7:$HK7,csv!$L7:$HD7))</f>
        <v>0</v>
      </c>
      <c r="SF7" s="5">
        <f>IF(ISERROR(LOOKUP(SF$1,$S7:$HK7,csv!$L7:$HD7)),NA(),LOOKUP(SF$1,$S7:$HK7,csv!$L7:$HD7))</f>
        <v>0</v>
      </c>
      <c r="SG7" s="5">
        <f>IF(ISERROR(LOOKUP(SG$1,$S7:$HK7,csv!$L7:$HD7)),NA(),LOOKUP(SG$1,$S7:$HK7,csv!$L7:$HD7))</f>
        <v>0</v>
      </c>
      <c r="SH7" s="5">
        <f>IF(ISERROR(LOOKUP(SH$1,$S7:$HK7,csv!$L7:$HD7)),NA(),LOOKUP(SH$1,$S7:$HK7,csv!$L7:$HD7))</f>
        <v>0</v>
      </c>
      <c r="SI7" s="5">
        <f>IF(ISERROR(LOOKUP(SI$1,$S7:$HK7,csv!$L7:$HD7)),NA(),LOOKUP(SI$1,$S7:$HK7,csv!$L7:$HD7))</f>
        <v>0</v>
      </c>
      <c r="SJ7" s="5">
        <f>IF(ISERROR(LOOKUP(SJ$1,$S7:$HK7,csv!$L7:$HD7)),NA(),LOOKUP(SJ$1,$S7:$HK7,csv!$L7:$HD7))</f>
        <v>0</v>
      </c>
      <c r="SK7" s="5">
        <f>IF(ISERROR(LOOKUP(SK$1,$S7:$HK7,csv!$L7:$HD7)),NA(),LOOKUP(SK$1,$S7:$HK7,csv!$L7:$HD7))</f>
        <v>0</v>
      </c>
      <c r="SL7" s="5">
        <f>IF(ISERROR(LOOKUP(SL$1,$S7:$HK7,csv!$L7:$HD7)),NA(),LOOKUP(SL$1,$S7:$HK7,csv!$L7:$HD7))</f>
        <v>0</v>
      </c>
      <c r="SM7" s="5">
        <f>IF(ISERROR(LOOKUP(SM$1,$S7:$HK7,csv!$L7:$HD7)),NA(),LOOKUP(SM$1,$S7:$HK7,csv!$L7:$HD7))</f>
        <v>0</v>
      </c>
      <c r="SN7" s="5">
        <f>IF(ISERROR(LOOKUP(SN$1,$S7:$HK7,csv!$L7:$HD7)),NA(),LOOKUP(SN$1,$S7:$HK7,csv!$L7:$HD7))</f>
        <v>0</v>
      </c>
      <c r="SO7" s="5">
        <f>IF(ISERROR(LOOKUP(SO$1,$S7:$HK7,csv!$L7:$HD7)),NA(),LOOKUP(SO$1,$S7:$HK7,csv!$L7:$HD7))</f>
        <v>0</v>
      </c>
      <c r="SP7" s="5">
        <f>IF(ISERROR(LOOKUP(SP$1,$S7:$HK7,csv!$L7:$HD7)),NA(),LOOKUP(SP$1,$S7:$HK7,csv!$L7:$HD7))</f>
        <v>0</v>
      </c>
      <c r="SQ7" s="5">
        <f>IF(ISERROR(LOOKUP(SQ$1,$S7:$HK7,csv!$L7:$HD7)),NA(),LOOKUP(SQ$1,$S7:$HK7,csv!$L7:$HD7))</f>
        <v>0</v>
      </c>
      <c r="SR7" s="5">
        <f>IF(ISERROR(LOOKUP(SR$1,$S7:$HK7,csv!$L7:$HD7)),NA(),LOOKUP(SR$1,$S7:$HK7,csv!$L7:$HD7))</f>
        <v>0</v>
      </c>
      <c r="SS7" s="5">
        <f>IF(ISERROR(LOOKUP(SS$1,$S7:$HK7,csv!$L7:$HD7)),NA(),LOOKUP(SS$1,$S7:$HK7,csv!$L7:$HD7))</f>
        <v>0</v>
      </c>
      <c r="ST7" s="5">
        <f>IF(ISERROR(LOOKUP(ST$1,$S7:$HK7,csv!$L7:$HD7)),NA(),LOOKUP(ST$1,$S7:$HK7,csv!$L7:$HD7))</f>
        <v>0</v>
      </c>
      <c r="SU7" s="5">
        <f>IF(ISERROR(LOOKUP(SU$1,$S7:$HK7,csv!$L7:$HD7)),NA(),LOOKUP(SU$1,$S7:$HK7,csv!$L7:$HD7))</f>
        <v>0</v>
      </c>
      <c r="SV7" s="5">
        <f>IF(ISERROR(LOOKUP(SV$1,$S7:$HK7,csv!$L7:$HD7)),NA(),LOOKUP(SV$1,$S7:$HK7,csv!$L7:$HD7))</f>
        <v>0</v>
      </c>
      <c r="SW7" s="5">
        <f>IF(ISERROR(LOOKUP(SW$1,$S7:$HK7,csv!$L7:$HD7)),NA(),LOOKUP(SW$1,$S7:$HK7,csv!$L7:$HD7))</f>
        <v>0</v>
      </c>
      <c r="SX7" s="5">
        <f>IF(ISERROR(LOOKUP(SX$1,$S7:$HK7,csv!$L7:$HD7)),NA(),LOOKUP(SX$1,$S7:$HK7,csv!$L7:$HD7))</f>
        <v>0</v>
      </c>
      <c r="SY7" s="5">
        <f>IF(ISERROR(LOOKUP(SY$1,$S7:$HK7,csv!$L7:$HD7)),NA(),LOOKUP(SY$1,$S7:$HK7,csv!$L7:$HD7))</f>
        <v>0</v>
      </c>
      <c r="SZ7" s="5">
        <f>IF(ISERROR(LOOKUP(SZ$1,$S7:$HK7,csv!$L7:$HD7)),NA(),LOOKUP(SZ$1,$S7:$HK7,csv!$L7:$HD7))</f>
        <v>0</v>
      </c>
      <c r="TA7" s="5">
        <f>IF(ISERROR(LOOKUP(TA$1,$S7:$HK7,csv!$L7:$HD7)),NA(),LOOKUP(TA$1,$S7:$HK7,csv!$L7:$HD7))</f>
        <v>0</v>
      </c>
      <c r="TB7" s="5">
        <f>IF(ISERROR(LOOKUP(TB$1,$S7:$HK7,csv!$L7:$HD7)),NA(),LOOKUP(TB$1,$S7:$HK7,csv!$L7:$HD7))</f>
        <v>0</v>
      </c>
      <c r="TD7">
        <f>csv!HG7/10</f>
        <v>0</v>
      </c>
    </row>
    <row r="8" spans="1:524" x14ac:dyDescent="0.15">
      <c r="C8" s="32" t="str">
        <f>TEXT(csv!B8&amp;"/"&amp;csv!C8&amp;"-"&amp;csv!E8&amp;"/"&amp;csv!F8,"mm/dd")</f>
        <v>/-/</v>
      </c>
      <c r="D8">
        <f>csv!A8*10000+csv!B8*100+csv!C8</f>
        <v>0</v>
      </c>
      <c r="E8">
        <f>(IF(csv!HG8&lt;-1000,NA(),csv!HG8)+csv!K8)/10</f>
        <v>0</v>
      </c>
      <c r="F8">
        <f>(IF(csv!HG21&lt;-1000,NA(),csv!HG21)+csv!K21)/10</f>
        <v>0</v>
      </c>
      <c r="G8">
        <f>(IF(csv!HG34&lt;-1000,NA(),csv!HG34)+csv!K34)/10</f>
        <v>0</v>
      </c>
      <c r="H8">
        <f>IF(csv!HG8&lt;-1000,NA(),csv!HG8/10)</f>
        <v>0</v>
      </c>
      <c r="I8">
        <f>IF(csv!HG21&lt;-1000,NA(),csv!HG21/10)</f>
        <v>0</v>
      </c>
      <c r="J8">
        <f>IF(csv!HG34&lt;-1000,NA(),csv!HG34/10)</f>
        <v>0</v>
      </c>
      <c r="K8">
        <f>IF(csv!HF8&lt;-1000,NA(),csv!HF8/10)</f>
        <v>0</v>
      </c>
      <c r="L8">
        <f>IF(csv!HF21&lt;-1000,NA(),csv!HF21/10)</f>
        <v>0</v>
      </c>
      <c r="M8">
        <f>IF(csv!HF34&lt;-1000,NA(),csv!HF34/10)</f>
        <v>0</v>
      </c>
      <c r="N8">
        <f>IF(csv!HE8&lt;-1000,NA(),csv!HE8/10)</f>
        <v>0</v>
      </c>
      <c r="O8">
        <f>IF(csv!HE21&lt;-1000,NA(),csv!HE21/10)</f>
        <v>0</v>
      </c>
      <c r="P8">
        <f>IF(csv!HE34&lt;-1000,NA(),csv!HE34/10)</f>
        <v>0</v>
      </c>
      <c r="S8" s="4">
        <f>ROUND((csv!$HG8/10+calc!S$1),1)</f>
        <v>-10</v>
      </c>
      <c r="T8" s="4">
        <f>ROUND((csv!$HG8/10+calc!T$1),1)</f>
        <v>-9.9</v>
      </c>
      <c r="U8" s="4">
        <f>ROUND((csv!$HG8/10+calc!U$1),1)</f>
        <v>-9.8000000000000007</v>
      </c>
      <c r="V8" s="4">
        <f>ROUND((csv!$HG8/10+calc!V$1),1)</f>
        <v>-9.6999999999999993</v>
      </c>
      <c r="W8" s="4">
        <f>ROUND((csv!$HG8/10+calc!W$1),1)</f>
        <v>-9.6</v>
      </c>
      <c r="X8" s="4">
        <f>ROUND((csv!$HG8/10+calc!X$1),1)</f>
        <v>-9.5</v>
      </c>
      <c r="Y8" s="4">
        <f>ROUND((csv!$HG8/10+calc!Y$1),1)</f>
        <v>-9.4</v>
      </c>
      <c r="Z8" s="4">
        <f>ROUND((csv!$HG8/10+calc!Z$1),1)</f>
        <v>-9.3000000000000007</v>
      </c>
      <c r="AA8" s="4">
        <f>ROUND((csv!$HG8/10+calc!AA$1),1)</f>
        <v>-9.1999999999999993</v>
      </c>
      <c r="AB8" s="4">
        <f>ROUND((csv!$HG8/10+calc!AB$1),1)</f>
        <v>-9.1</v>
      </c>
      <c r="AC8" s="4">
        <f>ROUND((csv!$HG8/10+calc!AC$1),1)</f>
        <v>-9</v>
      </c>
      <c r="AD8" s="4">
        <f>ROUND((csv!$HG8/10+calc!AD$1),1)</f>
        <v>-8.9</v>
      </c>
      <c r="AE8" s="4">
        <f>ROUND((csv!$HG8/10+calc!AE$1),1)</f>
        <v>-8.8000000000000007</v>
      </c>
      <c r="AF8" s="4">
        <f>ROUND((csv!$HG8/10+calc!AF$1),1)</f>
        <v>-8.6999999999999993</v>
      </c>
      <c r="AG8" s="4">
        <f>ROUND((csv!$HG8/10+calc!AG$1),1)</f>
        <v>-8.6</v>
      </c>
      <c r="AH8" s="4">
        <f>ROUND((csv!$HG8/10+calc!AH$1),1)</f>
        <v>-8.5</v>
      </c>
      <c r="AI8" s="4">
        <f>ROUND((csv!$HG8/10+calc!AI$1),1)</f>
        <v>-8.4</v>
      </c>
      <c r="AJ8" s="4">
        <f>ROUND((csv!$HG8/10+calc!AJ$1),1)</f>
        <v>-8.3000000000000007</v>
      </c>
      <c r="AK8" s="4">
        <f>ROUND((csv!$HG8/10+calc!AK$1),1)</f>
        <v>-8.1999999999999993</v>
      </c>
      <c r="AL8" s="4">
        <f>ROUND((csv!$HG8/10+calc!AL$1),1)</f>
        <v>-8.1</v>
      </c>
      <c r="AM8" s="4">
        <f>ROUND((csv!$HG8/10+calc!AM$1),1)</f>
        <v>-8</v>
      </c>
      <c r="AN8" s="4">
        <f>ROUND((csv!$HG8/10+calc!AN$1),1)</f>
        <v>-7.9</v>
      </c>
      <c r="AO8" s="4">
        <f>ROUND((csv!$HG8/10+calc!AO$1),1)</f>
        <v>-7.8</v>
      </c>
      <c r="AP8" s="4">
        <f>ROUND((csv!$HG8/10+calc!AP$1),1)</f>
        <v>-7.7</v>
      </c>
      <c r="AQ8" s="4">
        <f>ROUND((csv!$HG8/10+calc!AQ$1),1)</f>
        <v>-7.6</v>
      </c>
      <c r="AR8" s="4">
        <f>ROUND((csv!$HG8/10+calc!AR$1),1)</f>
        <v>-7.5</v>
      </c>
      <c r="AS8" s="4">
        <f>ROUND((csv!$HG8/10+calc!AS$1),1)</f>
        <v>-7.4</v>
      </c>
      <c r="AT8" s="4">
        <f>ROUND((csv!$HG8/10+calc!AT$1),1)</f>
        <v>-7.3</v>
      </c>
      <c r="AU8" s="4">
        <f>ROUND((csv!$HG8/10+calc!AU$1),1)</f>
        <v>-7.2</v>
      </c>
      <c r="AV8" s="4">
        <f>ROUND((csv!$HG8/10+calc!AV$1),1)</f>
        <v>-7.1</v>
      </c>
      <c r="AW8" s="4">
        <f>ROUND((csv!$HG8/10+calc!AW$1),1)</f>
        <v>-7</v>
      </c>
      <c r="AX8" s="4">
        <f>ROUND((csv!$HG8/10+calc!AX$1),1)</f>
        <v>-6.9</v>
      </c>
      <c r="AY8" s="4">
        <f>ROUND((csv!$HG8/10+calc!AY$1),1)</f>
        <v>-6.8</v>
      </c>
      <c r="AZ8" s="4">
        <f>ROUND((csv!$HG8/10+calc!AZ$1),1)</f>
        <v>-6.7</v>
      </c>
      <c r="BA8" s="4">
        <f>ROUND((csv!$HG8/10+calc!BA$1),1)</f>
        <v>-6.6</v>
      </c>
      <c r="BB8" s="4">
        <f>ROUND((csv!$HG8/10+calc!BB$1),1)</f>
        <v>-6.5</v>
      </c>
      <c r="BC8" s="4">
        <f>ROUND((csv!$HG8/10+calc!BC$1),1)</f>
        <v>-6.4</v>
      </c>
      <c r="BD8" s="4">
        <f>ROUND((csv!$HG8/10+calc!BD$1),1)</f>
        <v>-6.3</v>
      </c>
      <c r="BE8" s="4">
        <f>ROUND((csv!$HG8/10+calc!BE$1),1)</f>
        <v>-6.2</v>
      </c>
      <c r="BF8" s="4">
        <f>ROUND((csv!$HG8/10+calc!BF$1),1)</f>
        <v>-6.1</v>
      </c>
      <c r="BG8" s="4">
        <f>ROUND((csv!$HG8/10+calc!BG$1),1)</f>
        <v>-6</v>
      </c>
      <c r="BH8" s="4">
        <f>ROUND((csv!$HG8/10+calc!BH$1),1)</f>
        <v>-5.9</v>
      </c>
      <c r="BI8" s="4">
        <f>ROUND((csv!$HG8/10+calc!BI$1),1)</f>
        <v>-5.8</v>
      </c>
      <c r="BJ8" s="4">
        <f>ROUND((csv!$HG8/10+calc!BJ$1),1)</f>
        <v>-5.7</v>
      </c>
      <c r="BK8" s="4">
        <f>ROUND((csv!$HG8/10+calc!BK$1),1)</f>
        <v>-5.6</v>
      </c>
      <c r="BL8" s="4">
        <f>ROUND((csv!$HG8/10+calc!BL$1),1)</f>
        <v>-5.5</v>
      </c>
      <c r="BM8" s="4">
        <f>ROUND((csv!$HG8/10+calc!BM$1),1)</f>
        <v>-5.4</v>
      </c>
      <c r="BN8" s="4">
        <f>ROUND((csv!$HG8/10+calc!BN$1),1)</f>
        <v>-5.3</v>
      </c>
      <c r="BO8" s="4">
        <f>ROUND((csv!$HG8/10+calc!BO$1),1)</f>
        <v>-5.2</v>
      </c>
      <c r="BP8" s="4">
        <f>ROUND((csv!$HG8/10+calc!BP$1),1)</f>
        <v>-5.0999999999999996</v>
      </c>
      <c r="BQ8" s="4">
        <f>ROUND((csv!$HG8/10+calc!BQ$1),1)</f>
        <v>-5</v>
      </c>
      <c r="BR8" s="4">
        <f>ROUND((csv!$HG8/10+calc!BR$1),1)</f>
        <v>-4.9000000000000004</v>
      </c>
      <c r="BS8" s="4">
        <f>ROUND((csv!$HG8/10+calc!BS$1),1)</f>
        <v>-4.8</v>
      </c>
      <c r="BT8" s="4">
        <f>ROUND((csv!$HG8/10+calc!BT$1),1)</f>
        <v>-4.7</v>
      </c>
      <c r="BU8" s="4">
        <f>ROUND((csv!$HG8/10+calc!BU$1),1)</f>
        <v>-4.5999999999999996</v>
      </c>
      <c r="BV8" s="4">
        <f>ROUND((csv!$HG8/10+calc!BV$1),1)</f>
        <v>-4.5</v>
      </c>
      <c r="BW8" s="4">
        <f>ROUND((csv!$HG8/10+calc!BW$1),1)</f>
        <v>-4.4000000000000004</v>
      </c>
      <c r="BX8" s="4">
        <f>ROUND((csv!$HG8/10+calc!BX$1),1)</f>
        <v>-4.3</v>
      </c>
      <c r="BY8" s="4">
        <f>ROUND((csv!$HG8/10+calc!BY$1),1)</f>
        <v>-4.2</v>
      </c>
      <c r="BZ8" s="4">
        <f>ROUND((csv!$HG8/10+calc!BZ$1),1)</f>
        <v>-4.0999999999999996</v>
      </c>
      <c r="CA8" s="4">
        <f>ROUND((csv!$HG8/10+calc!CA$1),1)</f>
        <v>-4</v>
      </c>
      <c r="CB8" s="4">
        <f>ROUND((csv!$HG8/10+calc!CB$1),1)</f>
        <v>-3.9</v>
      </c>
      <c r="CC8" s="4">
        <f>ROUND((csv!$HG8/10+calc!CC$1),1)</f>
        <v>-3.8</v>
      </c>
      <c r="CD8" s="4">
        <f>ROUND((csv!$HG8/10+calc!CD$1),1)</f>
        <v>-3.7</v>
      </c>
      <c r="CE8" s="4">
        <f>ROUND((csv!$HG8/10+calc!CE$1),1)</f>
        <v>-3.6</v>
      </c>
      <c r="CF8" s="4">
        <f>ROUND((csv!$HG8/10+calc!CF$1),1)</f>
        <v>-3.5</v>
      </c>
      <c r="CG8" s="4">
        <f>ROUND((csv!$HG8/10+calc!CG$1),1)</f>
        <v>-3.4</v>
      </c>
      <c r="CH8" s="4">
        <f>ROUND((csv!$HG8/10+calc!CH$1),1)</f>
        <v>-3.3</v>
      </c>
      <c r="CI8" s="4">
        <f>ROUND((csv!$HG8/10+calc!CI$1),1)</f>
        <v>-3.2</v>
      </c>
      <c r="CJ8" s="4">
        <f>ROUND((csv!$HG8/10+calc!CJ$1),1)</f>
        <v>-3.1</v>
      </c>
      <c r="CK8" s="4">
        <f>ROUND((csv!$HG8/10+calc!CK$1),1)</f>
        <v>-3</v>
      </c>
      <c r="CL8" s="4">
        <f>ROUND((csv!$HG8/10+calc!CL$1),1)</f>
        <v>-2.9</v>
      </c>
      <c r="CM8" s="4">
        <f>ROUND((csv!$HG8/10+calc!CM$1),1)</f>
        <v>-2.8</v>
      </c>
      <c r="CN8" s="4">
        <f>ROUND((csv!$HG8/10+calc!CN$1),1)</f>
        <v>-2.7</v>
      </c>
      <c r="CO8" s="4">
        <f>ROUND((csv!$HG8/10+calc!CO$1),1)</f>
        <v>-2.6</v>
      </c>
      <c r="CP8" s="4">
        <f>ROUND((csv!$HG8/10+calc!CP$1),1)</f>
        <v>-2.5</v>
      </c>
      <c r="CQ8" s="4">
        <f>ROUND((csv!$HG8/10+calc!CQ$1),1)</f>
        <v>-2.4</v>
      </c>
      <c r="CR8" s="4">
        <f>ROUND((csv!$HG8/10+calc!CR$1),1)</f>
        <v>-2.2999999999999998</v>
      </c>
      <c r="CS8" s="4">
        <f>ROUND((csv!$HG8/10+calc!CS$1),1)</f>
        <v>-2.2000000000000002</v>
      </c>
      <c r="CT8" s="4">
        <f>ROUND((csv!$HG8/10+calc!CT$1),1)</f>
        <v>-2.1</v>
      </c>
      <c r="CU8" s="4">
        <f>ROUND((csv!$HG8/10+calc!CU$1),1)</f>
        <v>-2</v>
      </c>
      <c r="CV8" s="4">
        <f>ROUND((csv!$HG8/10+calc!CV$1),1)</f>
        <v>-1.9</v>
      </c>
      <c r="CW8" s="4">
        <f>ROUND((csv!$HG8/10+calc!CW$1),1)</f>
        <v>-1.8</v>
      </c>
      <c r="CX8" s="4">
        <f>ROUND((csv!$HG8/10+calc!CX$1),1)</f>
        <v>-1.7</v>
      </c>
      <c r="CY8" s="4">
        <f>ROUND((csv!$HG8/10+calc!CY$1),1)</f>
        <v>-1.6</v>
      </c>
      <c r="CZ8" s="4">
        <f>ROUND((csv!$HG8/10+calc!CZ$1),1)</f>
        <v>-1.5</v>
      </c>
      <c r="DA8" s="4">
        <f>ROUND((csv!$HG8/10+calc!DA$1),1)</f>
        <v>-1.4</v>
      </c>
      <c r="DB8" s="4">
        <f>ROUND((csv!$HG8/10+calc!DB$1),1)</f>
        <v>-1.3</v>
      </c>
      <c r="DC8" s="4">
        <f>ROUND((csv!$HG8/10+calc!DC$1),1)</f>
        <v>-1.2</v>
      </c>
      <c r="DD8" s="4">
        <f>ROUND((csv!$HG8/10+calc!DD$1),1)</f>
        <v>-1.1000000000000001</v>
      </c>
      <c r="DE8" s="4">
        <f>ROUND((csv!$HG8/10+calc!DE$1),1)</f>
        <v>-1</v>
      </c>
      <c r="DF8" s="4">
        <f>ROUND((csv!$HG8/10+calc!DF$1),1)</f>
        <v>-0.9</v>
      </c>
      <c r="DG8" s="4">
        <f>ROUND((csv!$HG8/10+calc!DG$1),1)</f>
        <v>-0.8</v>
      </c>
      <c r="DH8" s="4">
        <f>ROUND((csv!$HG8/10+calc!DH$1),1)</f>
        <v>-0.7</v>
      </c>
      <c r="DI8" s="4">
        <f>ROUND((csv!$HG8/10+calc!DI$1),1)</f>
        <v>-0.6</v>
      </c>
      <c r="DJ8" s="4">
        <f>ROUND((csv!$HG8/10+calc!DJ$1),1)</f>
        <v>-0.5</v>
      </c>
      <c r="DK8" s="4">
        <f>ROUND((csv!$HG8/10+calc!DK$1),1)</f>
        <v>-0.4</v>
      </c>
      <c r="DL8" s="4">
        <f>ROUND((csv!$HG8/10+calc!DL$1),1)</f>
        <v>-0.3</v>
      </c>
      <c r="DM8" s="4">
        <f>ROUND((csv!$HG8/10+calc!DM$1),1)</f>
        <v>-0.2</v>
      </c>
      <c r="DN8" s="4">
        <f>ROUND((csv!$HG8/10+calc!DN$1),1)</f>
        <v>-0.1</v>
      </c>
      <c r="DO8" s="4">
        <f>ROUND((csv!$HG8/10+calc!DO$1),1)</f>
        <v>0</v>
      </c>
      <c r="DP8" s="4">
        <f>ROUND((csv!$HG8/10+calc!DP$1),1)</f>
        <v>0.1</v>
      </c>
      <c r="DQ8" s="4">
        <f>ROUND((csv!$HG8/10+calc!DQ$1),1)</f>
        <v>0.2</v>
      </c>
      <c r="DR8" s="4">
        <f>ROUND((csv!$HG8/10+calc!DR$1),1)</f>
        <v>0.3</v>
      </c>
      <c r="DS8" s="4">
        <f>ROUND((csv!$HG8/10+calc!DS$1),1)</f>
        <v>0.4</v>
      </c>
      <c r="DT8" s="4">
        <f>ROUND((csv!$HG8/10+calc!DT$1),1)</f>
        <v>0.5</v>
      </c>
      <c r="DU8" s="4">
        <f>ROUND((csv!$HG8/10+calc!DU$1),1)</f>
        <v>0.6</v>
      </c>
      <c r="DV8" s="4">
        <f>ROUND((csv!$HG8/10+calc!DV$1),1)</f>
        <v>0.7</v>
      </c>
      <c r="DW8" s="4">
        <f>ROUND((csv!$HG8/10+calc!DW$1),1)</f>
        <v>0.8</v>
      </c>
      <c r="DX8" s="4">
        <f>ROUND((csv!$HG8/10+calc!DX$1),1)</f>
        <v>0.9</v>
      </c>
      <c r="DY8" s="4">
        <f>ROUND((csv!$HG8/10+calc!DY$1),1)</f>
        <v>1</v>
      </c>
      <c r="DZ8" s="4">
        <f>ROUND((csv!$HG8/10+calc!DZ$1),1)</f>
        <v>1.1000000000000001</v>
      </c>
      <c r="EA8" s="4">
        <f>ROUND((csv!$HG8/10+calc!EA$1),1)</f>
        <v>1.2</v>
      </c>
      <c r="EB8" s="4">
        <f>ROUND((csv!$HG8/10+calc!EB$1),1)</f>
        <v>1.3</v>
      </c>
      <c r="EC8" s="4">
        <f>ROUND((csv!$HG8/10+calc!EC$1),1)</f>
        <v>1.4</v>
      </c>
      <c r="ED8" s="4">
        <f>ROUND((csv!$HG8/10+calc!ED$1),1)</f>
        <v>1.5</v>
      </c>
      <c r="EE8" s="4">
        <f>ROUND((csv!$HG8/10+calc!EE$1),1)</f>
        <v>1.6</v>
      </c>
      <c r="EF8" s="4">
        <f>ROUND((csv!$HG8/10+calc!EF$1),1)</f>
        <v>1.7</v>
      </c>
      <c r="EG8" s="4">
        <f>ROUND((csv!$HG8/10+calc!EG$1),1)</f>
        <v>1.8</v>
      </c>
      <c r="EH8" s="4">
        <f>ROUND((csv!$HG8/10+calc!EH$1),1)</f>
        <v>1.9</v>
      </c>
      <c r="EI8" s="4">
        <f>ROUND((csv!$HG8/10+calc!EI$1),1)</f>
        <v>2</v>
      </c>
      <c r="EJ8" s="4">
        <f>ROUND((csv!$HG8/10+calc!EJ$1),1)</f>
        <v>2.1</v>
      </c>
      <c r="EK8" s="4">
        <f>ROUND((csv!$HG8/10+calc!EK$1),1)</f>
        <v>2.2000000000000002</v>
      </c>
      <c r="EL8" s="4">
        <f>ROUND((csv!$HG8/10+calc!EL$1),1)</f>
        <v>2.2999999999999998</v>
      </c>
      <c r="EM8" s="4">
        <f>ROUND((csv!$HG8/10+calc!EM$1),1)</f>
        <v>2.4</v>
      </c>
      <c r="EN8" s="4">
        <f>ROUND((csv!$HG8/10+calc!EN$1),1)</f>
        <v>2.5</v>
      </c>
      <c r="EO8" s="4">
        <f>ROUND((csv!$HG8/10+calc!EO$1),1)</f>
        <v>2.6</v>
      </c>
      <c r="EP8" s="4">
        <f>ROUND((csv!$HG8/10+calc!EP$1),1)</f>
        <v>2.7</v>
      </c>
      <c r="EQ8" s="4">
        <f>ROUND((csv!$HG8/10+calc!EQ$1),1)</f>
        <v>2.8</v>
      </c>
      <c r="ER8" s="4">
        <f>ROUND((csv!$HG8/10+calc!ER$1),1)</f>
        <v>2.9</v>
      </c>
      <c r="ES8" s="4">
        <f>ROUND((csv!$HG8/10+calc!ES$1),1)</f>
        <v>3</v>
      </c>
      <c r="ET8" s="4">
        <f>ROUND((csv!$HG8/10+calc!ET$1),1)</f>
        <v>3.1</v>
      </c>
      <c r="EU8" s="4">
        <f>ROUND((csv!$HG8/10+calc!EU$1),1)</f>
        <v>3.2</v>
      </c>
      <c r="EV8" s="4">
        <f>ROUND((csv!$HG8/10+calc!EV$1),1)</f>
        <v>3.3</v>
      </c>
      <c r="EW8" s="4">
        <f>ROUND((csv!$HG8/10+calc!EW$1),1)</f>
        <v>3.4</v>
      </c>
      <c r="EX8" s="4">
        <f>ROUND((csv!$HG8/10+calc!EX$1),1)</f>
        <v>3.5</v>
      </c>
      <c r="EY8" s="4">
        <f>ROUND((csv!$HG8/10+calc!EY$1),1)</f>
        <v>3.6</v>
      </c>
      <c r="EZ8" s="4">
        <f>ROUND((csv!$HG8/10+calc!EZ$1),1)</f>
        <v>3.7</v>
      </c>
      <c r="FA8" s="4">
        <f>ROUND((csv!$HG8/10+calc!FA$1),1)</f>
        <v>3.8</v>
      </c>
      <c r="FB8" s="4">
        <f>ROUND((csv!$HG8/10+calc!FB$1),1)</f>
        <v>3.9</v>
      </c>
      <c r="FC8" s="4">
        <f>ROUND((csv!$HG8/10+calc!FC$1),1)</f>
        <v>4</v>
      </c>
      <c r="FD8" s="4">
        <f>ROUND((csv!$HG8/10+calc!FD$1),1)</f>
        <v>4.0999999999999996</v>
      </c>
      <c r="FE8" s="4">
        <f>ROUND((csv!$HG8/10+calc!FE$1),1)</f>
        <v>4.2</v>
      </c>
      <c r="FF8" s="4">
        <f>ROUND((csv!$HG8/10+calc!FF$1),1)</f>
        <v>4.3</v>
      </c>
      <c r="FG8" s="4">
        <f>ROUND((csv!$HG8/10+calc!FG$1),1)</f>
        <v>4.4000000000000004</v>
      </c>
      <c r="FH8" s="4">
        <f>ROUND((csv!$HG8/10+calc!FH$1),1)</f>
        <v>4.5</v>
      </c>
      <c r="FI8" s="4">
        <f>ROUND((csv!$HG8/10+calc!FI$1),1)</f>
        <v>4.5999999999999996</v>
      </c>
      <c r="FJ8" s="4">
        <f>ROUND((csv!$HG8/10+calc!FJ$1),1)</f>
        <v>4.7</v>
      </c>
      <c r="FK8" s="4">
        <f>ROUND((csv!$HG8/10+calc!FK$1),1)</f>
        <v>4.8</v>
      </c>
      <c r="FL8" s="4">
        <f>ROUND((csv!$HG8/10+calc!FL$1),1)</f>
        <v>4.9000000000000004</v>
      </c>
      <c r="FM8" s="4">
        <f>ROUND((csv!$HG8/10+calc!FM$1),1)</f>
        <v>5</v>
      </c>
      <c r="FN8" s="4">
        <f>ROUND((csv!$HG8/10+calc!FN$1),1)</f>
        <v>5.0999999999999996</v>
      </c>
      <c r="FO8" s="4">
        <f>ROUND((csv!$HG8/10+calc!FO$1),1)</f>
        <v>5.2</v>
      </c>
      <c r="FP8" s="4">
        <f>ROUND((csv!$HG8/10+calc!FP$1),1)</f>
        <v>5.3</v>
      </c>
      <c r="FQ8" s="4">
        <f>ROUND((csv!$HG8/10+calc!FQ$1),1)</f>
        <v>5.4</v>
      </c>
      <c r="FR8" s="4">
        <f>ROUND((csv!$HG8/10+calc!FR$1),1)</f>
        <v>5.5</v>
      </c>
      <c r="FS8" s="4">
        <f>ROUND((csv!$HG8/10+calc!FS$1),1)</f>
        <v>5.6</v>
      </c>
      <c r="FT8" s="4">
        <f>ROUND((csv!$HG8/10+calc!FT$1),1)</f>
        <v>5.7</v>
      </c>
      <c r="FU8" s="4">
        <f>ROUND((csv!$HG8/10+calc!FU$1),1)</f>
        <v>5.8</v>
      </c>
      <c r="FV8" s="4">
        <f>ROUND((csv!$HG8/10+calc!FV$1),1)</f>
        <v>5.9</v>
      </c>
      <c r="FW8" s="4">
        <f>ROUND((csv!$HG8/10+calc!FW$1),1)</f>
        <v>6</v>
      </c>
      <c r="FX8" s="4">
        <f>ROUND((csv!$HG8/10+calc!FX$1),1)</f>
        <v>6.1</v>
      </c>
      <c r="FY8" s="4">
        <f>ROUND((csv!$HG8/10+calc!FY$1),1)</f>
        <v>6.2</v>
      </c>
      <c r="FZ8" s="4">
        <f>ROUND((csv!$HG8/10+calc!FZ$1),1)</f>
        <v>6.3</v>
      </c>
      <c r="GA8" s="4">
        <f>ROUND((csv!$HG8/10+calc!GA$1),1)</f>
        <v>6.4</v>
      </c>
      <c r="GB8" s="4">
        <f>ROUND((csv!$HG8/10+calc!GB$1),1)</f>
        <v>6.5</v>
      </c>
      <c r="GC8" s="4">
        <f>ROUND((csv!$HG8/10+calc!GC$1),1)</f>
        <v>6.6</v>
      </c>
      <c r="GD8" s="4">
        <f>ROUND((csv!$HG8/10+calc!GD$1),1)</f>
        <v>6.7</v>
      </c>
      <c r="GE8" s="4">
        <f>ROUND((csv!$HG8/10+calc!GE$1),1)</f>
        <v>6.8</v>
      </c>
      <c r="GF8" s="4">
        <f>ROUND((csv!$HG8/10+calc!GF$1),1)</f>
        <v>6.9</v>
      </c>
      <c r="GG8" s="4">
        <f>ROUND((csv!$HG8/10+calc!GG$1),1)</f>
        <v>7</v>
      </c>
      <c r="GH8" s="4">
        <f>ROUND((csv!$HG8/10+calc!GH$1),1)</f>
        <v>7.1</v>
      </c>
      <c r="GI8" s="4">
        <f>ROUND((csv!$HG8/10+calc!GI$1),1)</f>
        <v>7.2</v>
      </c>
      <c r="GJ8" s="4">
        <f>ROUND((csv!$HG8/10+calc!GJ$1),1)</f>
        <v>7.3</v>
      </c>
      <c r="GK8" s="4">
        <f>ROUND((csv!$HG8/10+calc!GK$1),1)</f>
        <v>7.4</v>
      </c>
      <c r="GL8" s="4">
        <f>ROUND((csv!$HG8/10+calc!GL$1),1)</f>
        <v>7.5</v>
      </c>
      <c r="GM8" s="4">
        <f>ROUND((csv!$HG8/10+calc!GM$1),1)</f>
        <v>7.6</v>
      </c>
      <c r="GN8" s="4">
        <f>ROUND((csv!$HG8/10+calc!GN$1),1)</f>
        <v>7.7</v>
      </c>
      <c r="GO8" s="4">
        <f>ROUND((csv!$HG8/10+calc!GO$1),1)</f>
        <v>7.8</v>
      </c>
      <c r="GP8" s="4">
        <f>ROUND((csv!$HG8/10+calc!GP$1),1)</f>
        <v>7.9</v>
      </c>
      <c r="GQ8" s="4">
        <f>ROUND((csv!$HG8/10+calc!GQ$1),1)</f>
        <v>8</v>
      </c>
      <c r="GR8" s="4">
        <f>ROUND((csv!$HG8/10+calc!GR$1),1)</f>
        <v>8.1</v>
      </c>
      <c r="GS8" s="4">
        <f>ROUND((csv!$HG8/10+calc!GS$1),1)</f>
        <v>8.1999999999999993</v>
      </c>
      <c r="GT8" s="4">
        <f>ROUND((csv!$HG8/10+calc!GT$1),1)</f>
        <v>8.3000000000000007</v>
      </c>
      <c r="GU8" s="4">
        <f>ROUND((csv!$HG8/10+calc!GU$1),1)</f>
        <v>8.4</v>
      </c>
      <c r="GV8" s="4">
        <f>ROUND((csv!$HG8/10+calc!GV$1),1)</f>
        <v>8.5</v>
      </c>
      <c r="GW8" s="4">
        <f>ROUND((csv!$HG8/10+calc!GW$1),1)</f>
        <v>8.6</v>
      </c>
      <c r="GX8" s="4">
        <f>ROUND((csv!$HG8/10+calc!GX$1),1)</f>
        <v>8.6999999999999993</v>
      </c>
      <c r="GY8" s="4">
        <f>ROUND((csv!$HG8/10+calc!GY$1),1)</f>
        <v>8.8000000000000007</v>
      </c>
      <c r="GZ8" s="4">
        <f>ROUND((csv!$HG8/10+calc!GZ$1),1)</f>
        <v>8.9</v>
      </c>
      <c r="HA8" s="4">
        <f>ROUND((csv!$HG8/10+calc!HA$1),1)</f>
        <v>9</v>
      </c>
      <c r="HB8" s="4">
        <f>ROUND((csv!$HG8/10+calc!HB$1),1)</f>
        <v>9.1</v>
      </c>
      <c r="HC8" s="4">
        <f>ROUND((csv!$HG8/10+calc!HC$1),1)</f>
        <v>9.1999999999999993</v>
      </c>
      <c r="HD8" s="4">
        <f>ROUND((csv!$HG8/10+calc!HD$1),1)</f>
        <v>9.3000000000000007</v>
      </c>
      <c r="HE8" s="4">
        <f>ROUND((csv!$HG8/10+calc!HE$1),1)</f>
        <v>9.4</v>
      </c>
      <c r="HF8" s="4">
        <f>ROUND((csv!$HG8/10+calc!HF$1),1)</f>
        <v>9.5</v>
      </c>
      <c r="HG8" s="4">
        <f>ROUND((csv!$HG8/10+calc!HG$1),1)</f>
        <v>9.6</v>
      </c>
      <c r="HH8" s="4">
        <f>ROUND((csv!$HG8/10+calc!HH$1),1)</f>
        <v>9.6999999999999993</v>
      </c>
      <c r="HI8" s="4">
        <f>ROUND((csv!$HG8/10+calc!HI$1),1)</f>
        <v>9.8000000000000007</v>
      </c>
      <c r="HJ8" s="4">
        <f>ROUND((csv!$HG8/10+calc!HJ$1),1)</f>
        <v>9.9</v>
      </c>
      <c r="HK8" s="4">
        <f>ROUND((csv!$HG8/10+calc!HK$1),1)</f>
        <v>10</v>
      </c>
      <c r="HM8" s="2">
        <f>csv!A8*10000+csv!B8*100+csv!C8</f>
        <v>0</v>
      </c>
      <c r="HN8" s="5">
        <f>IF(ISERROR(LOOKUP(HN$1,$S8:$HK8,csv!$L8:$HD8)),NA(),LOOKUP(HN$1,$S8:$HK8,csv!$L8:$HD8))</f>
        <v>0</v>
      </c>
      <c r="HO8" s="5">
        <f>IF(ISERROR(LOOKUP(HO$1,$S8:$HK8,csv!$L8:$HD8)),NA(),LOOKUP(HO$1,$S8:$HK8,csv!$L8:$HD8))</f>
        <v>0</v>
      </c>
      <c r="HP8" s="5">
        <f>IF(ISERROR(LOOKUP(HP$1,$S8:$HK8,csv!$L8:$HD8)),NA(),LOOKUP(HP$1,$S8:$HK8,csv!$L8:$HD8))</f>
        <v>0</v>
      </c>
      <c r="HQ8" s="5">
        <f>IF(ISERROR(LOOKUP(HQ$1,$S8:$HK8,csv!$L8:$HD8)),NA(),LOOKUP(HQ$1,$S8:$HK8,csv!$L8:$HD8))</f>
        <v>0</v>
      </c>
      <c r="HR8" s="5">
        <f>IF(ISERROR(LOOKUP(HR$1,$S8:$HK8,csv!$L8:$HD8)),NA(),LOOKUP(HR$1,$S8:$HK8,csv!$L8:$HD8))</f>
        <v>0</v>
      </c>
      <c r="HS8" s="5">
        <f>IF(ISERROR(LOOKUP(HS$1,$S8:$HK8,csv!$L8:$HD8)),NA(),LOOKUP(HS$1,$S8:$HK8,csv!$L8:$HD8))</f>
        <v>0</v>
      </c>
      <c r="HT8" s="5">
        <f>IF(ISERROR(LOOKUP(HT$1,$S8:$HK8,csv!$L8:$HD8)),NA(),LOOKUP(HT$1,$S8:$HK8,csv!$L8:$HD8))</f>
        <v>0</v>
      </c>
      <c r="HU8" s="5">
        <f>IF(ISERROR(LOOKUP(HU$1,$S8:$HK8,csv!$L8:$HD8)),NA(),LOOKUP(HU$1,$S8:$HK8,csv!$L8:$HD8))</f>
        <v>0</v>
      </c>
      <c r="HV8" s="5">
        <f>IF(ISERROR(LOOKUP(HV$1,$S8:$HK8,csv!$L8:$HD8)),NA(),LOOKUP(HV$1,$S8:$HK8,csv!$L8:$HD8))</f>
        <v>0</v>
      </c>
      <c r="HW8" s="5">
        <f>IF(ISERROR(LOOKUP(HW$1,$S8:$HK8,csv!$L8:$HD8)),NA(),LOOKUP(HW$1,$S8:$HK8,csv!$L8:$HD8))</f>
        <v>0</v>
      </c>
      <c r="HX8" s="5">
        <f>IF(ISERROR(LOOKUP(HX$1,$S8:$HK8,csv!$L8:$HD8)),NA(),LOOKUP(HX$1,$S8:$HK8,csv!$L8:$HD8))</f>
        <v>0</v>
      </c>
      <c r="HY8" s="5">
        <f>IF(ISERROR(LOOKUP(HY$1,$S8:$HK8,csv!$L8:$HD8)),NA(),LOOKUP(HY$1,$S8:$HK8,csv!$L8:$HD8))</f>
        <v>0</v>
      </c>
      <c r="HZ8" s="5">
        <f>IF(ISERROR(LOOKUP(HZ$1,$S8:$HK8,csv!$L8:$HD8)),NA(),LOOKUP(HZ$1,$S8:$HK8,csv!$L8:$HD8))</f>
        <v>0</v>
      </c>
      <c r="IA8" s="5">
        <f>IF(ISERROR(LOOKUP(IA$1,$S8:$HK8,csv!$L8:$HD8)),NA(),LOOKUP(IA$1,$S8:$HK8,csv!$L8:$HD8))</f>
        <v>0</v>
      </c>
      <c r="IB8" s="5">
        <f>IF(ISERROR(LOOKUP(IB$1,$S8:$HK8,csv!$L8:$HD8)),NA(),LOOKUP(IB$1,$S8:$HK8,csv!$L8:$HD8))</f>
        <v>0</v>
      </c>
      <c r="IC8" s="5">
        <f>IF(ISERROR(LOOKUP(IC$1,$S8:$HK8,csv!$L8:$HD8)),NA(),LOOKUP(IC$1,$S8:$HK8,csv!$L8:$HD8))</f>
        <v>0</v>
      </c>
      <c r="ID8" s="5">
        <f>IF(ISERROR(LOOKUP(ID$1,$S8:$HK8,csv!$L8:$HD8)),NA(),LOOKUP(ID$1,$S8:$HK8,csv!$L8:$HD8))</f>
        <v>0</v>
      </c>
      <c r="IE8" s="5">
        <f>IF(ISERROR(LOOKUP(IE$1,$S8:$HK8,csv!$L8:$HD8)),NA(),LOOKUP(IE$1,$S8:$HK8,csv!$L8:$HD8))</f>
        <v>0</v>
      </c>
      <c r="IF8" s="5">
        <f>IF(ISERROR(LOOKUP(IF$1,$S8:$HK8,csv!$L8:$HD8)),NA(),LOOKUP(IF$1,$S8:$HK8,csv!$L8:$HD8))</f>
        <v>0</v>
      </c>
      <c r="IG8" s="5">
        <f>IF(ISERROR(LOOKUP(IG$1,$S8:$HK8,csv!$L8:$HD8)),NA(),LOOKUP(IG$1,$S8:$HK8,csv!$L8:$HD8))</f>
        <v>0</v>
      </c>
      <c r="IH8" s="5">
        <f>IF(ISERROR(LOOKUP(IH$1,$S8:$HK8,csv!$L8:$HD8)),NA(),LOOKUP(IH$1,$S8:$HK8,csv!$L8:$HD8))</f>
        <v>0</v>
      </c>
      <c r="II8" s="5">
        <f>IF(ISERROR(LOOKUP(II$1,$S8:$HK8,csv!$L8:$HD8)),NA(),LOOKUP(II$1,$S8:$HK8,csv!$L8:$HD8))</f>
        <v>0</v>
      </c>
      <c r="IJ8" s="5">
        <f>IF(ISERROR(LOOKUP(IJ$1,$S8:$HK8,csv!$L8:$HD8)),NA(),LOOKUP(IJ$1,$S8:$HK8,csv!$L8:$HD8))</f>
        <v>0</v>
      </c>
      <c r="IK8" s="5">
        <f>IF(ISERROR(LOOKUP(IK$1,$S8:$HK8,csv!$L8:$HD8)),NA(),LOOKUP(IK$1,$S8:$HK8,csv!$L8:$HD8))</f>
        <v>0</v>
      </c>
      <c r="IL8" s="5">
        <f>IF(ISERROR(LOOKUP(IL$1,$S8:$HK8,csv!$L8:$HD8)),NA(),LOOKUP(IL$1,$S8:$HK8,csv!$L8:$HD8))</f>
        <v>0</v>
      </c>
      <c r="IM8" s="5">
        <f>IF(ISERROR(LOOKUP(IM$1,$S8:$HK8,csv!$L8:$HD8)),NA(),LOOKUP(IM$1,$S8:$HK8,csv!$L8:$HD8))</f>
        <v>0</v>
      </c>
      <c r="IN8" s="5">
        <f>IF(ISERROR(LOOKUP(IN$1,$S8:$HK8,csv!$L8:$HD8)),NA(),LOOKUP(IN$1,$S8:$HK8,csv!$L8:$HD8))</f>
        <v>0</v>
      </c>
      <c r="IO8" s="5">
        <f>IF(ISERROR(LOOKUP(IO$1,$S8:$HK8,csv!$L8:$HD8)),NA(),LOOKUP(IO$1,$S8:$HK8,csv!$L8:$HD8))</f>
        <v>0</v>
      </c>
      <c r="IP8" s="5">
        <f>IF(ISERROR(LOOKUP(IP$1,$S8:$HK8,csv!$L8:$HD8)),NA(),LOOKUP(IP$1,$S8:$HK8,csv!$L8:$HD8))</f>
        <v>0</v>
      </c>
      <c r="IQ8" s="5">
        <f>IF(ISERROR(LOOKUP(IQ$1,$S8:$HK8,csv!$L8:$HD8)),NA(),LOOKUP(IQ$1,$S8:$HK8,csv!$L8:$HD8))</f>
        <v>0</v>
      </c>
      <c r="IR8" s="5">
        <f>IF(ISERROR(LOOKUP(IR$1,$S8:$HK8,csv!$L8:$HD8)),NA(),LOOKUP(IR$1,$S8:$HK8,csv!$L8:$HD8))</f>
        <v>0</v>
      </c>
      <c r="IS8" s="5">
        <f>IF(ISERROR(LOOKUP(IS$1,$S8:$HK8,csv!$L8:$HD8)),NA(),LOOKUP(IS$1,$S8:$HK8,csv!$L8:$HD8))</f>
        <v>0</v>
      </c>
      <c r="IT8" s="5">
        <f>IF(ISERROR(LOOKUP(IT$1,$S8:$HK8,csv!$L8:$HD8)),NA(),LOOKUP(IT$1,$S8:$HK8,csv!$L8:$HD8))</f>
        <v>0</v>
      </c>
      <c r="IU8" s="5">
        <f>IF(ISERROR(LOOKUP(IU$1,$S8:$HK8,csv!$L8:$HD8)),NA(),LOOKUP(IU$1,$S8:$HK8,csv!$L8:$HD8))</f>
        <v>0</v>
      </c>
      <c r="IV8" s="5">
        <f>IF(ISERROR(LOOKUP(IV$1,$S8:$HK8,csv!$L8:$HD8)),NA(),LOOKUP(IV$1,$S8:$HK8,csv!$L8:$HD8))</f>
        <v>0</v>
      </c>
      <c r="IW8" s="5">
        <f>IF(ISERROR(LOOKUP(IW$1,$S8:$HK8,csv!$L8:$HD8)),NA(),LOOKUP(IW$1,$S8:$HK8,csv!$L8:$HD8))</f>
        <v>0</v>
      </c>
      <c r="IX8" s="5">
        <f>IF(ISERROR(LOOKUP(IX$1,$S8:$HK8,csv!$L8:$HD8)),NA(),LOOKUP(IX$1,$S8:$HK8,csv!$L8:$HD8))</f>
        <v>0</v>
      </c>
      <c r="IY8" s="5">
        <f>IF(ISERROR(LOOKUP(IY$1,$S8:$HK8,csv!$L8:$HD8)),NA(),LOOKUP(IY$1,$S8:$HK8,csv!$L8:$HD8))</f>
        <v>0</v>
      </c>
      <c r="IZ8" s="5">
        <f>IF(ISERROR(LOOKUP(IZ$1,$S8:$HK8,csv!$L8:$HD8)),NA(),LOOKUP(IZ$1,$S8:$HK8,csv!$L8:$HD8))</f>
        <v>0</v>
      </c>
      <c r="JA8" s="5">
        <f>IF(ISERROR(LOOKUP(JA$1,$S8:$HK8,csv!$L8:$HD8)),NA(),LOOKUP(JA$1,$S8:$HK8,csv!$L8:$HD8))</f>
        <v>0</v>
      </c>
      <c r="JB8" s="5">
        <f>IF(ISERROR(LOOKUP(JB$1,$S8:$HK8,csv!$L8:$HD8)),NA(),LOOKUP(JB$1,$S8:$HK8,csv!$L8:$HD8))</f>
        <v>0</v>
      </c>
      <c r="JC8" s="5">
        <f>IF(ISERROR(LOOKUP(JC$1,$S8:$HK8,csv!$L8:$HD8)),NA(),LOOKUP(JC$1,$S8:$HK8,csv!$L8:$HD8))</f>
        <v>0</v>
      </c>
      <c r="JD8" s="5">
        <f>IF(ISERROR(LOOKUP(JD$1,$S8:$HK8,csv!$L8:$HD8)),NA(),LOOKUP(JD$1,$S8:$HK8,csv!$L8:$HD8))</f>
        <v>0</v>
      </c>
      <c r="JE8" s="5">
        <f>IF(ISERROR(LOOKUP(JE$1,$S8:$HK8,csv!$L8:$HD8)),NA(),LOOKUP(JE$1,$S8:$HK8,csv!$L8:$HD8))</f>
        <v>0</v>
      </c>
      <c r="JF8" s="5">
        <f>IF(ISERROR(LOOKUP(JF$1,$S8:$HK8,csv!$L8:$HD8)),NA(),LOOKUP(JF$1,$S8:$HK8,csv!$L8:$HD8))</f>
        <v>0</v>
      </c>
      <c r="JG8" s="5">
        <f>IF(ISERROR(LOOKUP(JG$1,$S8:$HK8,csv!$L8:$HD8)),NA(),LOOKUP(JG$1,$S8:$HK8,csv!$L8:$HD8))</f>
        <v>0</v>
      </c>
      <c r="JH8" s="5">
        <f>IF(ISERROR(LOOKUP(JH$1,$S8:$HK8,csv!$L8:$HD8)),NA(),LOOKUP(JH$1,$S8:$HK8,csv!$L8:$HD8))</f>
        <v>0</v>
      </c>
      <c r="JI8" s="5">
        <f>IF(ISERROR(LOOKUP(JI$1,$S8:$HK8,csv!$L8:$HD8)),NA(),LOOKUP(JI$1,$S8:$HK8,csv!$L8:$HD8))</f>
        <v>0</v>
      </c>
      <c r="JJ8" s="5">
        <f>IF(ISERROR(LOOKUP(JJ$1,$S8:$HK8,csv!$L8:$HD8)),NA(),LOOKUP(JJ$1,$S8:$HK8,csv!$L8:$HD8))</f>
        <v>0</v>
      </c>
      <c r="JK8" s="5">
        <f>IF(ISERROR(LOOKUP(JK$1,$S8:$HK8,csv!$L8:$HD8)),NA(),LOOKUP(JK$1,$S8:$HK8,csv!$L8:$HD8))</f>
        <v>0</v>
      </c>
      <c r="JL8" s="5">
        <f>IF(ISERROR(LOOKUP(JL$1,$S8:$HK8,csv!$L8:$HD8)),NA(),LOOKUP(JL$1,$S8:$HK8,csv!$L8:$HD8))</f>
        <v>0</v>
      </c>
      <c r="JM8" s="5">
        <f>IF(ISERROR(LOOKUP(JM$1,$S8:$HK8,csv!$L8:$HD8)),NA(),LOOKUP(JM$1,$S8:$HK8,csv!$L8:$HD8))</f>
        <v>0</v>
      </c>
      <c r="JN8" s="5">
        <f>IF(ISERROR(LOOKUP(JN$1,$S8:$HK8,csv!$L8:$HD8)),NA(),LOOKUP(JN$1,$S8:$HK8,csv!$L8:$HD8))</f>
        <v>0</v>
      </c>
      <c r="JO8" s="5">
        <f>IF(ISERROR(LOOKUP(JO$1,$S8:$HK8,csv!$L8:$HD8)),NA(),LOOKUP(JO$1,$S8:$HK8,csv!$L8:$HD8))</f>
        <v>0</v>
      </c>
      <c r="JP8" s="5">
        <f>IF(ISERROR(LOOKUP(JP$1,$S8:$HK8,csv!$L8:$HD8)),NA(),LOOKUP(JP$1,$S8:$HK8,csv!$L8:$HD8))</f>
        <v>0</v>
      </c>
      <c r="JQ8" s="5">
        <f>IF(ISERROR(LOOKUP(JQ$1,$S8:$HK8,csv!$L8:$HD8)),NA(),LOOKUP(JQ$1,$S8:$HK8,csv!$L8:$HD8))</f>
        <v>0</v>
      </c>
      <c r="JR8" s="5">
        <f>IF(ISERROR(LOOKUP(JR$1,$S8:$HK8,csv!$L8:$HD8)),NA(),LOOKUP(JR$1,$S8:$HK8,csv!$L8:$HD8))</f>
        <v>0</v>
      </c>
      <c r="JS8" s="5">
        <f>IF(ISERROR(LOOKUP(JS$1,$S8:$HK8,csv!$L8:$HD8)),NA(),LOOKUP(JS$1,$S8:$HK8,csv!$L8:$HD8))</f>
        <v>0</v>
      </c>
      <c r="JT8" s="5">
        <f>IF(ISERROR(LOOKUP(JT$1,$S8:$HK8,csv!$L8:$HD8)),NA(),LOOKUP(JT$1,$S8:$HK8,csv!$L8:$HD8))</f>
        <v>0</v>
      </c>
      <c r="JU8" s="5">
        <f>IF(ISERROR(LOOKUP(JU$1,$S8:$HK8,csv!$L8:$HD8)),NA(),LOOKUP(JU$1,$S8:$HK8,csv!$L8:$HD8))</f>
        <v>0</v>
      </c>
      <c r="JV8" s="5">
        <f>IF(ISERROR(LOOKUP(JV$1,$S8:$HK8,csv!$L8:$HD8)),NA(),LOOKUP(JV$1,$S8:$HK8,csv!$L8:$HD8))</f>
        <v>0</v>
      </c>
      <c r="JW8" s="5">
        <f>IF(ISERROR(LOOKUP(JW$1,$S8:$HK8,csv!$L8:$HD8)),NA(),LOOKUP(JW$1,$S8:$HK8,csv!$L8:$HD8))</f>
        <v>0</v>
      </c>
      <c r="JX8" s="5">
        <f>IF(ISERROR(LOOKUP(JX$1,$S8:$HK8,csv!$L8:$HD8)),NA(),LOOKUP(JX$1,$S8:$HK8,csv!$L8:$HD8))</f>
        <v>0</v>
      </c>
      <c r="JY8" s="5">
        <f>IF(ISERROR(LOOKUP(JY$1,$S8:$HK8,csv!$L8:$HD8)),NA(),LOOKUP(JY$1,$S8:$HK8,csv!$L8:$HD8))</f>
        <v>0</v>
      </c>
      <c r="JZ8" s="5">
        <f>IF(ISERROR(LOOKUP(JZ$1,$S8:$HK8,csv!$L8:$HD8)),NA(),LOOKUP(JZ$1,$S8:$HK8,csv!$L8:$HD8))</f>
        <v>0</v>
      </c>
      <c r="KA8" s="5">
        <f>IF(ISERROR(LOOKUP(KA$1,$S8:$HK8,csv!$L8:$HD8)),NA(),LOOKUP(KA$1,$S8:$HK8,csv!$L8:$HD8))</f>
        <v>0</v>
      </c>
      <c r="KB8" s="5">
        <f>IF(ISERROR(LOOKUP(KB$1,$S8:$HK8,csv!$L8:$HD8)),NA(),LOOKUP(KB$1,$S8:$HK8,csv!$L8:$HD8))</f>
        <v>0</v>
      </c>
      <c r="KC8" s="5">
        <f>IF(ISERROR(LOOKUP(KC$1,$S8:$HK8,csv!$L8:$HD8)),NA(),LOOKUP(KC$1,$S8:$HK8,csv!$L8:$HD8))</f>
        <v>0</v>
      </c>
      <c r="KD8" s="5">
        <f>IF(ISERROR(LOOKUP(KD$1,$S8:$HK8,csv!$L8:$HD8)),NA(),LOOKUP(KD$1,$S8:$HK8,csv!$L8:$HD8))</f>
        <v>0</v>
      </c>
      <c r="KE8" s="5">
        <f>IF(ISERROR(LOOKUP(KE$1,$S8:$HK8,csv!$L8:$HD8)),NA(),LOOKUP(KE$1,$S8:$HK8,csv!$L8:$HD8))</f>
        <v>0</v>
      </c>
      <c r="KF8" s="5">
        <f>IF(ISERROR(LOOKUP(KF$1,$S8:$HK8,csv!$L8:$HD8)),NA(),LOOKUP(KF$1,$S8:$HK8,csv!$L8:$HD8))</f>
        <v>0</v>
      </c>
      <c r="KG8" s="5">
        <f>IF(ISERROR(LOOKUP(KG$1,$S8:$HK8,csv!$L8:$HD8)),NA(),LOOKUP(KG$1,$S8:$HK8,csv!$L8:$HD8))</f>
        <v>0</v>
      </c>
      <c r="KH8" s="5">
        <f>IF(ISERROR(LOOKUP(KH$1,$S8:$HK8,csv!$L8:$HD8)),NA(),LOOKUP(KH$1,$S8:$HK8,csv!$L8:$HD8))</f>
        <v>0</v>
      </c>
      <c r="KI8" s="5">
        <f>IF(ISERROR(LOOKUP(KI$1,$S8:$HK8,csv!$L8:$HD8)),NA(),LOOKUP(KI$1,$S8:$HK8,csv!$L8:$HD8))</f>
        <v>0</v>
      </c>
      <c r="KJ8" s="5">
        <f>IF(ISERROR(LOOKUP(KJ$1,$S8:$HK8,csv!$L8:$HD8)),NA(),LOOKUP(KJ$1,$S8:$HK8,csv!$L8:$HD8))</f>
        <v>0</v>
      </c>
      <c r="KK8" s="5">
        <f>IF(ISERROR(LOOKUP(KK$1,$S8:$HK8,csv!$L8:$HD8)),NA(),LOOKUP(KK$1,$S8:$HK8,csv!$L8:$HD8))</f>
        <v>0</v>
      </c>
      <c r="KL8" s="5">
        <f>IF(ISERROR(LOOKUP(KL$1,$S8:$HK8,csv!$L8:$HD8)),NA(),LOOKUP(KL$1,$S8:$HK8,csv!$L8:$HD8))</f>
        <v>0</v>
      </c>
      <c r="KM8" s="5">
        <f>IF(ISERROR(LOOKUP(KM$1,$S8:$HK8,csv!$L8:$HD8)),NA(),LOOKUP(KM$1,$S8:$HK8,csv!$L8:$HD8))</f>
        <v>0</v>
      </c>
      <c r="KN8" s="5">
        <f>IF(ISERROR(LOOKUP(KN$1,$S8:$HK8,csv!$L8:$HD8)),NA(),LOOKUP(KN$1,$S8:$HK8,csv!$L8:$HD8))</f>
        <v>0</v>
      </c>
      <c r="KO8" s="5">
        <f>IF(ISERROR(LOOKUP(KO$1,$S8:$HK8,csv!$L8:$HD8)),NA(),LOOKUP(KO$1,$S8:$HK8,csv!$L8:$HD8))</f>
        <v>0</v>
      </c>
      <c r="KP8" s="5">
        <f>IF(ISERROR(LOOKUP(KP$1,$S8:$HK8,csv!$L8:$HD8)),NA(),LOOKUP(KP$1,$S8:$HK8,csv!$L8:$HD8))</f>
        <v>0</v>
      </c>
      <c r="KQ8" s="5">
        <f>IF(ISERROR(LOOKUP(KQ$1,$S8:$HK8,csv!$L8:$HD8)),NA(),LOOKUP(KQ$1,$S8:$HK8,csv!$L8:$HD8))</f>
        <v>0</v>
      </c>
      <c r="KR8" s="5">
        <f>IF(ISERROR(LOOKUP(KR$1,$S8:$HK8,csv!$L8:$HD8)),NA(),LOOKUP(KR$1,$S8:$HK8,csv!$L8:$HD8))</f>
        <v>0</v>
      </c>
      <c r="KS8" s="5">
        <f>IF(ISERROR(LOOKUP(KS$1,$S8:$HK8,csv!$L8:$HD8)),NA(),LOOKUP(KS$1,$S8:$HK8,csv!$L8:$HD8))</f>
        <v>0</v>
      </c>
      <c r="KT8" s="5">
        <f>IF(ISERROR(LOOKUP(KT$1,$S8:$HK8,csv!$L8:$HD8)),NA(),LOOKUP(KT$1,$S8:$HK8,csv!$L8:$HD8))</f>
        <v>0</v>
      </c>
      <c r="KU8" s="5">
        <f>IF(ISERROR(LOOKUP(KU$1,$S8:$HK8,csv!$L8:$HD8)),NA(),LOOKUP(KU$1,$S8:$HK8,csv!$L8:$HD8))</f>
        <v>0</v>
      </c>
      <c r="KV8" s="5">
        <f>IF(ISERROR(LOOKUP(KV$1,$S8:$HK8,csv!$L8:$HD8)),NA(),LOOKUP(KV$1,$S8:$HK8,csv!$L8:$HD8))</f>
        <v>0</v>
      </c>
      <c r="KW8" s="5">
        <f>IF(ISERROR(LOOKUP(KW$1,$S8:$HK8,csv!$L8:$HD8)),NA(),LOOKUP(KW$1,$S8:$HK8,csv!$L8:$HD8))</f>
        <v>0</v>
      </c>
      <c r="KX8" s="5">
        <f>IF(ISERROR(LOOKUP(KX$1,$S8:$HK8,csv!$L8:$HD8)),NA(),LOOKUP(KX$1,$S8:$HK8,csv!$L8:$HD8))</f>
        <v>0</v>
      </c>
      <c r="KY8" s="5">
        <f>IF(ISERROR(LOOKUP(KY$1,$S8:$HK8,csv!$L8:$HD8)),NA(),LOOKUP(KY$1,$S8:$HK8,csv!$L8:$HD8))</f>
        <v>0</v>
      </c>
      <c r="KZ8" s="5">
        <f>IF(ISERROR(LOOKUP(KZ$1,$S8:$HK8,csv!$L8:$HD8)),NA(),LOOKUP(KZ$1,$S8:$HK8,csv!$L8:$HD8))</f>
        <v>0</v>
      </c>
      <c r="LA8" s="5">
        <f>IF(ISERROR(LOOKUP(LA$1,$S8:$HK8,csv!$L8:$HD8)),NA(),LOOKUP(LA$1,$S8:$HK8,csv!$L8:$HD8))</f>
        <v>0</v>
      </c>
      <c r="LB8" s="5">
        <f>IF(ISERROR(LOOKUP(LB$1,$S8:$HK8,csv!$L8:$HD8)),NA(),LOOKUP(LB$1,$S8:$HK8,csv!$L8:$HD8))</f>
        <v>0</v>
      </c>
      <c r="LC8" s="5">
        <f>IF(ISERROR(LOOKUP(LC$1,$S8:$HK8,csv!$L8:$HD8)),NA(),LOOKUP(LC$1,$S8:$HK8,csv!$L8:$HD8))</f>
        <v>0</v>
      </c>
      <c r="LD8" s="5">
        <f>IF(ISERROR(LOOKUP(LD$1,$S8:$HK8,csv!$L8:$HD8)),NA(),LOOKUP(LD$1,$S8:$HK8,csv!$L8:$HD8))</f>
        <v>0</v>
      </c>
      <c r="LE8" s="5">
        <f>IF(ISERROR(LOOKUP(LE$1,$S8:$HK8,csv!$L8:$HD8)),NA(),LOOKUP(LE$1,$S8:$HK8,csv!$L8:$HD8))</f>
        <v>0</v>
      </c>
      <c r="LF8" s="5">
        <f>IF(ISERROR(LOOKUP(LF$1,$S8:$HK8,csv!$L8:$HD8)),NA(),LOOKUP(LF$1,$S8:$HK8,csv!$L8:$HD8))</f>
        <v>0</v>
      </c>
      <c r="LG8" s="5">
        <f>IF(ISERROR(LOOKUP(LG$1,$S8:$HK8,csv!$L8:$HD8)),NA(),LOOKUP(LG$1,$S8:$HK8,csv!$L8:$HD8))</f>
        <v>0</v>
      </c>
      <c r="LH8" s="5">
        <f>IF(ISERROR(LOOKUP(LH$1,$S8:$HK8,csv!$L8:$HD8)),NA(),LOOKUP(LH$1,$S8:$HK8,csv!$L8:$HD8))</f>
        <v>0</v>
      </c>
      <c r="LI8" s="5">
        <f>IF(ISERROR(LOOKUP(LI$1,$S8:$HK8,csv!$L8:$HD8)),NA(),LOOKUP(LI$1,$S8:$HK8,csv!$L8:$HD8))</f>
        <v>0</v>
      </c>
      <c r="LJ8" s="5">
        <f>IF(ISERROR(LOOKUP(LJ$1,$S8:$HK8,csv!$L8:$HD8)),NA(),LOOKUP(LJ$1,$S8:$HK8,csv!$L8:$HD8))</f>
        <v>0</v>
      </c>
      <c r="LK8" s="5">
        <f>IF(ISERROR(LOOKUP(LK$1,$S8:$HK8,csv!$L8:$HD8)),NA(),LOOKUP(LK$1,$S8:$HK8,csv!$L8:$HD8))</f>
        <v>0</v>
      </c>
      <c r="LL8" s="5">
        <f>IF(ISERROR(LOOKUP(LL$1,$S8:$HK8,csv!$L8:$HD8)),NA(),LOOKUP(LL$1,$S8:$HK8,csv!$L8:$HD8))</f>
        <v>0</v>
      </c>
      <c r="LM8" s="5">
        <f>IF(ISERROR(LOOKUP(LM$1,$S8:$HK8,csv!$L8:$HD8)),NA(),LOOKUP(LM$1,$S8:$HK8,csv!$L8:$HD8))</f>
        <v>0</v>
      </c>
      <c r="LN8" s="5">
        <f>IF(ISERROR(LOOKUP(LN$1,$S8:$HK8,csv!$L8:$HD8)),NA(),LOOKUP(LN$1,$S8:$HK8,csv!$L8:$HD8))</f>
        <v>0</v>
      </c>
      <c r="LO8" s="5">
        <f>IF(ISERROR(LOOKUP(LO$1,$S8:$HK8,csv!$L8:$HD8)),NA(),LOOKUP(LO$1,$S8:$HK8,csv!$L8:$HD8))</f>
        <v>0</v>
      </c>
      <c r="LP8" s="5">
        <f>IF(ISERROR(LOOKUP(LP$1,$S8:$HK8,csv!$L8:$HD8)),NA(),LOOKUP(LP$1,$S8:$HK8,csv!$L8:$HD8))</f>
        <v>0</v>
      </c>
      <c r="LQ8" s="5">
        <f>IF(ISERROR(LOOKUP(LQ$1,$S8:$HK8,csv!$L8:$HD8)),NA(),LOOKUP(LQ$1,$S8:$HK8,csv!$L8:$HD8))</f>
        <v>0</v>
      </c>
      <c r="LR8" s="5">
        <f>IF(ISERROR(LOOKUP(LR$1,$S8:$HK8,csv!$L8:$HD8)),NA(),LOOKUP(LR$1,$S8:$HK8,csv!$L8:$HD8))</f>
        <v>0</v>
      </c>
      <c r="LS8" s="5">
        <f>IF(ISERROR(LOOKUP(LS$1,$S8:$HK8,csv!$L8:$HD8)),NA(),LOOKUP(LS$1,$S8:$HK8,csv!$L8:$HD8))</f>
        <v>0</v>
      </c>
      <c r="LT8" s="5">
        <f>IF(ISERROR(LOOKUP(LT$1,$S8:$HK8,csv!$L8:$HD8)),NA(),LOOKUP(LT$1,$S8:$HK8,csv!$L8:$HD8))</f>
        <v>0</v>
      </c>
      <c r="LU8" s="5">
        <f>IF(ISERROR(LOOKUP(LU$1,$S8:$HK8,csv!$L8:$HD8)),NA(),LOOKUP(LU$1,$S8:$HK8,csv!$L8:$HD8))</f>
        <v>0</v>
      </c>
      <c r="LV8" s="5">
        <f>IF(ISERROR(LOOKUP(LV$1,$S8:$HK8,csv!$L8:$HD8)),NA(),LOOKUP(LV$1,$S8:$HK8,csv!$L8:$HD8))</f>
        <v>0</v>
      </c>
      <c r="LW8" s="5">
        <f>IF(ISERROR(LOOKUP(LW$1,$S8:$HK8,csv!$L8:$HD8)),NA(),LOOKUP(LW$1,$S8:$HK8,csv!$L8:$HD8))</f>
        <v>0</v>
      </c>
      <c r="LX8" s="5">
        <f>IF(ISERROR(LOOKUP(LX$1,$S8:$HK8,csv!$L8:$HD8)),NA(),LOOKUP(LX$1,$S8:$HK8,csv!$L8:$HD8))</f>
        <v>0</v>
      </c>
      <c r="LY8" s="5">
        <f>IF(ISERROR(LOOKUP(LY$1,$S8:$HK8,csv!$L8:$HD8)),NA(),LOOKUP(LY$1,$S8:$HK8,csv!$L8:$HD8))</f>
        <v>0</v>
      </c>
      <c r="LZ8" s="5">
        <f>IF(ISERROR(LOOKUP(LZ$1,$S8:$HK8,csv!$L8:$HD8)),NA(),LOOKUP(LZ$1,$S8:$HK8,csv!$L8:$HD8))</f>
        <v>0</v>
      </c>
      <c r="MA8" s="5">
        <f>IF(ISERROR(LOOKUP(MA$1,$S8:$HK8,csv!$L8:$HD8)),NA(),LOOKUP(MA$1,$S8:$HK8,csv!$L8:$HD8))</f>
        <v>0</v>
      </c>
      <c r="MB8" s="5">
        <f>IF(ISERROR(LOOKUP(MB$1,$S8:$HK8,csv!$L8:$HD8)),NA(),LOOKUP(MB$1,$S8:$HK8,csv!$L8:$HD8))</f>
        <v>0</v>
      </c>
      <c r="MC8" s="5">
        <f>IF(ISERROR(LOOKUP(MC$1,$S8:$HK8,csv!$L8:$HD8)),NA(),LOOKUP(MC$1,$S8:$HK8,csv!$L8:$HD8))</f>
        <v>0</v>
      </c>
      <c r="MD8" s="5">
        <f>IF(ISERROR(LOOKUP(MD$1,$S8:$HK8,csv!$L8:$HD8)),NA(),LOOKUP(MD$1,$S8:$HK8,csv!$L8:$HD8))</f>
        <v>0</v>
      </c>
      <c r="ME8" s="5">
        <f>IF(ISERROR(LOOKUP(ME$1,$S8:$HK8,csv!$L8:$HD8)),NA(),LOOKUP(ME$1,$S8:$HK8,csv!$L8:$HD8))</f>
        <v>0</v>
      </c>
      <c r="MF8" s="5">
        <f>IF(ISERROR(LOOKUP(MF$1,$S8:$HK8,csv!$L8:$HD8)),NA(),LOOKUP(MF$1,$S8:$HK8,csv!$L8:$HD8))</f>
        <v>0</v>
      </c>
      <c r="MG8" s="5">
        <f>IF(ISERROR(LOOKUP(MG$1,$S8:$HK8,csv!$L8:$HD8)),NA(),LOOKUP(MG$1,$S8:$HK8,csv!$L8:$HD8))</f>
        <v>0</v>
      </c>
      <c r="MH8" s="5">
        <f>IF(ISERROR(LOOKUP(MH$1,$S8:$HK8,csv!$L8:$HD8)),NA(),LOOKUP(MH$1,$S8:$HK8,csv!$L8:$HD8))</f>
        <v>0</v>
      </c>
      <c r="MI8" s="5">
        <f>IF(ISERROR(LOOKUP(MI$1,$S8:$HK8,csv!$L8:$HD8)),NA(),LOOKUP(MI$1,$S8:$HK8,csv!$L8:$HD8))</f>
        <v>0</v>
      </c>
      <c r="MJ8" s="5">
        <f>IF(ISERROR(LOOKUP(MJ$1,$S8:$HK8,csv!$L8:$HD8)),NA(),LOOKUP(MJ$1,$S8:$HK8,csv!$L8:$HD8))</f>
        <v>0</v>
      </c>
      <c r="MK8" s="5">
        <f>IF(ISERROR(LOOKUP(MK$1,$S8:$HK8,csv!$L8:$HD8)),NA(),LOOKUP(MK$1,$S8:$HK8,csv!$L8:$HD8))</f>
        <v>0</v>
      </c>
      <c r="ML8" s="5">
        <f>IF(ISERROR(LOOKUP(ML$1,$S8:$HK8,csv!$L8:$HD8)),NA(),LOOKUP(ML$1,$S8:$HK8,csv!$L8:$HD8))</f>
        <v>0</v>
      </c>
      <c r="MM8" s="5">
        <f>IF(ISERROR(LOOKUP(MM$1,$S8:$HK8,csv!$L8:$HD8)),NA(),LOOKUP(MM$1,$S8:$HK8,csv!$L8:$HD8))</f>
        <v>0</v>
      </c>
      <c r="MN8" s="5">
        <f>IF(ISERROR(LOOKUP(MN$1,$S8:$HK8,csv!$L8:$HD8)),NA(),LOOKUP(MN$1,$S8:$HK8,csv!$L8:$HD8))</f>
        <v>0</v>
      </c>
      <c r="MO8" s="5">
        <f>IF(ISERROR(LOOKUP(MO$1,$S8:$HK8,csv!$L8:$HD8)),NA(),LOOKUP(MO$1,$S8:$HK8,csv!$L8:$HD8))</f>
        <v>0</v>
      </c>
      <c r="MP8" s="5">
        <f>IF(ISERROR(LOOKUP(MP$1,$S8:$HK8,csv!$L8:$HD8)),NA(),LOOKUP(MP$1,$S8:$HK8,csv!$L8:$HD8))</f>
        <v>0</v>
      </c>
      <c r="MQ8" s="5">
        <f>IF(ISERROR(LOOKUP(MQ$1,$S8:$HK8,csv!$L8:$HD8)),NA(),LOOKUP(MQ$1,$S8:$HK8,csv!$L8:$HD8))</f>
        <v>0</v>
      </c>
      <c r="MR8" s="5">
        <f>IF(ISERROR(LOOKUP(MR$1,$S8:$HK8,csv!$L8:$HD8)),NA(),LOOKUP(MR$1,$S8:$HK8,csv!$L8:$HD8))</f>
        <v>0</v>
      </c>
      <c r="MS8" s="5">
        <f>IF(ISERROR(LOOKUP(MS$1,$S8:$HK8,csv!$L8:$HD8)),NA(),LOOKUP(MS$1,$S8:$HK8,csv!$L8:$HD8))</f>
        <v>0</v>
      </c>
      <c r="MT8" s="5">
        <f>IF(ISERROR(LOOKUP(MT$1,$S8:$HK8,csv!$L8:$HD8)),NA(),LOOKUP(MT$1,$S8:$HK8,csv!$L8:$HD8))</f>
        <v>0</v>
      </c>
      <c r="MU8" s="5">
        <f>IF(ISERROR(LOOKUP(MU$1,$S8:$HK8,csv!$L8:$HD8)),NA(),LOOKUP(MU$1,$S8:$HK8,csv!$L8:$HD8))</f>
        <v>0</v>
      </c>
      <c r="MV8" s="5">
        <f>IF(ISERROR(LOOKUP(MV$1,$S8:$HK8,csv!$L8:$HD8)),NA(),LOOKUP(MV$1,$S8:$HK8,csv!$L8:$HD8))</f>
        <v>0</v>
      </c>
      <c r="MW8" s="5">
        <f>IF(ISERROR(LOOKUP(MW$1,$S8:$HK8,csv!$L8:$HD8)),NA(),LOOKUP(MW$1,$S8:$HK8,csv!$L8:$HD8))</f>
        <v>0</v>
      </c>
      <c r="MX8" s="5">
        <f>IF(ISERROR(LOOKUP(MX$1,$S8:$HK8,csv!$L8:$HD8)),NA(),LOOKUP(MX$1,$S8:$HK8,csv!$L8:$HD8))</f>
        <v>0</v>
      </c>
      <c r="MY8" s="5">
        <f>IF(ISERROR(LOOKUP(MY$1,$S8:$HK8,csv!$L8:$HD8)),NA(),LOOKUP(MY$1,$S8:$HK8,csv!$L8:$HD8))</f>
        <v>0</v>
      </c>
      <c r="MZ8" s="5">
        <f>IF(ISERROR(LOOKUP(MZ$1,$S8:$HK8,csv!$L8:$HD8)),NA(),LOOKUP(MZ$1,$S8:$HK8,csv!$L8:$HD8))</f>
        <v>0</v>
      </c>
      <c r="NA8" s="5">
        <f>IF(ISERROR(LOOKUP(NA$1,$S8:$HK8,csv!$L8:$HD8)),NA(),LOOKUP(NA$1,$S8:$HK8,csv!$L8:$HD8))</f>
        <v>0</v>
      </c>
      <c r="NB8" s="5">
        <f>IF(ISERROR(LOOKUP(NB$1,$S8:$HK8,csv!$L8:$HD8)),NA(),LOOKUP(NB$1,$S8:$HK8,csv!$L8:$HD8))</f>
        <v>0</v>
      </c>
      <c r="NC8" s="5">
        <f>IF(ISERROR(LOOKUP(NC$1,$S8:$HK8,csv!$L8:$HD8)),NA(),LOOKUP(NC$1,$S8:$HK8,csv!$L8:$HD8))</f>
        <v>0</v>
      </c>
      <c r="ND8" s="5">
        <f>IF(ISERROR(LOOKUP(ND$1,$S8:$HK8,csv!$L8:$HD8)),NA(),LOOKUP(ND$1,$S8:$HK8,csv!$L8:$HD8))</f>
        <v>0</v>
      </c>
      <c r="NE8" s="5">
        <f>IF(ISERROR(LOOKUP(NE$1,$S8:$HK8,csv!$L8:$HD8)),NA(),LOOKUP(NE$1,$S8:$HK8,csv!$L8:$HD8))</f>
        <v>0</v>
      </c>
      <c r="NF8" s="5">
        <f>IF(ISERROR(LOOKUP(NF$1,$S8:$HK8,csv!$L8:$HD8)),NA(),LOOKUP(NF$1,$S8:$HK8,csv!$L8:$HD8))</f>
        <v>0</v>
      </c>
      <c r="NG8" s="5">
        <f>IF(ISERROR(LOOKUP(NG$1,$S8:$HK8,csv!$L8:$HD8)),NA(),LOOKUP(NG$1,$S8:$HK8,csv!$L8:$HD8))</f>
        <v>0</v>
      </c>
      <c r="NH8" s="5">
        <f>IF(ISERROR(LOOKUP(NH$1,$S8:$HK8,csv!$L8:$HD8)),NA(),LOOKUP(NH$1,$S8:$HK8,csv!$L8:$HD8))</f>
        <v>0</v>
      </c>
      <c r="NI8" s="5">
        <f>IF(ISERROR(LOOKUP(NI$1,$S8:$HK8,csv!$L8:$HD8)),NA(),LOOKUP(NI$1,$S8:$HK8,csv!$L8:$HD8))</f>
        <v>0</v>
      </c>
      <c r="NJ8" s="5">
        <f>IF(ISERROR(LOOKUP(NJ$1,$S8:$HK8,csv!$L8:$HD8)),NA(),LOOKUP(NJ$1,$S8:$HK8,csv!$L8:$HD8))</f>
        <v>0</v>
      </c>
      <c r="NK8" s="5">
        <f>IF(ISERROR(LOOKUP(NK$1,$S8:$HK8,csv!$L8:$HD8)),NA(),LOOKUP(NK$1,$S8:$HK8,csv!$L8:$HD8))</f>
        <v>0</v>
      </c>
      <c r="NL8" s="5">
        <f>IF(ISERROR(LOOKUP(NL$1,$S8:$HK8,csv!$L8:$HD8)),NA(),LOOKUP(NL$1,$S8:$HK8,csv!$L8:$HD8))</f>
        <v>0</v>
      </c>
      <c r="NM8" s="5">
        <f>IF(ISERROR(LOOKUP(NM$1,$S8:$HK8,csv!$L8:$HD8)),NA(),LOOKUP(NM$1,$S8:$HK8,csv!$L8:$HD8))</f>
        <v>0</v>
      </c>
      <c r="NN8" s="5">
        <f>IF(ISERROR(LOOKUP(NN$1,$S8:$HK8,csv!$L8:$HD8)),NA(),LOOKUP(NN$1,$S8:$HK8,csv!$L8:$HD8))</f>
        <v>0</v>
      </c>
      <c r="NO8" s="5">
        <f>IF(ISERROR(LOOKUP(NO$1,$S8:$HK8,csv!$L8:$HD8)),NA(),LOOKUP(NO$1,$S8:$HK8,csv!$L8:$HD8))</f>
        <v>0</v>
      </c>
      <c r="NP8" s="5">
        <f>IF(ISERROR(LOOKUP(NP$1,$S8:$HK8,csv!$L8:$HD8)),NA(),LOOKUP(NP$1,$S8:$HK8,csv!$L8:$HD8))</f>
        <v>0</v>
      </c>
      <c r="NQ8" s="5">
        <f>IF(ISERROR(LOOKUP(NQ$1,$S8:$HK8,csv!$L8:$HD8)),NA(),LOOKUP(NQ$1,$S8:$HK8,csv!$L8:$HD8))</f>
        <v>0</v>
      </c>
      <c r="NR8" s="5">
        <f>IF(ISERROR(LOOKUP(NR$1,$S8:$HK8,csv!$L8:$HD8)),NA(),LOOKUP(NR$1,$S8:$HK8,csv!$L8:$HD8))</f>
        <v>0</v>
      </c>
      <c r="NS8" s="5">
        <f>IF(ISERROR(LOOKUP(NS$1,$S8:$HK8,csv!$L8:$HD8)),NA(),LOOKUP(NS$1,$S8:$HK8,csv!$L8:$HD8))</f>
        <v>0</v>
      </c>
      <c r="NT8" s="5">
        <f>IF(ISERROR(LOOKUP(NT$1,$S8:$HK8,csv!$L8:$HD8)),NA(),LOOKUP(NT$1,$S8:$HK8,csv!$L8:$HD8))</f>
        <v>0</v>
      </c>
      <c r="NU8" s="5">
        <f>IF(ISERROR(LOOKUP(NU$1,$S8:$HK8,csv!$L8:$HD8)),NA(),LOOKUP(NU$1,$S8:$HK8,csv!$L8:$HD8))</f>
        <v>0</v>
      </c>
      <c r="NV8" s="5">
        <f>IF(ISERROR(LOOKUP(NV$1,$S8:$HK8,csv!$L8:$HD8)),NA(),LOOKUP(NV$1,$S8:$HK8,csv!$L8:$HD8))</f>
        <v>0</v>
      </c>
      <c r="NW8" s="5">
        <f>IF(ISERROR(LOOKUP(NW$1,$S8:$HK8,csv!$L8:$HD8)),NA(),LOOKUP(NW$1,$S8:$HK8,csv!$L8:$HD8))</f>
        <v>0</v>
      </c>
      <c r="NX8" s="5">
        <f>IF(ISERROR(LOOKUP(NX$1,$S8:$HK8,csv!$L8:$HD8)),NA(),LOOKUP(NX$1,$S8:$HK8,csv!$L8:$HD8))</f>
        <v>0</v>
      </c>
      <c r="NY8" s="5">
        <f>IF(ISERROR(LOOKUP(NY$1,$S8:$HK8,csv!$L8:$HD8)),NA(),LOOKUP(NY$1,$S8:$HK8,csv!$L8:$HD8))</f>
        <v>0</v>
      </c>
      <c r="NZ8" s="5">
        <f>IF(ISERROR(LOOKUP(NZ$1,$S8:$HK8,csv!$L8:$HD8)),NA(),LOOKUP(NZ$1,$S8:$HK8,csv!$L8:$HD8))</f>
        <v>0</v>
      </c>
      <c r="OA8" s="5">
        <f>IF(ISERROR(LOOKUP(OA$1,$S8:$HK8,csv!$L8:$HD8)),NA(),LOOKUP(OA$1,$S8:$HK8,csv!$L8:$HD8))</f>
        <v>0</v>
      </c>
      <c r="OB8" s="5">
        <f>IF(ISERROR(LOOKUP(OB$1,$S8:$HK8,csv!$L8:$HD8)),NA(),LOOKUP(OB$1,$S8:$HK8,csv!$L8:$HD8))</f>
        <v>0</v>
      </c>
      <c r="OC8" s="5">
        <f>IF(ISERROR(LOOKUP(OC$1,$S8:$HK8,csv!$L8:$HD8)),NA(),LOOKUP(OC$1,$S8:$HK8,csv!$L8:$HD8))</f>
        <v>0</v>
      </c>
      <c r="OD8" s="5">
        <f>IF(ISERROR(LOOKUP(OD$1,$S8:$HK8,csv!$L8:$HD8)),NA(),LOOKUP(OD$1,$S8:$HK8,csv!$L8:$HD8))</f>
        <v>0</v>
      </c>
      <c r="OE8" s="5">
        <f>IF(ISERROR(LOOKUP(OE$1,$S8:$HK8,csv!$L8:$HD8)),NA(),LOOKUP(OE$1,$S8:$HK8,csv!$L8:$HD8))</f>
        <v>0</v>
      </c>
      <c r="OF8" s="5">
        <f>IF(ISERROR(LOOKUP(OF$1,$S8:$HK8,csv!$L8:$HD8)),NA(),LOOKUP(OF$1,$S8:$HK8,csv!$L8:$HD8))</f>
        <v>0</v>
      </c>
      <c r="OG8" s="5">
        <f>IF(ISERROR(LOOKUP(OG$1,$S8:$HK8,csv!$L8:$HD8)),NA(),LOOKUP(OG$1,$S8:$HK8,csv!$L8:$HD8))</f>
        <v>0</v>
      </c>
      <c r="OH8" s="5">
        <f>IF(ISERROR(LOOKUP(OH$1,$S8:$HK8,csv!$L8:$HD8)),NA(),LOOKUP(OH$1,$S8:$HK8,csv!$L8:$HD8))</f>
        <v>0</v>
      </c>
      <c r="OI8" s="5">
        <f>IF(ISERROR(LOOKUP(OI$1,$S8:$HK8,csv!$L8:$HD8)),NA(),LOOKUP(OI$1,$S8:$HK8,csv!$L8:$HD8))</f>
        <v>0</v>
      </c>
      <c r="OJ8" s="5">
        <f>IF(ISERROR(LOOKUP(OJ$1,$S8:$HK8,csv!$L8:$HD8)),NA(),LOOKUP(OJ$1,$S8:$HK8,csv!$L8:$HD8))</f>
        <v>0</v>
      </c>
      <c r="OK8" s="5">
        <f>IF(ISERROR(LOOKUP(OK$1,$S8:$HK8,csv!$L8:$HD8)),NA(),LOOKUP(OK$1,$S8:$HK8,csv!$L8:$HD8))</f>
        <v>0</v>
      </c>
      <c r="OL8" s="5">
        <f>IF(ISERROR(LOOKUP(OL$1,$S8:$HK8,csv!$L8:$HD8)),NA(),LOOKUP(OL$1,$S8:$HK8,csv!$L8:$HD8))</f>
        <v>0</v>
      </c>
      <c r="OM8" s="5">
        <f>IF(ISERROR(LOOKUP(OM$1,$S8:$HK8,csv!$L8:$HD8)),NA(),LOOKUP(OM$1,$S8:$HK8,csv!$L8:$HD8))</f>
        <v>0</v>
      </c>
      <c r="ON8" s="5">
        <f>IF(ISERROR(LOOKUP(ON$1,$S8:$HK8,csv!$L8:$HD8)),NA(),LOOKUP(ON$1,$S8:$HK8,csv!$L8:$HD8))</f>
        <v>0</v>
      </c>
      <c r="OO8" s="5">
        <f>IF(ISERROR(LOOKUP(OO$1,$S8:$HK8,csv!$L8:$HD8)),NA(),LOOKUP(OO$1,$S8:$HK8,csv!$L8:$HD8))</f>
        <v>0</v>
      </c>
      <c r="OP8" s="5">
        <f>IF(ISERROR(LOOKUP(OP$1,$S8:$HK8,csv!$L8:$HD8)),NA(),LOOKUP(OP$1,$S8:$HK8,csv!$L8:$HD8))</f>
        <v>0</v>
      </c>
      <c r="OQ8" s="5">
        <f>IF(ISERROR(LOOKUP(OQ$1,$S8:$HK8,csv!$L8:$HD8)),NA(),LOOKUP(OQ$1,$S8:$HK8,csv!$L8:$HD8))</f>
        <v>0</v>
      </c>
      <c r="OR8" s="5">
        <f>IF(ISERROR(LOOKUP(OR$1,$S8:$HK8,csv!$L8:$HD8)),NA(),LOOKUP(OR$1,$S8:$HK8,csv!$L8:$HD8))</f>
        <v>0</v>
      </c>
      <c r="OS8" s="5">
        <f>IF(ISERROR(LOOKUP(OS$1,$S8:$HK8,csv!$L8:$HD8)),NA(),LOOKUP(OS$1,$S8:$HK8,csv!$L8:$HD8))</f>
        <v>0</v>
      </c>
      <c r="OT8" s="5">
        <f>IF(ISERROR(LOOKUP(OT$1,$S8:$HK8,csv!$L8:$HD8)),NA(),LOOKUP(OT$1,$S8:$HK8,csv!$L8:$HD8))</f>
        <v>0</v>
      </c>
      <c r="OU8" s="5">
        <f>IF(ISERROR(LOOKUP(OU$1,$S8:$HK8,csv!$L8:$HD8)),NA(),LOOKUP(OU$1,$S8:$HK8,csv!$L8:$HD8))</f>
        <v>0</v>
      </c>
      <c r="OV8" s="5">
        <f>IF(ISERROR(LOOKUP(OV$1,$S8:$HK8,csv!$L8:$HD8)),NA(),LOOKUP(OV$1,$S8:$HK8,csv!$L8:$HD8))</f>
        <v>0</v>
      </c>
      <c r="OW8" s="5">
        <f>IF(ISERROR(LOOKUP(OW$1,$S8:$HK8,csv!$L8:$HD8)),NA(),LOOKUP(OW$1,$S8:$HK8,csv!$L8:$HD8))</f>
        <v>0</v>
      </c>
      <c r="OX8" s="5">
        <f>IF(ISERROR(LOOKUP(OX$1,$S8:$HK8,csv!$L8:$HD8)),NA(),LOOKUP(OX$1,$S8:$HK8,csv!$L8:$HD8))</f>
        <v>0</v>
      </c>
      <c r="OY8" s="5">
        <f>IF(ISERROR(LOOKUP(OY$1,$S8:$HK8,csv!$L8:$HD8)),NA(),LOOKUP(OY$1,$S8:$HK8,csv!$L8:$HD8))</f>
        <v>0</v>
      </c>
      <c r="OZ8" s="5">
        <f>IF(ISERROR(LOOKUP(OZ$1,$S8:$HK8,csv!$L8:$HD8)),NA(),LOOKUP(OZ$1,$S8:$HK8,csv!$L8:$HD8))</f>
        <v>0</v>
      </c>
      <c r="PA8" s="5">
        <f>IF(ISERROR(LOOKUP(PA$1,$S8:$HK8,csv!$L8:$HD8)),NA(),LOOKUP(PA$1,$S8:$HK8,csv!$L8:$HD8))</f>
        <v>0</v>
      </c>
      <c r="PB8" s="5">
        <f>IF(ISERROR(LOOKUP(PB$1,$S8:$HK8,csv!$L8:$HD8)),NA(),LOOKUP(PB$1,$S8:$HK8,csv!$L8:$HD8))</f>
        <v>0</v>
      </c>
      <c r="PC8" s="5">
        <f>IF(ISERROR(LOOKUP(PC$1,$S8:$HK8,csv!$L8:$HD8)),NA(),LOOKUP(PC$1,$S8:$HK8,csv!$L8:$HD8))</f>
        <v>0</v>
      </c>
      <c r="PD8" s="5">
        <f>IF(ISERROR(LOOKUP(PD$1,$S8:$HK8,csv!$L8:$HD8)),NA(),LOOKUP(PD$1,$S8:$HK8,csv!$L8:$HD8))</f>
        <v>0</v>
      </c>
      <c r="PE8" s="5">
        <f>IF(ISERROR(LOOKUP(PE$1,$S8:$HK8,csv!$L8:$HD8)),NA(),LOOKUP(PE$1,$S8:$HK8,csv!$L8:$HD8))</f>
        <v>0</v>
      </c>
      <c r="PF8" s="5">
        <f>IF(ISERROR(LOOKUP(PF$1,$S8:$HK8,csv!$L8:$HD8)),NA(),LOOKUP(PF$1,$S8:$HK8,csv!$L8:$HD8))</f>
        <v>0</v>
      </c>
      <c r="PG8" s="5">
        <f>IF(ISERROR(LOOKUP(PG$1,$S8:$HK8,csv!$L8:$HD8)),NA(),LOOKUP(PG$1,$S8:$HK8,csv!$L8:$HD8))</f>
        <v>0</v>
      </c>
      <c r="PH8" s="5">
        <f>IF(ISERROR(LOOKUP(PH$1,$S8:$HK8,csv!$L8:$HD8)),NA(),LOOKUP(PH$1,$S8:$HK8,csv!$L8:$HD8))</f>
        <v>0</v>
      </c>
      <c r="PI8" s="5">
        <f>IF(ISERROR(LOOKUP(PI$1,$S8:$HK8,csv!$L8:$HD8)),NA(),LOOKUP(PI$1,$S8:$HK8,csv!$L8:$HD8))</f>
        <v>0</v>
      </c>
      <c r="PJ8" s="5">
        <f>IF(ISERROR(LOOKUP(PJ$1,$S8:$HK8,csv!$L8:$HD8)),NA(),LOOKUP(PJ$1,$S8:$HK8,csv!$L8:$HD8))</f>
        <v>0</v>
      </c>
      <c r="PK8" s="5">
        <f>IF(ISERROR(LOOKUP(PK$1,$S8:$HK8,csv!$L8:$HD8)),NA(),LOOKUP(PK$1,$S8:$HK8,csv!$L8:$HD8))</f>
        <v>0</v>
      </c>
      <c r="PL8" s="5">
        <f>IF(ISERROR(LOOKUP(PL$1,$S8:$HK8,csv!$L8:$HD8)),NA(),LOOKUP(PL$1,$S8:$HK8,csv!$L8:$HD8))</f>
        <v>0</v>
      </c>
      <c r="PM8" s="5">
        <f>IF(ISERROR(LOOKUP(PM$1,$S8:$HK8,csv!$L8:$HD8)),NA(),LOOKUP(PM$1,$S8:$HK8,csv!$L8:$HD8))</f>
        <v>0</v>
      </c>
      <c r="PN8" s="5">
        <f>IF(ISERROR(LOOKUP(PN$1,$S8:$HK8,csv!$L8:$HD8)),NA(),LOOKUP(PN$1,$S8:$HK8,csv!$L8:$HD8))</f>
        <v>0</v>
      </c>
      <c r="PO8" s="5">
        <f>IF(ISERROR(LOOKUP(PO$1,$S8:$HK8,csv!$L8:$HD8)),NA(),LOOKUP(PO$1,$S8:$HK8,csv!$L8:$HD8))</f>
        <v>0</v>
      </c>
      <c r="PP8" s="5">
        <f>IF(ISERROR(LOOKUP(PP$1,$S8:$HK8,csv!$L8:$HD8)),NA(),LOOKUP(PP$1,$S8:$HK8,csv!$L8:$HD8))</f>
        <v>0</v>
      </c>
      <c r="PQ8" s="5">
        <f>IF(ISERROR(LOOKUP(PQ$1,$S8:$HK8,csv!$L8:$HD8)),NA(),LOOKUP(PQ$1,$S8:$HK8,csv!$L8:$HD8))</f>
        <v>0</v>
      </c>
      <c r="PR8" s="5">
        <f>IF(ISERROR(LOOKUP(PR$1,$S8:$HK8,csv!$L8:$HD8)),NA(),LOOKUP(PR$1,$S8:$HK8,csv!$L8:$HD8))</f>
        <v>0</v>
      </c>
      <c r="PS8" s="5">
        <f>IF(ISERROR(LOOKUP(PS$1,$S8:$HK8,csv!$L8:$HD8)),NA(),LOOKUP(PS$1,$S8:$HK8,csv!$L8:$HD8))</f>
        <v>0</v>
      </c>
      <c r="PT8" s="5">
        <f>IF(ISERROR(LOOKUP(PT$1,$S8:$HK8,csv!$L8:$HD8)),NA(),LOOKUP(PT$1,$S8:$HK8,csv!$L8:$HD8))</f>
        <v>0</v>
      </c>
      <c r="PU8" s="5">
        <f>IF(ISERROR(LOOKUP(PU$1,$S8:$HK8,csv!$L8:$HD8)),NA(),LOOKUP(PU$1,$S8:$HK8,csv!$L8:$HD8))</f>
        <v>0</v>
      </c>
      <c r="PV8" s="5">
        <f>IF(ISERROR(LOOKUP(PV$1,$S8:$HK8,csv!$L8:$HD8)),NA(),LOOKUP(PV$1,$S8:$HK8,csv!$L8:$HD8))</f>
        <v>0</v>
      </c>
      <c r="PW8" s="5">
        <f>IF(ISERROR(LOOKUP(PW$1,$S8:$HK8,csv!$L8:$HD8)),NA(),LOOKUP(PW$1,$S8:$HK8,csv!$L8:$HD8))</f>
        <v>0</v>
      </c>
      <c r="PX8" s="5">
        <f>IF(ISERROR(LOOKUP(PX$1,$S8:$HK8,csv!$L8:$HD8)),NA(),LOOKUP(PX$1,$S8:$HK8,csv!$L8:$HD8))</f>
        <v>0</v>
      </c>
      <c r="PY8" s="5">
        <f>IF(ISERROR(LOOKUP(PY$1,$S8:$HK8,csv!$L8:$HD8)),NA(),LOOKUP(PY$1,$S8:$HK8,csv!$L8:$HD8))</f>
        <v>0</v>
      </c>
      <c r="PZ8" s="5">
        <f>IF(ISERROR(LOOKUP(PZ$1,$S8:$HK8,csv!$L8:$HD8)),NA(),LOOKUP(PZ$1,$S8:$HK8,csv!$L8:$HD8))</f>
        <v>0</v>
      </c>
      <c r="QA8" s="5">
        <f>IF(ISERROR(LOOKUP(QA$1,$S8:$HK8,csv!$L8:$HD8)),NA(),LOOKUP(QA$1,$S8:$HK8,csv!$L8:$HD8))</f>
        <v>0</v>
      </c>
      <c r="QB8" s="5">
        <f>IF(ISERROR(LOOKUP(QB$1,$S8:$HK8,csv!$L8:$HD8)),NA(),LOOKUP(QB$1,$S8:$HK8,csv!$L8:$HD8))</f>
        <v>0</v>
      </c>
      <c r="QC8" s="5">
        <f>IF(ISERROR(LOOKUP(QC$1,$S8:$HK8,csv!$L8:$HD8)),NA(),LOOKUP(QC$1,$S8:$HK8,csv!$L8:$HD8))</f>
        <v>0</v>
      </c>
      <c r="QD8" s="5">
        <f>IF(ISERROR(LOOKUP(QD$1,$S8:$HK8,csv!$L8:$HD8)),NA(),LOOKUP(QD$1,$S8:$HK8,csv!$L8:$HD8))</f>
        <v>0</v>
      </c>
      <c r="QE8" s="5">
        <f>IF(ISERROR(LOOKUP(QE$1,$S8:$HK8,csv!$L8:$HD8)),NA(),LOOKUP(QE$1,$S8:$HK8,csv!$L8:$HD8))</f>
        <v>0</v>
      </c>
      <c r="QF8" s="5">
        <f>IF(ISERROR(LOOKUP(QF$1,$S8:$HK8,csv!$L8:$HD8)),NA(),LOOKUP(QF$1,$S8:$HK8,csv!$L8:$HD8))</f>
        <v>0</v>
      </c>
      <c r="QG8" s="5">
        <f>IF(ISERROR(LOOKUP(QG$1,$S8:$HK8,csv!$L8:$HD8)),NA(),LOOKUP(QG$1,$S8:$HK8,csv!$L8:$HD8))</f>
        <v>0</v>
      </c>
      <c r="QH8" s="5">
        <f>IF(ISERROR(LOOKUP(QH$1,$S8:$HK8,csv!$L8:$HD8)),NA(),LOOKUP(QH$1,$S8:$HK8,csv!$L8:$HD8))</f>
        <v>0</v>
      </c>
      <c r="QI8" s="5">
        <f>IF(ISERROR(LOOKUP(QI$1,$S8:$HK8,csv!$L8:$HD8)),NA(),LOOKUP(QI$1,$S8:$HK8,csv!$L8:$HD8))</f>
        <v>0</v>
      </c>
      <c r="QJ8" s="5">
        <f>IF(ISERROR(LOOKUP(QJ$1,$S8:$HK8,csv!$L8:$HD8)),NA(),LOOKUP(QJ$1,$S8:$HK8,csv!$L8:$HD8))</f>
        <v>0</v>
      </c>
      <c r="QK8" s="5">
        <f>IF(ISERROR(LOOKUP(QK$1,$S8:$HK8,csv!$L8:$HD8)),NA(),LOOKUP(QK$1,$S8:$HK8,csv!$L8:$HD8))</f>
        <v>0</v>
      </c>
      <c r="QL8" s="5">
        <f>IF(ISERROR(LOOKUP(QL$1,$S8:$HK8,csv!$L8:$HD8)),NA(),LOOKUP(QL$1,$S8:$HK8,csv!$L8:$HD8))</f>
        <v>0</v>
      </c>
      <c r="QM8" s="5">
        <f>IF(ISERROR(LOOKUP(QM$1,$S8:$HK8,csv!$L8:$HD8)),NA(),LOOKUP(QM$1,$S8:$HK8,csv!$L8:$HD8))</f>
        <v>0</v>
      </c>
      <c r="QN8" s="5">
        <f>IF(ISERROR(LOOKUP(QN$1,$S8:$HK8,csv!$L8:$HD8)),NA(),LOOKUP(QN$1,$S8:$HK8,csv!$L8:$HD8))</f>
        <v>0</v>
      </c>
      <c r="QO8" s="5">
        <f>IF(ISERROR(LOOKUP(QO$1,$S8:$HK8,csv!$L8:$HD8)),NA(),LOOKUP(QO$1,$S8:$HK8,csv!$L8:$HD8))</f>
        <v>0</v>
      </c>
      <c r="QP8" s="5">
        <f>IF(ISERROR(LOOKUP(QP$1,$S8:$HK8,csv!$L8:$HD8)),NA(),LOOKUP(QP$1,$S8:$HK8,csv!$L8:$HD8))</f>
        <v>0</v>
      </c>
      <c r="QQ8" s="5">
        <f>IF(ISERROR(LOOKUP(QQ$1,$S8:$HK8,csv!$L8:$HD8)),NA(),LOOKUP(QQ$1,$S8:$HK8,csv!$L8:$HD8))</f>
        <v>0</v>
      </c>
      <c r="QR8" s="5">
        <f>IF(ISERROR(LOOKUP(QR$1,$S8:$HK8,csv!$L8:$HD8)),NA(),LOOKUP(QR$1,$S8:$HK8,csv!$L8:$HD8))</f>
        <v>0</v>
      </c>
      <c r="QS8" s="5">
        <f>IF(ISERROR(LOOKUP(QS$1,$S8:$HK8,csv!$L8:$HD8)),NA(),LOOKUP(QS$1,$S8:$HK8,csv!$L8:$HD8))</f>
        <v>0</v>
      </c>
      <c r="QT8" s="5">
        <f>IF(ISERROR(LOOKUP(QT$1,$S8:$HK8,csv!$L8:$HD8)),NA(),LOOKUP(QT$1,$S8:$HK8,csv!$L8:$HD8))</f>
        <v>0</v>
      </c>
      <c r="QU8" s="5">
        <f>IF(ISERROR(LOOKUP(QU$1,$S8:$HK8,csv!$L8:$HD8)),NA(),LOOKUP(QU$1,$S8:$HK8,csv!$L8:$HD8))</f>
        <v>0</v>
      </c>
      <c r="QV8" s="5">
        <f>IF(ISERROR(LOOKUP(QV$1,$S8:$HK8,csv!$L8:$HD8)),NA(),LOOKUP(QV$1,$S8:$HK8,csv!$L8:$HD8))</f>
        <v>0</v>
      </c>
      <c r="QW8" s="5">
        <f>IF(ISERROR(LOOKUP(QW$1,$S8:$HK8,csv!$L8:$HD8)),NA(),LOOKUP(QW$1,$S8:$HK8,csv!$L8:$HD8))</f>
        <v>0</v>
      </c>
      <c r="QX8" s="5">
        <f>IF(ISERROR(LOOKUP(QX$1,$S8:$HK8,csv!$L8:$HD8)),NA(),LOOKUP(QX$1,$S8:$HK8,csv!$L8:$HD8))</f>
        <v>0</v>
      </c>
      <c r="QY8" s="5">
        <f>IF(ISERROR(LOOKUP(QY$1,$S8:$HK8,csv!$L8:$HD8)),NA(),LOOKUP(QY$1,$S8:$HK8,csv!$L8:$HD8))</f>
        <v>0</v>
      </c>
      <c r="QZ8" s="5">
        <f>IF(ISERROR(LOOKUP(QZ$1,$S8:$HK8,csv!$L8:$HD8)),NA(),LOOKUP(QZ$1,$S8:$HK8,csv!$L8:$HD8))</f>
        <v>0</v>
      </c>
      <c r="RA8" s="5">
        <f>IF(ISERROR(LOOKUP(RA$1,$S8:$HK8,csv!$L8:$HD8)),NA(),LOOKUP(RA$1,$S8:$HK8,csv!$L8:$HD8))</f>
        <v>0</v>
      </c>
      <c r="RB8" s="5">
        <f>IF(ISERROR(LOOKUP(RB$1,$S8:$HK8,csv!$L8:$HD8)),NA(),LOOKUP(RB$1,$S8:$HK8,csv!$L8:$HD8))</f>
        <v>0</v>
      </c>
      <c r="RC8" s="5">
        <f>IF(ISERROR(LOOKUP(RC$1,$S8:$HK8,csv!$L8:$HD8)),NA(),LOOKUP(RC$1,$S8:$HK8,csv!$L8:$HD8))</f>
        <v>0</v>
      </c>
      <c r="RD8" s="5">
        <f>IF(ISERROR(LOOKUP(RD$1,$S8:$HK8,csv!$L8:$HD8)),NA(),LOOKUP(RD$1,$S8:$HK8,csv!$L8:$HD8))</f>
        <v>0</v>
      </c>
      <c r="RE8" s="5">
        <f>IF(ISERROR(LOOKUP(RE$1,$S8:$HK8,csv!$L8:$HD8)),NA(),LOOKUP(RE$1,$S8:$HK8,csv!$L8:$HD8))</f>
        <v>0</v>
      </c>
      <c r="RF8" s="5">
        <f>IF(ISERROR(LOOKUP(RF$1,$S8:$HK8,csv!$L8:$HD8)),NA(),LOOKUP(RF$1,$S8:$HK8,csv!$L8:$HD8))</f>
        <v>0</v>
      </c>
      <c r="RG8" s="5">
        <f>IF(ISERROR(LOOKUP(RG$1,$S8:$HK8,csv!$L8:$HD8)),NA(),LOOKUP(RG$1,$S8:$HK8,csv!$L8:$HD8))</f>
        <v>0</v>
      </c>
      <c r="RH8" s="5">
        <f>IF(ISERROR(LOOKUP(RH$1,$S8:$HK8,csv!$L8:$HD8)),NA(),LOOKUP(RH$1,$S8:$HK8,csv!$L8:$HD8))</f>
        <v>0</v>
      </c>
      <c r="RI8" s="5">
        <f>IF(ISERROR(LOOKUP(RI$1,$S8:$HK8,csv!$L8:$HD8)),NA(),LOOKUP(RI$1,$S8:$HK8,csv!$L8:$HD8))</f>
        <v>0</v>
      </c>
      <c r="RJ8" s="5">
        <f>IF(ISERROR(LOOKUP(RJ$1,$S8:$HK8,csv!$L8:$HD8)),NA(),LOOKUP(RJ$1,$S8:$HK8,csv!$L8:$HD8))</f>
        <v>0</v>
      </c>
      <c r="RK8" s="5">
        <f>IF(ISERROR(LOOKUP(RK$1,$S8:$HK8,csv!$L8:$HD8)),NA(),LOOKUP(RK$1,$S8:$HK8,csv!$L8:$HD8))</f>
        <v>0</v>
      </c>
      <c r="RL8" s="5">
        <f>IF(ISERROR(LOOKUP(RL$1,$S8:$HK8,csv!$L8:$HD8)),NA(),LOOKUP(RL$1,$S8:$HK8,csv!$L8:$HD8))</f>
        <v>0</v>
      </c>
      <c r="RM8" s="5">
        <f>IF(ISERROR(LOOKUP(RM$1,$S8:$HK8,csv!$L8:$HD8)),NA(),LOOKUP(RM$1,$S8:$HK8,csv!$L8:$HD8))</f>
        <v>0</v>
      </c>
      <c r="RN8" s="5">
        <f>IF(ISERROR(LOOKUP(RN$1,$S8:$HK8,csv!$L8:$HD8)),NA(),LOOKUP(RN$1,$S8:$HK8,csv!$L8:$HD8))</f>
        <v>0</v>
      </c>
      <c r="RO8" s="5">
        <f>IF(ISERROR(LOOKUP(RO$1,$S8:$HK8,csv!$L8:$HD8)),NA(),LOOKUP(RO$1,$S8:$HK8,csv!$L8:$HD8))</f>
        <v>0</v>
      </c>
      <c r="RP8" s="5">
        <f>IF(ISERROR(LOOKUP(RP$1,$S8:$HK8,csv!$L8:$HD8)),NA(),LOOKUP(RP$1,$S8:$HK8,csv!$L8:$HD8))</f>
        <v>0</v>
      </c>
      <c r="RQ8" s="5">
        <f>IF(ISERROR(LOOKUP(RQ$1,$S8:$HK8,csv!$L8:$HD8)),NA(),LOOKUP(RQ$1,$S8:$HK8,csv!$L8:$HD8))</f>
        <v>0</v>
      </c>
      <c r="RR8" s="5">
        <f>IF(ISERROR(LOOKUP(RR$1,$S8:$HK8,csv!$L8:$HD8)),NA(),LOOKUP(RR$1,$S8:$HK8,csv!$L8:$HD8))</f>
        <v>0</v>
      </c>
      <c r="RS8" s="5">
        <f>IF(ISERROR(LOOKUP(RS$1,$S8:$HK8,csv!$L8:$HD8)),NA(),LOOKUP(RS$1,$S8:$HK8,csv!$L8:$HD8))</f>
        <v>0</v>
      </c>
      <c r="RT8" s="5">
        <f>IF(ISERROR(LOOKUP(RT$1,$S8:$HK8,csv!$L8:$HD8)),NA(),LOOKUP(RT$1,$S8:$HK8,csv!$L8:$HD8))</f>
        <v>0</v>
      </c>
      <c r="RU8" s="5">
        <f>IF(ISERROR(LOOKUP(RU$1,$S8:$HK8,csv!$L8:$HD8)),NA(),LOOKUP(RU$1,$S8:$HK8,csv!$L8:$HD8))</f>
        <v>0</v>
      </c>
      <c r="RV8" s="5">
        <f>IF(ISERROR(LOOKUP(RV$1,$S8:$HK8,csv!$L8:$HD8)),NA(),LOOKUP(RV$1,$S8:$HK8,csv!$L8:$HD8))</f>
        <v>0</v>
      </c>
      <c r="RW8" s="5">
        <f>IF(ISERROR(LOOKUP(RW$1,$S8:$HK8,csv!$L8:$HD8)),NA(),LOOKUP(RW$1,$S8:$HK8,csv!$L8:$HD8))</f>
        <v>0</v>
      </c>
      <c r="RX8" s="5">
        <f>IF(ISERROR(LOOKUP(RX$1,$S8:$HK8,csv!$L8:$HD8)),NA(),LOOKUP(RX$1,$S8:$HK8,csv!$L8:$HD8))</f>
        <v>0</v>
      </c>
      <c r="RY8" s="5">
        <f>IF(ISERROR(LOOKUP(RY$1,$S8:$HK8,csv!$L8:$HD8)),NA(),LOOKUP(RY$1,$S8:$HK8,csv!$L8:$HD8))</f>
        <v>0</v>
      </c>
      <c r="RZ8" s="5">
        <f>IF(ISERROR(LOOKUP(RZ$1,$S8:$HK8,csv!$L8:$HD8)),NA(),LOOKUP(RZ$1,$S8:$HK8,csv!$L8:$HD8))</f>
        <v>0</v>
      </c>
      <c r="SA8" s="5">
        <f>IF(ISERROR(LOOKUP(SA$1,$S8:$HK8,csv!$L8:$HD8)),NA(),LOOKUP(SA$1,$S8:$HK8,csv!$L8:$HD8))</f>
        <v>0</v>
      </c>
      <c r="SB8" s="5">
        <f>IF(ISERROR(LOOKUP(SB$1,$S8:$HK8,csv!$L8:$HD8)),NA(),LOOKUP(SB$1,$S8:$HK8,csv!$L8:$HD8))</f>
        <v>0</v>
      </c>
      <c r="SC8" s="5">
        <f>IF(ISERROR(LOOKUP(SC$1,$S8:$HK8,csv!$L8:$HD8)),NA(),LOOKUP(SC$1,$S8:$HK8,csv!$L8:$HD8))</f>
        <v>0</v>
      </c>
      <c r="SD8" s="5">
        <f>IF(ISERROR(LOOKUP(SD$1,$S8:$HK8,csv!$L8:$HD8)),NA(),LOOKUP(SD$1,$S8:$HK8,csv!$L8:$HD8))</f>
        <v>0</v>
      </c>
      <c r="SE8" s="5">
        <f>IF(ISERROR(LOOKUP(SE$1,$S8:$HK8,csv!$L8:$HD8)),NA(),LOOKUP(SE$1,$S8:$HK8,csv!$L8:$HD8))</f>
        <v>0</v>
      </c>
      <c r="SF8" s="5">
        <f>IF(ISERROR(LOOKUP(SF$1,$S8:$HK8,csv!$L8:$HD8)),NA(),LOOKUP(SF$1,$S8:$HK8,csv!$L8:$HD8))</f>
        <v>0</v>
      </c>
      <c r="SG8" s="5">
        <f>IF(ISERROR(LOOKUP(SG$1,$S8:$HK8,csv!$L8:$HD8)),NA(),LOOKUP(SG$1,$S8:$HK8,csv!$L8:$HD8))</f>
        <v>0</v>
      </c>
      <c r="SH8" s="5">
        <f>IF(ISERROR(LOOKUP(SH$1,$S8:$HK8,csv!$L8:$HD8)),NA(),LOOKUP(SH$1,$S8:$HK8,csv!$L8:$HD8))</f>
        <v>0</v>
      </c>
      <c r="SI8" s="5">
        <f>IF(ISERROR(LOOKUP(SI$1,$S8:$HK8,csv!$L8:$HD8)),NA(),LOOKUP(SI$1,$S8:$HK8,csv!$L8:$HD8))</f>
        <v>0</v>
      </c>
      <c r="SJ8" s="5">
        <f>IF(ISERROR(LOOKUP(SJ$1,$S8:$HK8,csv!$L8:$HD8)),NA(),LOOKUP(SJ$1,$S8:$HK8,csv!$L8:$HD8))</f>
        <v>0</v>
      </c>
      <c r="SK8" s="5">
        <f>IF(ISERROR(LOOKUP(SK$1,$S8:$HK8,csv!$L8:$HD8)),NA(),LOOKUP(SK$1,$S8:$HK8,csv!$L8:$HD8))</f>
        <v>0</v>
      </c>
      <c r="SL8" s="5">
        <f>IF(ISERROR(LOOKUP(SL$1,$S8:$HK8,csv!$L8:$HD8)),NA(),LOOKUP(SL$1,$S8:$HK8,csv!$L8:$HD8))</f>
        <v>0</v>
      </c>
      <c r="SM8" s="5">
        <f>IF(ISERROR(LOOKUP(SM$1,$S8:$HK8,csv!$L8:$HD8)),NA(),LOOKUP(SM$1,$S8:$HK8,csv!$L8:$HD8))</f>
        <v>0</v>
      </c>
      <c r="SN8" s="5">
        <f>IF(ISERROR(LOOKUP(SN$1,$S8:$HK8,csv!$L8:$HD8)),NA(),LOOKUP(SN$1,$S8:$HK8,csv!$L8:$HD8))</f>
        <v>0</v>
      </c>
      <c r="SO8" s="5">
        <f>IF(ISERROR(LOOKUP(SO$1,$S8:$HK8,csv!$L8:$HD8)),NA(),LOOKUP(SO$1,$S8:$HK8,csv!$L8:$HD8))</f>
        <v>0</v>
      </c>
      <c r="SP8" s="5">
        <f>IF(ISERROR(LOOKUP(SP$1,$S8:$HK8,csv!$L8:$HD8)),NA(),LOOKUP(SP$1,$S8:$HK8,csv!$L8:$HD8))</f>
        <v>0</v>
      </c>
      <c r="SQ8" s="5">
        <f>IF(ISERROR(LOOKUP(SQ$1,$S8:$HK8,csv!$L8:$HD8)),NA(),LOOKUP(SQ$1,$S8:$HK8,csv!$L8:$HD8))</f>
        <v>0</v>
      </c>
      <c r="SR8" s="5">
        <f>IF(ISERROR(LOOKUP(SR$1,$S8:$HK8,csv!$L8:$HD8)),NA(),LOOKUP(SR$1,$S8:$HK8,csv!$L8:$HD8))</f>
        <v>0</v>
      </c>
      <c r="SS8" s="5">
        <f>IF(ISERROR(LOOKUP(SS$1,$S8:$HK8,csv!$L8:$HD8)),NA(),LOOKUP(SS$1,$S8:$HK8,csv!$L8:$HD8))</f>
        <v>0</v>
      </c>
      <c r="ST8" s="5">
        <f>IF(ISERROR(LOOKUP(ST$1,$S8:$HK8,csv!$L8:$HD8)),NA(),LOOKUP(ST$1,$S8:$HK8,csv!$L8:$HD8))</f>
        <v>0</v>
      </c>
      <c r="SU8" s="5">
        <f>IF(ISERROR(LOOKUP(SU$1,$S8:$HK8,csv!$L8:$HD8)),NA(),LOOKUP(SU$1,$S8:$HK8,csv!$L8:$HD8))</f>
        <v>0</v>
      </c>
      <c r="SV8" s="5">
        <f>IF(ISERROR(LOOKUP(SV$1,$S8:$HK8,csv!$L8:$HD8)),NA(),LOOKUP(SV$1,$S8:$HK8,csv!$L8:$HD8))</f>
        <v>0</v>
      </c>
      <c r="SW8" s="5">
        <f>IF(ISERROR(LOOKUP(SW$1,$S8:$HK8,csv!$L8:$HD8)),NA(),LOOKUP(SW$1,$S8:$HK8,csv!$L8:$HD8))</f>
        <v>0</v>
      </c>
      <c r="SX8" s="5">
        <f>IF(ISERROR(LOOKUP(SX$1,$S8:$HK8,csv!$L8:$HD8)),NA(),LOOKUP(SX$1,$S8:$HK8,csv!$L8:$HD8))</f>
        <v>0</v>
      </c>
      <c r="SY8" s="5">
        <f>IF(ISERROR(LOOKUP(SY$1,$S8:$HK8,csv!$L8:$HD8)),NA(),LOOKUP(SY$1,$S8:$HK8,csv!$L8:$HD8))</f>
        <v>0</v>
      </c>
      <c r="SZ8" s="5">
        <f>IF(ISERROR(LOOKUP(SZ$1,$S8:$HK8,csv!$L8:$HD8)),NA(),LOOKUP(SZ$1,$S8:$HK8,csv!$L8:$HD8))</f>
        <v>0</v>
      </c>
      <c r="TA8" s="5">
        <f>IF(ISERROR(LOOKUP(TA$1,$S8:$HK8,csv!$L8:$HD8)),NA(),LOOKUP(TA$1,$S8:$HK8,csv!$L8:$HD8))</f>
        <v>0</v>
      </c>
      <c r="TB8" s="5">
        <f>IF(ISERROR(LOOKUP(TB$1,$S8:$HK8,csv!$L8:$HD8)),NA(),LOOKUP(TB$1,$S8:$HK8,csv!$L8:$HD8))</f>
        <v>0</v>
      </c>
      <c r="TD8">
        <f>csv!HG8/10</f>
        <v>0</v>
      </c>
    </row>
    <row r="9" spans="1:524" x14ac:dyDescent="0.15">
      <c r="C9" s="32" t="str">
        <f>TEXT(csv!B9&amp;"/"&amp;csv!C9&amp;"-"&amp;csv!E9&amp;"/"&amp;csv!F9,"mm/dd")</f>
        <v>/-/</v>
      </c>
      <c r="D9">
        <f>csv!A9*10000+csv!B9*100+csv!C9</f>
        <v>0</v>
      </c>
      <c r="E9">
        <f>(IF(csv!HG9&lt;-1000,NA(),csv!HG9)+csv!K9)/10</f>
        <v>0</v>
      </c>
      <c r="F9">
        <f>(IF(csv!HG22&lt;-1000,NA(),csv!HG22)+csv!K22)/10</f>
        <v>0</v>
      </c>
      <c r="G9">
        <f>(IF(csv!HG35&lt;-1000,NA(),csv!HG35)+csv!K35)/10</f>
        <v>0</v>
      </c>
      <c r="H9">
        <f>IF(csv!HG9&lt;-1000,NA(),csv!HG9/10)</f>
        <v>0</v>
      </c>
      <c r="I9">
        <f>IF(csv!HG22&lt;-1000,NA(),csv!HG22/10)</f>
        <v>0</v>
      </c>
      <c r="J9">
        <f>IF(csv!HG35&lt;-1000,NA(),csv!HG35/10)</f>
        <v>0</v>
      </c>
      <c r="K9">
        <f>IF(csv!HF9&lt;-1000,NA(),csv!HF9/10)</f>
        <v>0</v>
      </c>
      <c r="L9">
        <f>IF(csv!HF22&lt;-1000,NA(),csv!HF22/10)</f>
        <v>0</v>
      </c>
      <c r="M9">
        <f>IF(csv!HF35&lt;-1000,NA(),csv!HF35/10)</f>
        <v>0</v>
      </c>
      <c r="N9">
        <f>IF(csv!HE9&lt;-1000,NA(),csv!HE9/10)</f>
        <v>0</v>
      </c>
      <c r="O9">
        <f>IF(csv!HE22&lt;-1000,NA(),csv!HE22/10)</f>
        <v>0</v>
      </c>
      <c r="P9">
        <f>IF(csv!HE35&lt;-1000,NA(),csv!HE35/10)</f>
        <v>0</v>
      </c>
      <c r="S9" s="4">
        <f>ROUND((csv!$HG9/10+calc!S$1),1)</f>
        <v>-10</v>
      </c>
      <c r="T9" s="4">
        <f>ROUND((csv!$HG9/10+calc!T$1),1)</f>
        <v>-9.9</v>
      </c>
      <c r="U9" s="4">
        <f>ROUND((csv!$HG9/10+calc!U$1),1)</f>
        <v>-9.8000000000000007</v>
      </c>
      <c r="V9" s="4">
        <f>ROUND((csv!$HG9/10+calc!V$1),1)</f>
        <v>-9.6999999999999993</v>
      </c>
      <c r="W9" s="4">
        <f>ROUND((csv!$HG9/10+calc!W$1),1)</f>
        <v>-9.6</v>
      </c>
      <c r="X9" s="4">
        <f>ROUND((csv!$HG9/10+calc!X$1),1)</f>
        <v>-9.5</v>
      </c>
      <c r="Y9" s="4">
        <f>ROUND((csv!$HG9/10+calc!Y$1),1)</f>
        <v>-9.4</v>
      </c>
      <c r="Z9" s="4">
        <f>ROUND((csv!$HG9/10+calc!Z$1),1)</f>
        <v>-9.3000000000000007</v>
      </c>
      <c r="AA9" s="4">
        <f>ROUND((csv!$HG9/10+calc!AA$1),1)</f>
        <v>-9.1999999999999993</v>
      </c>
      <c r="AB9" s="4">
        <f>ROUND((csv!$HG9/10+calc!AB$1),1)</f>
        <v>-9.1</v>
      </c>
      <c r="AC9" s="4">
        <f>ROUND((csv!$HG9/10+calc!AC$1),1)</f>
        <v>-9</v>
      </c>
      <c r="AD9" s="4">
        <f>ROUND((csv!$HG9/10+calc!AD$1),1)</f>
        <v>-8.9</v>
      </c>
      <c r="AE9" s="4">
        <f>ROUND((csv!$HG9/10+calc!AE$1),1)</f>
        <v>-8.8000000000000007</v>
      </c>
      <c r="AF9" s="4">
        <f>ROUND((csv!$HG9/10+calc!AF$1),1)</f>
        <v>-8.6999999999999993</v>
      </c>
      <c r="AG9" s="4">
        <f>ROUND((csv!$HG9/10+calc!AG$1),1)</f>
        <v>-8.6</v>
      </c>
      <c r="AH9" s="4">
        <f>ROUND((csv!$HG9/10+calc!AH$1),1)</f>
        <v>-8.5</v>
      </c>
      <c r="AI9" s="4">
        <f>ROUND((csv!$HG9/10+calc!AI$1),1)</f>
        <v>-8.4</v>
      </c>
      <c r="AJ9" s="4">
        <f>ROUND((csv!$HG9/10+calc!AJ$1),1)</f>
        <v>-8.3000000000000007</v>
      </c>
      <c r="AK9" s="4">
        <f>ROUND((csv!$HG9/10+calc!AK$1),1)</f>
        <v>-8.1999999999999993</v>
      </c>
      <c r="AL9" s="4">
        <f>ROUND((csv!$HG9/10+calc!AL$1),1)</f>
        <v>-8.1</v>
      </c>
      <c r="AM9" s="4">
        <f>ROUND((csv!$HG9/10+calc!AM$1),1)</f>
        <v>-8</v>
      </c>
      <c r="AN9" s="4">
        <f>ROUND((csv!$HG9/10+calc!AN$1),1)</f>
        <v>-7.9</v>
      </c>
      <c r="AO9" s="4">
        <f>ROUND((csv!$HG9/10+calc!AO$1),1)</f>
        <v>-7.8</v>
      </c>
      <c r="AP9" s="4">
        <f>ROUND((csv!$HG9/10+calc!AP$1),1)</f>
        <v>-7.7</v>
      </c>
      <c r="AQ9" s="4">
        <f>ROUND((csv!$HG9/10+calc!AQ$1),1)</f>
        <v>-7.6</v>
      </c>
      <c r="AR9" s="4">
        <f>ROUND((csv!$HG9/10+calc!AR$1),1)</f>
        <v>-7.5</v>
      </c>
      <c r="AS9" s="4">
        <f>ROUND((csv!$HG9/10+calc!AS$1),1)</f>
        <v>-7.4</v>
      </c>
      <c r="AT9" s="4">
        <f>ROUND((csv!$HG9/10+calc!AT$1),1)</f>
        <v>-7.3</v>
      </c>
      <c r="AU9" s="4">
        <f>ROUND((csv!$HG9/10+calc!AU$1),1)</f>
        <v>-7.2</v>
      </c>
      <c r="AV9" s="4">
        <f>ROUND((csv!$HG9/10+calc!AV$1),1)</f>
        <v>-7.1</v>
      </c>
      <c r="AW9" s="4">
        <f>ROUND((csv!$HG9/10+calc!AW$1),1)</f>
        <v>-7</v>
      </c>
      <c r="AX9" s="4">
        <f>ROUND((csv!$HG9/10+calc!AX$1),1)</f>
        <v>-6.9</v>
      </c>
      <c r="AY9" s="4">
        <f>ROUND((csv!$HG9/10+calc!AY$1),1)</f>
        <v>-6.8</v>
      </c>
      <c r="AZ9" s="4">
        <f>ROUND((csv!$HG9/10+calc!AZ$1),1)</f>
        <v>-6.7</v>
      </c>
      <c r="BA9" s="4">
        <f>ROUND((csv!$HG9/10+calc!BA$1),1)</f>
        <v>-6.6</v>
      </c>
      <c r="BB9" s="4">
        <f>ROUND((csv!$HG9/10+calc!BB$1),1)</f>
        <v>-6.5</v>
      </c>
      <c r="BC9" s="4">
        <f>ROUND((csv!$HG9/10+calc!BC$1),1)</f>
        <v>-6.4</v>
      </c>
      <c r="BD9" s="4">
        <f>ROUND((csv!$HG9/10+calc!BD$1),1)</f>
        <v>-6.3</v>
      </c>
      <c r="BE9" s="4">
        <f>ROUND((csv!$HG9/10+calc!BE$1),1)</f>
        <v>-6.2</v>
      </c>
      <c r="BF9" s="4">
        <f>ROUND((csv!$HG9/10+calc!BF$1),1)</f>
        <v>-6.1</v>
      </c>
      <c r="BG9" s="4">
        <f>ROUND((csv!$HG9/10+calc!BG$1),1)</f>
        <v>-6</v>
      </c>
      <c r="BH9" s="4">
        <f>ROUND((csv!$HG9/10+calc!BH$1),1)</f>
        <v>-5.9</v>
      </c>
      <c r="BI9" s="4">
        <f>ROUND((csv!$HG9/10+calc!BI$1),1)</f>
        <v>-5.8</v>
      </c>
      <c r="BJ9" s="4">
        <f>ROUND((csv!$HG9/10+calc!BJ$1),1)</f>
        <v>-5.7</v>
      </c>
      <c r="BK9" s="4">
        <f>ROUND((csv!$HG9/10+calc!BK$1),1)</f>
        <v>-5.6</v>
      </c>
      <c r="BL9" s="4">
        <f>ROUND((csv!$HG9/10+calc!BL$1),1)</f>
        <v>-5.5</v>
      </c>
      <c r="BM9" s="4">
        <f>ROUND((csv!$HG9/10+calc!BM$1),1)</f>
        <v>-5.4</v>
      </c>
      <c r="BN9" s="4">
        <f>ROUND((csv!$HG9/10+calc!BN$1),1)</f>
        <v>-5.3</v>
      </c>
      <c r="BO9" s="4">
        <f>ROUND((csv!$HG9/10+calc!BO$1),1)</f>
        <v>-5.2</v>
      </c>
      <c r="BP9" s="4">
        <f>ROUND((csv!$HG9/10+calc!BP$1),1)</f>
        <v>-5.0999999999999996</v>
      </c>
      <c r="BQ9" s="4">
        <f>ROUND((csv!$HG9/10+calc!BQ$1),1)</f>
        <v>-5</v>
      </c>
      <c r="BR9" s="4">
        <f>ROUND((csv!$HG9/10+calc!BR$1),1)</f>
        <v>-4.9000000000000004</v>
      </c>
      <c r="BS9" s="4">
        <f>ROUND((csv!$HG9/10+calc!BS$1),1)</f>
        <v>-4.8</v>
      </c>
      <c r="BT9" s="4">
        <f>ROUND((csv!$HG9/10+calc!BT$1),1)</f>
        <v>-4.7</v>
      </c>
      <c r="BU9" s="4">
        <f>ROUND((csv!$HG9/10+calc!BU$1),1)</f>
        <v>-4.5999999999999996</v>
      </c>
      <c r="BV9" s="4">
        <f>ROUND((csv!$HG9/10+calc!BV$1),1)</f>
        <v>-4.5</v>
      </c>
      <c r="BW9" s="4">
        <f>ROUND((csv!$HG9/10+calc!BW$1),1)</f>
        <v>-4.4000000000000004</v>
      </c>
      <c r="BX9" s="4">
        <f>ROUND((csv!$HG9/10+calc!BX$1),1)</f>
        <v>-4.3</v>
      </c>
      <c r="BY9" s="4">
        <f>ROUND((csv!$HG9/10+calc!BY$1),1)</f>
        <v>-4.2</v>
      </c>
      <c r="BZ9" s="4">
        <f>ROUND((csv!$HG9/10+calc!BZ$1),1)</f>
        <v>-4.0999999999999996</v>
      </c>
      <c r="CA9" s="4">
        <f>ROUND((csv!$HG9/10+calc!CA$1),1)</f>
        <v>-4</v>
      </c>
      <c r="CB9" s="4">
        <f>ROUND((csv!$HG9/10+calc!CB$1),1)</f>
        <v>-3.9</v>
      </c>
      <c r="CC9" s="4">
        <f>ROUND((csv!$HG9/10+calc!CC$1),1)</f>
        <v>-3.8</v>
      </c>
      <c r="CD9" s="4">
        <f>ROUND((csv!$HG9/10+calc!CD$1),1)</f>
        <v>-3.7</v>
      </c>
      <c r="CE9" s="4">
        <f>ROUND((csv!$HG9/10+calc!CE$1),1)</f>
        <v>-3.6</v>
      </c>
      <c r="CF9" s="4">
        <f>ROUND((csv!$HG9/10+calc!CF$1),1)</f>
        <v>-3.5</v>
      </c>
      <c r="CG9" s="4">
        <f>ROUND((csv!$HG9/10+calc!CG$1),1)</f>
        <v>-3.4</v>
      </c>
      <c r="CH9" s="4">
        <f>ROUND((csv!$HG9/10+calc!CH$1),1)</f>
        <v>-3.3</v>
      </c>
      <c r="CI9" s="4">
        <f>ROUND((csv!$HG9/10+calc!CI$1),1)</f>
        <v>-3.2</v>
      </c>
      <c r="CJ9" s="4">
        <f>ROUND((csv!$HG9/10+calc!CJ$1),1)</f>
        <v>-3.1</v>
      </c>
      <c r="CK9" s="4">
        <f>ROUND((csv!$HG9/10+calc!CK$1),1)</f>
        <v>-3</v>
      </c>
      <c r="CL9" s="4">
        <f>ROUND((csv!$HG9/10+calc!CL$1),1)</f>
        <v>-2.9</v>
      </c>
      <c r="CM9" s="4">
        <f>ROUND((csv!$HG9/10+calc!CM$1),1)</f>
        <v>-2.8</v>
      </c>
      <c r="CN9" s="4">
        <f>ROUND((csv!$HG9/10+calc!CN$1),1)</f>
        <v>-2.7</v>
      </c>
      <c r="CO9" s="4">
        <f>ROUND((csv!$HG9/10+calc!CO$1),1)</f>
        <v>-2.6</v>
      </c>
      <c r="CP9" s="4">
        <f>ROUND((csv!$HG9/10+calc!CP$1),1)</f>
        <v>-2.5</v>
      </c>
      <c r="CQ9" s="4">
        <f>ROUND((csv!$HG9/10+calc!CQ$1),1)</f>
        <v>-2.4</v>
      </c>
      <c r="CR9" s="4">
        <f>ROUND((csv!$HG9/10+calc!CR$1),1)</f>
        <v>-2.2999999999999998</v>
      </c>
      <c r="CS9" s="4">
        <f>ROUND((csv!$HG9/10+calc!CS$1),1)</f>
        <v>-2.2000000000000002</v>
      </c>
      <c r="CT9" s="4">
        <f>ROUND((csv!$HG9/10+calc!CT$1),1)</f>
        <v>-2.1</v>
      </c>
      <c r="CU9" s="4">
        <f>ROUND((csv!$HG9/10+calc!CU$1),1)</f>
        <v>-2</v>
      </c>
      <c r="CV9" s="4">
        <f>ROUND((csv!$HG9/10+calc!CV$1),1)</f>
        <v>-1.9</v>
      </c>
      <c r="CW9" s="4">
        <f>ROUND((csv!$HG9/10+calc!CW$1),1)</f>
        <v>-1.8</v>
      </c>
      <c r="CX9" s="4">
        <f>ROUND((csv!$HG9/10+calc!CX$1),1)</f>
        <v>-1.7</v>
      </c>
      <c r="CY9" s="4">
        <f>ROUND((csv!$HG9/10+calc!CY$1),1)</f>
        <v>-1.6</v>
      </c>
      <c r="CZ9" s="4">
        <f>ROUND((csv!$HG9/10+calc!CZ$1),1)</f>
        <v>-1.5</v>
      </c>
      <c r="DA9" s="4">
        <f>ROUND((csv!$HG9/10+calc!DA$1),1)</f>
        <v>-1.4</v>
      </c>
      <c r="DB9" s="4">
        <f>ROUND((csv!$HG9/10+calc!DB$1),1)</f>
        <v>-1.3</v>
      </c>
      <c r="DC9" s="4">
        <f>ROUND((csv!$HG9/10+calc!DC$1),1)</f>
        <v>-1.2</v>
      </c>
      <c r="DD9" s="4">
        <f>ROUND((csv!$HG9/10+calc!DD$1),1)</f>
        <v>-1.1000000000000001</v>
      </c>
      <c r="DE9" s="4">
        <f>ROUND((csv!$HG9/10+calc!DE$1),1)</f>
        <v>-1</v>
      </c>
      <c r="DF9" s="4">
        <f>ROUND((csv!$HG9/10+calc!DF$1),1)</f>
        <v>-0.9</v>
      </c>
      <c r="DG9" s="4">
        <f>ROUND((csv!$HG9/10+calc!DG$1),1)</f>
        <v>-0.8</v>
      </c>
      <c r="DH9" s="4">
        <f>ROUND((csv!$HG9/10+calc!DH$1),1)</f>
        <v>-0.7</v>
      </c>
      <c r="DI9" s="4">
        <f>ROUND((csv!$HG9/10+calc!DI$1),1)</f>
        <v>-0.6</v>
      </c>
      <c r="DJ9" s="4">
        <f>ROUND((csv!$HG9/10+calc!DJ$1),1)</f>
        <v>-0.5</v>
      </c>
      <c r="DK9" s="4">
        <f>ROUND((csv!$HG9/10+calc!DK$1),1)</f>
        <v>-0.4</v>
      </c>
      <c r="DL9" s="4">
        <f>ROUND((csv!$HG9/10+calc!DL$1),1)</f>
        <v>-0.3</v>
      </c>
      <c r="DM9" s="4">
        <f>ROUND((csv!$HG9/10+calc!DM$1),1)</f>
        <v>-0.2</v>
      </c>
      <c r="DN9" s="4">
        <f>ROUND((csv!$HG9/10+calc!DN$1),1)</f>
        <v>-0.1</v>
      </c>
      <c r="DO9" s="4">
        <f>ROUND((csv!$HG9/10+calc!DO$1),1)</f>
        <v>0</v>
      </c>
      <c r="DP9" s="4">
        <f>ROUND((csv!$HG9/10+calc!DP$1),1)</f>
        <v>0.1</v>
      </c>
      <c r="DQ9" s="4">
        <f>ROUND((csv!$HG9/10+calc!DQ$1),1)</f>
        <v>0.2</v>
      </c>
      <c r="DR9" s="4">
        <f>ROUND((csv!$HG9/10+calc!DR$1),1)</f>
        <v>0.3</v>
      </c>
      <c r="DS9" s="4">
        <f>ROUND((csv!$HG9/10+calc!DS$1),1)</f>
        <v>0.4</v>
      </c>
      <c r="DT9" s="4">
        <f>ROUND((csv!$HG9/10+calc!DT$1),1)</f>
        <v>0.5</v>
      </c>
      <c r="DU9" s="4">
        <f>ROUND((csv!$HG9/10+calc!DU$1),1)</f>
        <v>0.6</v>
      </c>
      <c r="DV9" s="4">
        <f>ROUND((csv!$HG9/10+calc!DV$1),1)</f>
        <v>0.7</v>
      </c>
      <c r="DW9" s="4">
        <f>ROUND((csv!$HG9/10+calc!DW$1),1)</f>
        <v>0.8</v>
      </c>
      <c r="DX9" s="4">
        <f>ROUND((csv!$HG9/10+calc!DX$1),1)</f>
        <v>0.9</v>
      </c>
      <c r="DY9" s="4">
        <f>ROUND((csv!$HG9/10+calc!DY$1),1)</f>
        <v>1</v>
      </c>
      <c r="DZ9" s="4">
        <f>ROUND((csv!$HG9/10+calc!DZ$1),1)</f>
        <v>1.1000000000000001</v>
      </c>
      <c r="EA9" s="4">
        <f>ROUND((csv!$HG9/10+calc!EA$1),1)</f>
        <v>1.2</v>
      </c>
      <c r="EB9" s="4">
        <f>ROUND((csv!$HG9/10+calc!EB$1),1)</f>
        <v>1.3</v>
      </c>
      <c r="EC9" s="4">
        <f>ROUND((csv!$HG9/10+calc!EC$1),1)</f>
        <v>1.4</v>
      </c>
      <c r="ED9" s="4">
        <f>ROUND((csv!$HG9/10+calc!ED$1),1)</f>
        <v>1.5</v>
      </c>
      <c r="EE9" s="4">
        <f>ROUND((csv!$HG9/10+calc!EE$1),1)</f>
        <v>1.6</v>
      </c>
      <c r="EF9" s="4">
        <f>ROUND((csv!$HG9/10+calc!EF$1),1)</f>
        <v>1.7</v>
      </c>
      <c r="EG9" s="4">
        <f>ROUND((csv!$HG9/10+calc!EG$1),1)</f>
        <v>1.8</v>
      </c>
      <c r="EH9" s="4">
        <f>ROUND((csv!$HG9/10+calc!EH$1),1)</f>
        <v>1.9</v>
      </c>
      <c r="EI9" s="4">
        <f>ROUND((csv!$HG9/10+calc!EI$1),1)</f>
        <v>2</v>
      </c>
      <c r="EJ9" s="4">
        <f>ROUND((csv!$HG9/10+calc!EJ$1),1)</f>
        <v>2.1</v>
      </c>
      <c r="EK9" s="4">
        <f>ROUND((csv!$HG9/10+calc!EK$1),1)</f>
        <v>2.2000000000000002</v>
      </c>
      <c r="EL9" s="4">
        <f>ROUND((csv!$HG9/10+calc!EL$1),1)</f>
        <v>2.2999999999999998</v>
      </c>
      <c r="EM9" s="4">
        <f>ROUND((csv!$HG9/10+calc!EM$1),1)</f>
        <v>2.4</v>
      </c>
      <c r="EN9" s="4">
        <f>ROUND((csv!$HG9/10+calc!EN$1),1)</f>
        <v>2.5</v>
      </c>
      <c r="EO9" s="4">
        <f>ROUND((csv!$HG9/10+calc!EO$1),1)</f>
        <v>2.6</v>
      </c>
      <c r="EP9" s="4">
        <f>ROUND((csv!$HG9/10+calc!EP$1),1)</f>
        <v>2.7</v>
      </c>
      <c r="EQ9" s="4">
        <f>ROUND((csv!$HG9/10+calc!EQ$1),1)</f>
        <v>2.8</v>
      </c>
      <c r="ER9" s="4">
        <f>ROUND((csv!$HG9/10+calc!ER$1),1)</f>
        <v>2.9</v>
      </c>
      <c r="ES9" s="4">
        <f>ROUND((csv!$HG9/10+calc!ES$1),1)</f>
        <v>3</v>
      </c>
      <c r="ET9" s="4">
        <f>ROUND((csv!$HG9/10+calc!ET$1),1)</f>
        <v>3.1</v>
      </c>
      <c r="EU9" s="4">
        <f>ROUND((csv!$HG9/10+calc!EU$1),1)</f>
        <v>3.2</v>
      </c>
      <c r="EV9" s="4">
        <f>ROUND((csv!$HG9/10+calc!EV$1),1)</f>
        <v>3.3</v>
      </c>
      <c r="EW9" s="4">
        <f>ROUND((csv!$HG9/10+calc!EW$1),1)</f>
        <v>3.4</v>
      </c>
      <c r="EX9" s="4">
        <f>ROUND((csv!$HG9/10+calc!EX$1),1)</f>
        <v>3.5</v>
      </c>
      <c r="EY9" s="4">
        <f>ROUND((csv!$HG9/10+calc!EY$1),1)</f>
        <v>3.6</v>
      </c>
      <c r="EZ9" s="4">
        <f>ROUND((csv!$HG9/10+calc!EZ$1),1)</f>
        <v>3.7</v>
      </c>
      <c r="FA9" s="4">
        <f>ROUND((csv!$HG9/10+calc!FA$1),1)</f>
        <v>3.8</v>
      </c>
      <c r="FB9" s="4">
        <f>ROUND((csv!$HG9/10+calc!FB$1),1)</f>
        <v>3.9</v>
      </c>
      <c r="FC9" s="4">
        <f>ROUND((csv!$HG9/10+calc!FC$1),1)</f>
        <v>4</v>
      </c>
      <c r="FD9" s="4">
        <f>ROUND((csv!$HG9/10+calc!FD$1),1)</f>
        <v>4.0999999999999996</v>
      </c>
      <c r="FE9" s="4">
        <f>ROUND((csv!$HG9/10+calc!FE$1),1)</f>
        <v>4.2</v>
      </c>
      <c r="FF9" s="4">
        <f>ROUND((csv!$HG9/10+calc!FF$1),1)</f>
        <v>4.3</v>
      </c>
      <c r="FG9" s="4">
        <f>ROUND((csv!$HG9/10+calc!FG$1),1)</f>
        <v>4.4000000000000004</v>
      </c>
      <c r="FH9" s="4">
        <f>ROUND((csv!$HG9/10+calc!FH$1),1)</f>
        <v>4.5</v>
      </c>
      <c r="FI9" s="4">
        <f>ROUND((csv!$HG9/10+calc!FI$1),1)</f>
        <v>4.5999999999999996</v>
      </c>
      <c r="FJ9" s="4">
        <f>ROUND((csv!$HG9/10+calc!FJ$1),1)</f>
        <v>4.7</v>
      </c>
      <c r="FK9" s="4">
        <f>ROUND((csv!$HG9/10+calc!FK$1),1)</f>
        <v>4.8</v>
      </c>
      <c r="FL9" s="4">
        <f>ROUND((csv!$HG9/10+calc!FL$1),1)</f>
        <v>4.9000000000000004</v>
      </c>
      <c r="FM9" s="4">
        <f>ROUND((csv!$HG9/10+calc!FM$1),1)</f>
        <v>5</v>
      </c>
      <c r="FN9" s="4">
        <f>ROUND((csv!$HG9/10+calc!FN$1),1)</f>
        <v>5.0999999999999996</v>
      </c>
      <c r="FO9" s="4">
        <f>ROUND((csv!$HG9/10+calc!FO$1),1)</f>
        <v>5.2</v>
      </c>
      <c r="FP9" s="4">
        <f>ROUND((csv!$HG9/10+calc!FP$1),1)</f>
        <v>5.3</v>
      </c>
      <c r="FQ9" s="4">
        <f>ROUND((csv!$HG9/10+calc!FQ$1),1)</f>
        <v>5.4</v>
      </c>
      <c r="FR9" s="4">
        <f>ROUND((csv!$HG9/10+calc!FR$1),1)</f>
        <v>5.5</v>
      </c>
      <c r="FS9" s="4">
        <f>ROUND((csv!$HG9/10+calc!FS$1),1)</f>
        <v>5.6</v>
      </c>
      <c r="FT9" s="4">
        <f>ROUND((csv!$HG9/10+calc!FT$1),1)</f>
        <v>5.7</v>
      </c>
      <c r="FU9" s="4">
        <f>ROUND((csv!$HG9/10+calc!FU$1),1)</f>
        <v>5.8</v>
      </c>
      <c r="FV9" s="4">
        <f>ROUND((csv!$HG9/10+calc!FV$1),1)</f>
        <v>5.9</v>
      </c>
      <c r="FW9" s="4">
        <f>ROUND((csv!$HG9/10+calc!FW$1),1)</f>
        <v>6</v>
      </c>
      <c r="FX9" s="4">
        <f>ROUND((csv!$HG9/10+calc!FX$1),1)</f>
        <v>6.1</v>
      </c>
      <c r="FY9" s="4">
        <f>ROUND((csv!$HG9/10+calc!FY$1),1)</f>
        <v>6.2</v>
      </c>
      <c r="FZ9" s="4">
        <f>ROUND((csv!$HG9/10+calc!FZ$1),1)</f>
        <v>6.3</v>
      </c>
      <c r="GA9" s="4">
        <f>ROUND((csv!$HG9/10+calc!GA$1),1)</f>
        <v>6.4</v>
      </c>
      <c r="GB9" s="4">
        <f>ROUND((csv!$HG9/10+calc!GB$1),1)</f>
        <v>6.5</v>
      </c>
      <c r="GC9" s="4">
        <f>ROUND((csv!$HG9/10+calc!GC$1),1)</f>
        <v>6.6</v>
      </c>
      <c r="GD9" s="4">
        <f>ROUND((csv!$HG9/10+calc!GD$1),1)</f>
        <v>6.7</v>
      </c>
      <c r="GE9" s="4">
        <f>ROUND((csv!$HG9/10+calc!GE$1),1)</f>
        <v>6.8</v>
      </c>
      <c r="GF9" s="4">
        <f>ROUND((csv!$HG9/10+calc!GF$1),1)</f>
        <v>6.9</v>
      </c>
      <c r="GG9" s="4">
        <f>ROUND((csv!$HG9/10+calc!GG$1),1)</f>
        <v>7</v>
      </c>
      <c r="GH9" s="4">
        <f>ROUND((csv!$HG9/10+calc!GH$1),1)</f>
        <v>7.1</v>
      </c>
      <c r="GI9" s="4">
        <f>ROUND((csv!$HG9/10+calc!GI$1),1)</f>
        <v>7.2</v>
      </c>
      <c r="GJ9" s="4">
        <f>ROUND((csv!$HG9/10+calc!GJ$1),1)</f>
        <v>7.3</v>
      </c>
      <c r="GK9" s="4">
        <f>ROUND((csv!$HG9/10+calc!GK$1),1)</f>
        <v>7.4</v>
      </c>
      <c r="GL9" s="4">
        <f>ROUND((csv!$HG9/10+calc!GL$1),1)</f>
        <v>7.5</v>
      </c>
      <c r="GM9" s="4">
        <f>ROUND((csv!$HG9/10+calc!GM$1),1)</f>
        <v>7.6</v>
      </c>
      <c r="GN9" s="4">
        <f>ROUND((csv!$HG9/10+calc!GN$1),1)</f>
        <v>7.7</v>
      </c>
      <c r="GO9" s="4">
        <f>ROUND((csv!$HG9/10+calc!GO$1),1)</f>
        <v>7.8</v>
      </c>
      <c r="GP9" s="4">
        <f>ROUND((csv!$HG9/10+calc!GP$1),1)</f>
        <v>7.9</v>
      </c>
      <c r="GQ9" s="4">
        <f>ROUND((csv!$HG9/10+calc!GQ$1),1)</f>
        <v>8</v>
      </c>
      <c r="GR9" s="4">
        <f>ROUND((csv!$HG9/10+calc!GR$1),1)</f>
        <v>8.1</v>
      </c>
      <c r="GS9" s="4">
        <f>ROUND((csv!$HG9/10+calc!GS$1),1)</f>
        <v>8.1999999999999993</v>
      </c>
      <c r="GT9" s="4">
        <f>ROUND((csv!$HG9/10+calc!GT$1),1)</f>
        <v>8.3000000000000007</v>
      </c>
      <c r="GU9" s="4">
        <f>ROUND((csv!$HG9/10+calc!GU$1),1)</f>
        <v>8.4</v>
      </c>
      <c r="GV9" s="4">
        <f>ROUND((csv!$HG9/10+calc!GV$1),1)</f>
        <v>8.5</v>
      </c>
      <c r="GW9" s="4">
        <f>ROUND((csv!$HG9/10+calc!GW$1),1)</f>
        <v>8.6</v>
      </c>
      <c r="GX9" s="4">
        <f>ROUND((csv!$HG9/10+calc!GX$1),1)</f>
        <v>8.6999999999999993</v>
      </c>
      <c r="GY9" s="4">
        <f>ROUND((csv!$HG9/10+calc!GY$1),1)</f>
        <v>8.8000000000000007</v>
      </c>
      <c r="GZ9" s="4">
        <f>ROUND((csv!$HG9/10+calc!GZ$1),1)</f>
        <v>8.9</v>
      </c>
      <c r="HA9" s="4">
        <f>ROUND((csv!$HG9/10+calc!HA$1),1)</f>
        <v>9</v>
      </c>
      <c r="HB9" s="4">
        <f>ROUND((csv!$HG9/10+calc!HB$1),1)</f>
        <v>9.1</v>
      </c>
      <c r="HC9" s="4">
        <f>ROUND((csv!$HG9/10+calc!HC$1),1)</f>
        <v>9.1999999999999993</v>
      </c>
      <c r="HD9" s="4">
        <f>ROUND((csv!$HG9/10+calc!HD$1),1)</f>
        <v>9.3000000000000007</v>
      </c>
      <c r="HE9" s="4">
        <f>ROUND((csv!$HG9/10+calc!HE$1),1)</f>
        <v>9.4</v>
      </c>
      <c r="HF9" s="4">
        <f>ROUND((csv!$HG9/10+calc!HF$1),1)</f>
        <v>9.5</v>
      </c>
      <c r="HG9" s="4">
        <f>ROUND((csv!$HG9/10+calc!HG$1),1)</f>
        <v>9.6</v>
      </c>
      <c r="HH9" s="4">
        <f>ROUND((csv!$HG9/10+calc!HH$1),1)</f>
        <v>9.6999999999999993</v>
      </c>
      <c r="HI9" s="4">
        <f>ROUND((csv!$HG9/10+calc!HI$1),1)</f>
        <v>9.8000000000000007</v>
      </c>
      <c r="HJ9" s="4">
        <f>ROUND((csv!$HG9/10+calc!HJ$1),1)</f>
        <v>9.9</v>
      </c>
      <c r="HK9" s="4">
        <f>ROUND((csv!$HG9/10+calc!HK$1),1)</f>
        <v>10</v>
      </c>
      <c r="HM9" s="2">
        <f>csv!A9*10000+csv!B9*100+csv!C9</f>
        <v>0</v>
      </c>
      <c r="HN9" s="5">
        <f>IF(ISERROR(LOOKUP(HN$1,$S9:$HK9,csv!$L9:$HD9)),NA(),LOOKUP(HN$1,$S9:$HK9,csv!$L9:$HD9))</f>
        <v>0</v>
      </c>
      <c r="HO9" s="5">
        <f>IF(ISERROR(LOOKUP(HO$1,$S9:$HK9,csv!$L9:$HD9)),NA(),LOOKUP(HO$1,$S9:$HK9,csv!$L9:$HD9))</f>
        <v>0</v>
      </c>
      <c r="HP9" s="5">
        <f>IF(ISERROR(LOOKUP(HP$1,$S9:$HK9,csv!$L9:$HD9)),NA(),LOOKUP(HP$1,$S9:$HK9,csv!$L9:$HD9))</f>
        <v>0</v>
      </c>
      <c r="HQ9" s="5">
        <f>IF(ISERROR(LOOKUP(HQ$1,$S9:$HK9,csv!$L9:$HD9)),NA(),LOOKUP(HQ$1,$S9:$HK9,csv!$L9:$HD9))</f>
        <v>0</v>
      </c>
      <c r="HR9" s="5">
        <f>IF(ISERROR(LOOKUP(HR$1,$S9:$HK9,csv!$L9:$HD9)),NA(),LOOKUP(HR$1,$S9:$HK9,csv!$L9:$HD9))</f>
        <v>0</v>
      </c>
      <c r="HS9" s="5">
        <f>IF(ISERROR(LOOKUP(HS$1,$S9:$HK9,csv!$L9:$HD9)),NA(),LOOKUP(HS$1,$S9:$HK9,csv!$L9:$HD9))</f>
        <v>0</v>
      </c>
      <c r="HT9" s="5">
        <f>IF(ISERROR(LOOKUP(HT$1,$S9:$HK9,csv!$L9:$HD9)),NA(),LOOKUP(HT$1,$S9:$HK9,csv!$L9:$HD9))</f>
        <v>0</v>
      </c>
      <c r="HU9" s="5">
        <f>IF(ISERROR(LOOKUP(HU$1,$S9:$HK9,csv!$L9:$HD9)),NA(),LOOKUP(HU$1,$S9:$HK9,csv!$L9:$HD9))</f>
        <v>0</v>
      </c>
      <c r="HV9" s="5">
        <f>IF(ISERROR(LOOKUP(HV$1,$S9:$HK9,csv!$L9:$HD9)),NA(),LOOKUP(HV$1,$S9:$HK9,csv!$L9:$HD9))</f>
        <v>0</v>
      </c>
      <c r="HW9" s="5">
        <f>IF(ISERROR(LOOKUP(HW$1,$S9:$HK9,csv!$L9:$HD9)),NA(),LOOKUP(HW$1,$S9:$HK9,csv!$L9:$HD9))</f>
        <v>0</v>
      </c>
      <c r="HX9" s="5">
        <f>IF(ISERROR(LOOKUP(HX$1,$S9:$HK9,csv!$L9:$HD9)),NA(),LOOKUP(HX$1,$S9:$HK9,csv!$L9:$HD9))</f>
        <v>0</v>
      </c>
      <c r="HY9" s="5">
        <f>IF(ISERROR(LOOKUP(HY$1,$S9:$HK9,csv!$L9:$HD9)),NA(),LOOKUP(HY$1,$S9:$HK9,csv!$L9:$HD9))</f>
        <v>0</v>
      </c>
      <c r="HZ9" s="5">
        <f>IF(ISERROR(LOOKUP(HZ$1,$S9:$HK9,csv!$L9:$HD9)),NA(),LOOKUP(HZ$1,$S9:$HK9,csv!$L9:$HD9))</f>
        <v>0</v>
      </c>
      <c r="IA9" s="5">
        <f>IF(ISERROR(LOOKUP(IA$1,$S9:$HK9,csv!$L9:$HD9)),NA(),LOOKUP(IA$1,$S9:$HK9,csv!$L9:$HD9))</f>
        <v>0</v>
      </c>
      <c r="IB9" s="5">
        <f>IF(ISERROR(LOOKUP(IB$1,$S9:$HK9,csv!$L9:$HD9)),NA(),LOOKUP(IB$1,$S9:$HK9,csv!$L9:$HD9))</f>
        <v>0</v>
      </c>
      <c r="IC9" s="5">
        <f>IF(ISERROR(LOOKUP(IC$1,$S9:$HK9,csv!$L9:$HD9)),NA(),LOOKUP(IC$1,$S9:$HK9,csv!$L9:$HD9))</f>
        <v>0</v>
      </c>
      <c r="ID9" s="5">
        <f>IF(ISERROR(LOOKUP(ID$1,$S9:$HK9,csv!$L9:$HD9)),NA(),LOOKUP(ID$1,$S9:$HK9,csv!$L9:$HD9))</f>
        <v>0</v>
      </c>
      <c r="IE9" s="5">
        <f>IF(ISERROR(LOOKUP(IE$1,$S9:$HK9,csv!$L9:$HD9)),NA(),LOOKUP(IE$1,$S9:$HK9,csv!$L9:$HD9))</f>
        <v>0</v>
      </c>
      <c r="IF9" s="5">
        <f>IF(ISERROR(LOOKUP(IF$1,$S9:$HK9,csv!$L9:$HD9)),NA(),LOOKUP(IF$1,$S9:$HK9,csv!$L9:$HD9))</f>
        <v>0</v>
      </c>
      <c r="IG9" s="5">
        <f>IF(ISERROR(LOOKUP(IG$1,$S9:$HK9,csv!$L9:$HD9)),NA(),LOOKUP(IG$1,$S9:$HK9,csv!$L9:$HD9))</f>
        <v>0</v>
      </c>
      <c r="IH9" s="5">
        <f>IF(ISERROR(LOOKUP(IH$1,$S9:$HK9,csv!$L9:$HD9)),NA(),LOOKUP(IH$1,$S9:$HK9,csv!$L9:$HD9))</f>
        <v>0</v>
      </c>
      <c r="II9" s="5">
        <f>IF(ISERROR(LOOKUP(II$1,$S9:$HK9,csv!$L9:$HD9)),NA(),LOOKUP(II$1,$S9:$HK9,csv!$L9:$HD9))</f>
        <v>0</v>
      </c>
      <c r="IJ9" s="5">
        <f>IF(ISERROR(LOOKUP(IJ$1,$S9:$HK9,csv!$L9:$HD9)),NA(),LOOKUP(IJ$1,$S9:$HK9,csv!$L9:$HD9))</f>
        <v>0</v>
      </c>
      <c r="IK9" s="5">
        <f>IF(ISERROR(LOOKUP(IK$1,$S9:$HK9,csv!$L9:$HD9)),NA(),LOOKUP(IK$1,$S9:$HK9,csv!$L9:$HD9))</f>
        <v>0</v>
      </c>
      <c r="IL9" s="5">
        <f>IF(ISERROR(LOOKUP(IL$1,$S9:$HK9,csv!$L9:$HD9)),NA(),LOOKUP(IL$1,$S9:$HK9,csv!$L9:$HD9))</f>
        <v>0</v>
      </c>
      <c r="IM9" s="5">
        <f>IF(ISERROR(LOOKUP(IM$1,$S9:$HK9,csv!$L9:$HD9)),NA(),LOOKUP(IM$1,$S9:$HK9,csv!$L9:$HD9))</f>
        <v>0</v>
      </c>
      <c r="IN9" s="5">
        <f>IF(ISERROR(LOOKUP(IN$1,$S9:$HK9,csv!$L9:$HD9)),NA(),LOOKUP(IN$1,$S9:$HK9,csv!$L9:$HD9))</f>
        <v>0</v>
      </c>
      <c r="IO9" s="5">
        <f>IF(ISERROR(LOOKUP(IO$1,$S9:$HK9,csv!$L9:$HD9)),NA(),LOOKUP(IO$1,$S9:$HK9,csv!$L9:$HD9))</f>
        <v>0</v>
      </c>
      <c r="IP9" s="5">
        <f>IF(ISERROR(LOOKUP(IP$1,$S9:$HK9,csv!$L9:$HD9)),NA(),LOOKUP(IP$1,$S9:$HK9,csv!$L9:$HD9))</f>
        <v>0</v>
      </c>
      <c r="IQ9" s="5">
        <f>IF(ISERROR(LOOKUP(IQ$1,$S9:$HK9,csv!$L9:$HD9)),NA(),LOOKUP(IQ$1,$S9:$HK9,csv!$L9:$HD9))</f>
        <v>0</v>
      </c>
      <c r="IR9" s="5">
        <f>IF(ISERROR(LOOKUP(IR$1,$S9:$HK9,csv!$L9:$HD9)),NA(),LOOKUP(IR$1,$S9:$HK9,csv!$L9:$HD9))</f>
        <v>0</v>
      </c>
      <c r="IS9" s="5">
        <f>IF(ISERROR(LOOKUP(IS$1,$S9:$HK9,csv!$L9:$HD9)),NA(),LOOKUP(IS$1,$S9:$HK9,csv!$L9:$HD9))</f>
        <v>0</v>
      </c>
      <c r="IT9" s="5">
        <f>IF(ISERROR(LOOKUP(IT$1,$S9:$HK9,csv!$L9:$HD9)),NA(),LOOKUP(IT$1,$S9:$HK9,csv!$L9:$HD9))</f>
        <v>0</v>
      </c>
      <c r="IU9" s="5">
        <f>IF(ISERROR(LOOKUP(IU$1,$S9:$HK9,csv!$L9:$HD9)),NA(),LOOKUP(IU$1,$S9:$HK9,csv!$L9:$HD9))</f>
        <v>0</v>
      </c>
      <c r="IV9" s="5">
        <f>IF(ISERROR(LOOKUP(IV$1,$S9:$HK9,csv!$L9:$HD9)),NA(),LOOKUP(IV$1,$S9:$HK9,csv!$L9:$HD9))</f>
        <v>0</v>
      </c>
      <c r="IW9" s="5">
        <f>IF(ISERROR(LOOKUP(IW$1,$S9:$HK9,csv!$L9:$HD9)),NA(),LOOKUP(IW$1,$S9:$HK9,csv!$L9:$HD9))</f>
        <v>0</v>
      </c>
      <c r="IX9" s="5">
        <f>IF(ISERROR(LOOKUP(IX$1,$S9:$HK9,csv!$L9:$HD9)),NA(),LOOKUP(IX$1,$S9:$HK9,csv!$L9:$HD9))</f>
        <v>0</v>
      </c>
      <c r="IY9" s="5">
        <f>IF(ISERROR(LOOKUP(IY$1,$S9:$HK9,csv!$L9:$HD9)),NA(),LOOKUP(IY$1,$S9:$HK9,csv!$L9:$HD9))</f>
        <v>0</v>
      </c>
      <c r="IZ9" s="5">
        <f>IF(ISERROR(LOOKUP(IZ$1,$S9:$HK9,csv!$L9:$HD9)),NA(),LOOKUP(IZ$1,$S9:$HK9,csv!$L9:$HD9))</f>
        <v>0</v>
      </c>
      <c r="JA9" s="5">
        <f>IF(ISERROR(LOOKUP(JA$1,$S9:$HK9,csv!$L9:$HD9)),NA(),LOOKUP(JA$1,$S9:$HK9,csv!$L9:$HD9))</f>
        <v>0</v>
      </c>
      <c r="JB9" s="5">
        <f>IF(ISERROR(LOOKUP(JB$1,$S9:$HK9,csv!$L9:$HD9)),NA(),LOOKUP(JB$1,$S9:$HK9,csv!$L9:$HD9))</f>
        <v>0</v>
      </c>
      <c r="JC9" s="5">
        <f>IF(ISERROR(LOOKUP(JC$1,$S9:$HK9,csv!$L9:$HD9)),NA(),LOOKUP(JC$1,$S9:$HK9,csv!$L9:$HD9))</f>
        <v>0</v>
      </c>
      <c r="JD9" s="5">
        <f>IF(ISERROR(LOOKUP(JD$1,$S9:$HK9,csv!$L9:$HD9)),NA(),LOOKUP(JD$1,$S9:$HK9,csv!$L9:$HD9))</f>
        <v>0</v>
      </c>
      <c r="JE9" s="5">
        <f>IF(ISERROR(LOOKUP(JE$1,$S9:$HK9,csv!$L9:$HD9)),NA(),LOOKUP(JE$1,$S9:$HK9,csv!$L9:$HD9))</f>
        <v>0</v>
      </c>
      <c r="JF9" s="5">
        <f>IF(ISERROR(LOOKUP(JF$1,$S9:$HK9,csv!$L9:$HD9)),NA(),LOOKUP(JF$1,$S9:$HK9,csv!$L9:$HD9))</f>
        <v>0</v>
      </c>
      <c r="JG9" s="5">
        <f>IF(ISERROR(LOOKUP(JG$1,$S9:$HK9,csv!$L9:$HD9)),NA(),LOOKUP(JG$1,$S9:$HK9,csv!$L9:$HD9))</f>
        <v>0</v>
      </c>
      <c r="JH9" s="5">
        <f>IF(ISERROR(LOOKUP(JH$1,$S9:$HK9,csv!$L9:$HD9)),NA(),LOOKUP(JH$1,$S9:$HK9,csv!$L9:$HD9))</f>
        <v>0</v>
      </c>
      <c r="JI9" s="5">
        <f>IF(ISERROR(LOOKUP(JI$1,$S9:$HK9,csv!$L9:$HD9)),NA(),LOOKUP(JI$1,$S9:$HK9,csv!$L9:$HD9))</f>
        <v>0</v>
      </c>
      <c r="JJ9" s="5">
        <f>IF(ISERROR(LOOKUP(JJ$1,$S9:$HK9,csv!$L9:$HD9)),NA(),LOOKUP(JJ$1,$S9:$HK9,csv!$L9:$HD9))</f>
        <v>0</v>
      </c>
      <c r="JK9" s="5">
        <f>IF(ISERROR(LOOKUP(JK$1,$S9:$HK9,csv!$L9:$HD9)),NA(),LOOKUP(JK$1,$S9:$HK9,csv!$L9:$HD9))</f>
        <v>0</v>
      </c>
      <c r="JL9" s="5">
        <f>IF(ISERROR(LOOKUP(JL$1,$S9:$HK9,csv!$L9:$HD9)),NA(),LOOKUP(JL$1,$S9:$HK9,csv!$L9:$HD9))</f>
        <v>0</v>
      </c>
      <c r="JM9" s="5">
        <f>IF(ISERROR(LOOKUP(JM$1,$S9:$HK9,csv!$L9:$HD9)),NA(),LOOKUP(JM$1,$S9:$HK9,csv!$L9:$HD9))</f>
        <v>0</v>
      </c>
      <c r="JN9" s="5">
        <f>IF(ISERROR(LOOKUP(JN$1,$S9:$HK9,csv!$L9:$HD9)),NA(),LOOKUP(JN$1,$S9:$HK9,csv!$L9:$HD9))</f>
        <v>0</v>
      </c>
      <c r="JO9" s="5">
        <f>IF(ISERROR(LOOKUP(JO$1,$S9:$HK9,csv!$L9:$HD9)),NA(),LOOKUP(JO$1,$S9:$HK9,csv!$L9:$HD9))</f>
        <v>0</v>
      </c>
      <c r="JP9" s="5">
        <f>IF(ISERROR(LOOKUP(JP$1,$S9:$HK9,csv!$L9:$HD9)),NA(),LOOKUP(JP$1,$S9:$HK9,csv!$L9:$HD9))</f>
        <v>0</v>
      </c>
      <c r="JQ9" s="5">
        <f>IF(ISERROR(LOOKUP(JQ$1,$S9:$HK9,csv!$L9:$HD9)),NA(),LOOKUP(JQ$1,$S9:$HK9,csv!$L9:$HD9))</f>
        <v>0</v>
      </c>
      <c r="JR9" s="5">
        <f>IF(ISERROR(LOOKUP(JR$1,$S9:$HK9,csv!$L9:$HD9)),NA(),LOOKUP(JR$1,$S9:$HK9,csv!$L9:$HD9))</f>
        <v>0</v>
      </c>
      <c r="JS9" s="5">
        <f>IF(ISERROR(LOOKUP(JS$1,$S9:$HK9,csv!$L9:$HD9)),NA(),LOOKUP(JS$1,$S9:$HK9,csv!$L9:$HD9))</f>
        <v>0</v>
      </c>
      <c r="JT9" s="5">
        <f>IF(ISERROR(LOOKUP(JT$1,$S9:$HK9,csv!$L9:$HD9)),NA(),LOOKUP(JT$1,$S9:$HK9,csv!$L9:$HD9))</f>
        <v>0</v>
      </c>
      <c r="JU9" s="5">
        <f>IF(ISERROR(LOOKUP(JU$1,$S9:$HK9,csv!$L9:$HD9)),NA(),LOOKUP(JU$1,$S9:$HK9,csv!$L9:$HD9))</f>
        <v>0</v>
      </c>
      <c r="JV9" s="5">
        <f>IF(ISERROR(LOOKUP(JV$1,$S9:$HK9,csv!$L9:$HD9)),NA(),LOOKUP(JV$1,$S9:$HK9,csv!$L9:$HD9))</f>
        <v>0</v>
      </c>
      <c r="JW9" s="5">
        <f>IF(ISERROR(LOOKUP(JW$1,$S9:$HK9,csv!$L9:$HD9)),NA(),LOOKUP(JW$1,$S9:$HK9,csv!$L9:$HD9))</f>
        <v>0</v>
      </c>
      <c r="JX9" s="5">
        <f>IF(ISERROR(LOOKUP(JX$1,$S9:$HK9,csv!$L9:$HD9)),NA(),LOOKUP(JX$1,$S9:$HK9,csv!$L9:$HD9))</f>
        <v>0</v>
      </c>
      <c r="JY9" s="5">
        <f>IF(ISERROR(LOOKUP(JY$1,$S9:$HK9,csv!$L9:$HD9)),NA(),LOOKUP(JY$1,$S9:$HK9,csv!$L9:$HD9))</f>
        <v>0</v>
      </c>
      <c r="JZ9" s="5">
        <f>IF(ISERROR(LOOKUP(JZ$1,$S9:$HK9,csv!$L9:$HD9)),NA(),LOOKUP(JZ$1,$S9:$HK9,csv!$L9:$HD9))</f>
        <v>0</v>
      </c>
      <c r="KA9" s="5">
        <f>IF(ISERROR(LOOKUP(KA$1,$S9:$HK9,csv!$L9:$HD9)),NA(),LOOKUP(KA$1,$S9:$HK9,csv!$L9:$HD9))</f>
        <v>0</v>
      </c>
      <c r="KB9" s="5">
        <f>IF(ISERROR(LOOKUP(KB$1,$S9:$HK9,csv!$L9:$HD9)),NA(),LOOKUP(KB$1,$S9:$HK9,csv!$L9:$HD9))</f>
        <v>0</v>
      </c>
      <c r="KC9" s="5">
        <f>IF(ISERROR(LOOKUP(KC$1,$S9:$HK9,csv!$L9:$HD9)),NA(),LOOKUP(KC$1,$S9:$HK9,csv!$L9:$HD9))</f>
        <v>0</v>
      </c>
      <c r="KD9" s="5">
        <f>IF(ISERROR(LOOKUP(KD$1,$S9:$HK9,csv!$L9:$HD9)),NA(),LOOKUP(KD$1,$S9:$HK9,csv!$L9:$HD9))</f>
        <v>0</v>
      </c>
      <c r="KE9" s="5">
        <f>IF(ISERROR(LOOKUP(KE$1,$S9:$HK9,csv!$L9:$HD9)),NA(),LOOKUP(KE$1,$S9:$HK9,csv!$L9:$HD9))</f>
        <v>0</v>
      </c>
      <c r="KF9" s="5">
        <f>IF(ISERROR(LOOKUP(KF$1,$S9:$HK9,csv!$L9:$HD9)),NA(),LOOKUP(KF$1,$S9:$HK9,csv!$L9:$HD9))</f>
        <v>0</v>
      </c>
      <c r="KG9" s="5">
        <f>IF(ISERROR(LOOKUP(KG$1,$S9:$HK9,csv!$L9:$HD9)),NA(),LOOKUP(KG$1,$S9:$HK9,csv!$L9:$HD9))</f>
        <v>0</v>
      </c>
      <c r="KH9" s="5">
        <f>IF(ISERROR(LOOKUP(KH$1,$S9:$HK9,csv!$L9:$HD9)),NA(),LOOKUP(KH$1,$S9:$HK9,csv!$L9:$HD9))</f>
        <v>0</v>
      </c>
      <c r="KI9" s="5">
        <f>IF(ISERROR(LOOKUP(KI$1,$S9:$HK9,csv!$L9:$HD9)),NA(),LOOKUP(KI$1,$S9:$HK9,csv!$L9:$HD9))</f>
        <v>0</v>
      </c>
      <c r="KJ9" s="5">
        <f>IF(ISERROR(LOOKUP(KJ$1,$S9:$HK9,csv!$L9:$HD9)),NA(),LOOKUP(KJ$1,$S9:$HK9,csv!$L9:$HD9))</f>
        <v>0</v>
      </c>
      <c r="KK9" s="5">
        <f>IF(ISERROR(LOOKUP(KK$1,$S9:$HK9,csv!$L9:$HD9)),NA(),LOOKUP(KK$1,$S9:$HK9,csv!$L9:$HD9))</f>
        <v>0</v>
      </c>
      <c r="KL9" s="5">
        <f>IF(ISERROR(LOOKUP(KL$1,$S9:$HK9,csv!$L9:$HD9)),NA(),LOOKUP(KL$1,$S9:$HK9,csv!$L9:$HD9))</f>
        <v>0</v>
      </c>
      <c r="KM9" s="5">
        <f>IF(ISERROR(LOOKUP(KM$1,$S9:$HK9,csv!$L9:$HD9)),NA(),LOOKUP(KM$1,$S9:$HK9,csv!$L9:$HD9))</f>
        <v>0</v>
      </c>
      <c r="KN9" s="5">
        <f>IF(ISERROR(LOOKUP(KN$1,$S9:$HK9,csv!$L9:$HD9)),NA(),LOOKUP(KN$1,$S9:$HK9,csv!$L9:$HD9))</f>
        <v>0</v>
      </c>
      <c r="KO9" s="5">
        <f>IF(ISERROR(LOOKUP(KO$1,$S9:$HK9,csv!$L9:$HD9)),NA(),LOOKUP(KO$1,$S9:$HK9,csv!$L9:$HD9))</f>
        <v>0</v>
      </c>
      <c r="KP9" s="5">
        <f>IF(ISERROR(LOOKUP(KP$1,$S9:$HK9,csv!$L9:$HD9)),NA(),LOOKUP(KP$1,$S9:$HK9,csv!$L9:$HD9))</f>
        <v>0</v>
      </c>
      <c r="KQ9" s="5">
        <f>IF(ISERROR(LOOKUP(KQ$1,$S9:$HK9,csv!$L9:$HD9)),NA(),LOOKUP(KQ$1,$S9:$HK9,csv!$L9:$HD9))</f>
        <v>0</v>
      </c>
      <c r="KR9" s="5">
        <f>IF(ISERROR(LOOKUP(KR$1,$S9:$HK9,csv!$L9:$HD9)),NA(),LOOKUP(KR$1,$S9:$HK9,csv!$L9:$HD9))</f>
        <v>0</v>
      </c>
      <c r="KS9" s="5">
        <f>IF(ISERROR(LOOKUP(KS$1,$S9:$HK9,csv!$L9:$HD9)),NA(),LOOKUP(KS$1,$S9:$HK9,csv!$L9:$HD9))</f>
        <v>0</v>
      </c>
      <c r="KT9" s="5">
        <f>IF(ISERROR(LOOKUP(KT$1,$S9:$HK9,csv!$L9:$HD9)),NA(),LOOKUP(KT$1,$S9:$HK9,csv!$L9:$HD9))</f>
        <v>0</v>
      </c>
      <c r="KU9" s="5">
        <f>IF(ISERROR(LOOKUP(KU$1,$S9:$HK9,csv!$L9:$HD9)),NA(),LOOKUP(KU$1,$S9:$HK9,csv!$L9:$HD9))</f>
        <v>0</v>
      </c>
      <c r="KV9" s="5">
        <f>IF(ISERROR(LOOKUP(KV$1,$S9:$HK9,csv!$L9:$HD9)),NA(),LOOKUP(KV$1,$S9:$HK9,csv!$L9:$HD9))</f>
        <v>0</v>
      </c>
      <c r="KW9" s="5">
        <f>IF(ISERROR(LOOKUP(KW$1,$S9:$HK9,csv!$L9:$HD9)),NA(),LOOKUP(KW$1,$S9:$HK9,csv!$L9:$HD9))</f>
        <v>0</v>
      </c>
      <c r="KX9" s="5">
        <f>IF(ISERROR(LOOKUP(KX$1,$S9:$HK9,csv!$L9:$HD9)),NA(),LOOKUP(KX$1,$S9:$HK9,csv!$L9:$HD9))</f>
        <v>0</v>
      </c>
      <c r="KY9" s="5">
        <f>IF(ISERROR(LOOKUP(KY$1,$S9:$HK9,csv!$L9:$HD9)),NA(),LOOKUP(KY$1,$S9:$HK9,csv!$L9:$HD9))</f>
        <v>0</v>
      </c>
      <c r="KZ9" s="5">
        <f>IF(ISERROR(LOOKUP(KZ$1,$S9:$HK9,csv!$L9:$HD9)),NA(),LOOKUP(KZ$1,$S9:$HK9,csv!$L9:$HD9))</f>
        <v>0</v>
      </c>
      <c r="LA9" s="5">
        <f>IF(ISERROR(LOOKUP(LA$1,$S9:$HK9,csv!$L9:$HD9)),NA(),LOOKUP(LA$1,$S9:$HK9,csv!$L9:$HD9))</f>
        <v>0</v>
      </c>
      <c r="LB9" s="5">
        <f>IF(ISERROR(LOOKUP(LB$1,$S9:$HK9,csv!$L9:$HD9)),NA(),LOOKUP(LB$1,$S9:$HK9,csv!$L9:$HD9))</f>
        <v>0</v>
      </c>
      <c r="LC9" s="5">
        <f>IF(ISERROR(LOOKUP(LC$1,$S9:$HK9,csv!$L9:$HD9)),NA(),LOOKUP(LC$1,$S9:$HK9,csv!$L9:$HD9))</f>
        <v>0</v>
      </c>
      <c r="LD9" s="5">
        <f>IF(ISERROR(LOOKUP(LD$1,$S9:$HK9,csv!$L9:$HD9)),NA(),LOOKUP(LD$1,$S9:$HK9,csv!$L9:$HD9))</f>
        <v>0</v>
      </c>
      <c r="LE9" s="5">
        <f>IF(ISERROR(LOOKUP(LE$1,$S9:$HK9,csv!$L9:$HD9)),NA(),LOOKUP(LE$1,$S9:$HK9,csv!$L9:$HD9))</f>
        <v>0</v>
      </c>
      <c r="LF9" s="5">
        <f>IF(ISERROR(LOOKUP(LF$1,$S9:$HK9,csv!$L9:$HD9)),NA(),LOOKUP(LF$1,$S9:$HK9,csv!$L9:$HD9))</f>
        <v>0</v>
      </c>
      <c r="LG9" s="5">
        <f>IF(ISERROR(LOOKUP(LG$1,$S9:$HK9,csv!$L9:$HD9)),NA(),LOOKUP(LG$1,$S9:$HK9,csv!$L9:$HD9))</f>
        <v>0</v>
      </c>
      <c r="LH9" s="5">
        <f>IF(ISERROR(LOOKUP(LH$1,$S9:$HK9,csv!$L9:$HD9)),NA(),LOOKUP(LH$1,$S9:$HK9,csv!$L9:$HD9))</f>
        <v>0</v>
      </c>
      <c r="LI9" s="5">
        <f>IF(ISERROR(LOOKUP(LI$1,$S9:$HK9,csv!$L9:$HD9)),NA(),LOOKUP(LI$1,$S9:$HK9,csv!$L9:$HD9))</f>
        <v>0</v>
      </c>
      <c r="LJ9" s="5">
        <f>IF(ISERROR(LOOKUP(LJ$1,$S9:$HK9,csv!$L9:$HD9)),NA(),LOOKUP(LJ$1,$S9:$HK9,csv!$L9:$HD9))</f>
        <v>0</v>
      </c>
      <c r="LK9" s="5">
        <f>IF(ISERROR(LOOKUP(LK$1,$S9:$HK9,csv!$L9:$HD9)),NA(),LOOKUP(LK$1,$S9:$HK9,csv!$L9:$HD9))</f>
        <v>0</v>
      </c>
      <c r="LL9" s="5">
        <f>IF(ISERROR(LOOKUP(LL$1,$S9:$HK9,csv!$L9:$HD9)),NA(),LOOKUP(LL$1,$S9:$HK9,csv!$L9:$HD9))</f>
        <v>0</v>
      </c>
      <c r="LM9" s="5">
        <f>IF(ISERROR(LOOKUP(LM$1,$S9:$HK9,csv!$L9:$HD9)),NA(),LOOKUP(LM$1,$S9:$HK9,csv!$L9:$HD9))</f>
        <v>0</v>
      </c>
      <c r="LN9" s="5">
        <f>IF(ISERROR(LOOKUP(LN$1,$S9:$HK9,csv!$L9:$HD9)),NA(),LOOKUP(LN$1,$S9:$HK9,csv!$L9:$HD9))</f>
        <v>0</v>
      </c>
      <c r="LO9" s="5">
        <f>IF(ISERROR(LOOKUP(LO$1,$S9:$HK9,csv!$L9:$HD9)),NA(),LOOKUP(LO$1,$S9:$HK9,csv!$L9:$HD9))</f>
        <v>0</v>
      </c>
      <c r="LP9" s="5">
        <f>IF(ISERROR(LOOKUP(LP$1,$S9:$HK9,csv!$L9:$HD9)),NA(),LOOKUP(LP$1,$S9:$HK9,csv!$L9:$HD9))</f>
        <v>0</v>
      </c>
      <c r="LQ9" s="5">
        <f>IF(ISERROR(LOOKUP(LQ$1,$S9:$HK9,csv!$L9:$HD9)),NA(),LOOKUP(LQ$1,$S9:$HK9,csv!$L9:$HD9))</f>
        <v>0</v>
      </c>
      <c r="LR9" s="5">
        <f>IF(ISERROR(LOOKUP(LR$1,$S9:$HK9,csv!$L9:$HD9)),NA(),LOOKUP(LR$1,$S9:$HK9,csv!$L9:$HD9))</f>
        <v>0</v>
      </c>
      <c r="LS9" s="5">
        <f>IF(ISERROR(LOOKUP(LS$1,$S9:$HK9,csv!$L9:$HD9)),NA(),LOOKUP(LS$1,$S9:$HK9,csv!$L9:$HD9))</f>
        <v>0</v>
      </c>
      <c r="LT9" s="5">
        <f>IF(ISERROR(LOOKUP(LT$1,$S9:$HK9,csv!$L9:$HD9)),NA(),LOOKUP(LT$1,$S9:$HK9,csv!$L9:$HD9))</f>
        <v>0</v>
      </c>
      <c r="LU9" s="5">
        <f>IF(ISERROR(LOOKUP(LU$1,$S9:$HK9,csv!$L9:$HD9)),NA(),LOOKUP(LU$1,$S9:$HK9,csv!$L9:$HD9))</f>
        <v>0</v>
      </c>
      <c r="LV9" s="5">
        <f>IF(ISERROR(LOOKUP(LV$1,$S9:$HK9,csv!$L9:$HD9)),NA(),LOOKUP(LV$1,$S9:$HK9,csv!$L9:$HD9))</f>
        <v>0</v>
      </c>
      <c r="LW9" s="5">
        <f>IF(ISERROR(LOOKUP(LW$1,$S9:$HK9,csv!$L9:$HD9)),NA(),LOOKUP(LW$1,$S9:$HK9,csv!$L9:$HD9))</f>
        <v>0</v>
      </c>
      <c r="LX9" s="5">
        <f>IF(ISERROR(LOOKUP(LX$1,$S9:$HK9,csv!$L9:$HD9)),NA(),LOOKUP(LX$1,$S9:$HK9,csv!$L9:$HD9))</f>
        <v>0</v>
      </c>
      <c r="LY9" s="5">
        <f>IF(ISERROR(LOOKUP(LY$1,$S9:$HK9,csv!$L9:$HD9)),NA(),LOOKUP(LY$1,$S9:$HK9,csv!$L9:$HD9))</f>
        <v>0</v>
      </c>
      <c r="LZ9" s="5">
        <f>IF(ISERROR(LOOKUP(LZ$1,$S9:$HK9,csv!$L9:$HD9)),NA(),LOOKUP(LZ$1,$S9:$HK9,csv!$L9:$HD9))</f>
        <v>0</v>
      </c>
      <c r="MA9" s="5">
        <f>IF(ISERROR(LOOKUP(MA$1,$S9:$HK9,csv!$L9:$HD9)),NA(),LOOKUP(MA$1,$S9:$HK9,csv!$L9:$HD9))</f>
        <v>0</v>
      </c>
      <c r="MB9" s="5">
        <f>IF(ISERROR(LOOKUP(MB$1,$S9:$HK9,csv!$L9:$HD9)),NA(),LOOKUP(MB$1,$S9:$HK9,csv!$L9:$HD9))</f>
        <v>0</v>
      </c>
      <c r="MC9" s="5">
        <f>IF(ISERROR(LOOKUP(MC$1,$S9:$HK9,csv!$L9:$HD9)),NA(),LOOKUP(MC$1,$S9:$HK9,csv!$L9:$HD9))</f>
        <v>0</v>
      </c>
      <c r="MD9" s="5">
        <f>IF(ISERROR(LOOKUP(MD$1,$S9:$HK9,csv!$L9:$HD9)),NA(),LOOKUP(MD$1,$S9:$HK9,csv!$L9:$HD9))</f>
        <v>0</v>
      </c>
      <c r="ME9" s="5">
        <f>IF(ISERROR(LOOKUP(ME$1,$S9:$HK9,csv!$L9:$HD9)),NA(),LOOKUP(ME$1,$S9:$HK9,csv!$L9:$HD9))</f>
        <v>0</v>
      </c>
      <c r="MF9" s="5">
        <f>IF(ISERROR(LOOKUP(MF$1,$S9:$HK9,csv!$L9:$HD9)),NA(),LOOKUP(MF$1,$S9:$HK9,csv!$L9:$HD9))</f>
        <v>0</v>
      </c>
      <c r="MG9" s="5">
        <f>IF(ISERROR(LOOKUP(MG$1,$S9:$HK9,csv!$L9:$HD9)),NA(),LOOKUP(MG$1,$S9:$HK9,csv!$L9:$HD9))</f>
        <v>0</v>
      </c>
      <c r="MH9" s="5">
        <f>IF(ISERROR(LOOKUP(MH$1,$S9:$HK9,csv!$L9:$HD9)),NA(),LOOKUP(MH$1,$S9:$HK9,csv!$L9:$HD9))</f>
        <v>0</v>
      </c>
      <c r="MI9" s="5">
        <f>IF(ISERROR(LOOKUP(MI$1,$S9:$HK9,csv!$L9:$HD9)),NA(),LOOKUP(MI$1,$S9:$HK9,csv!$L9:$HD9))</f>
        <v>0</v>
      </c>
      <c r="MJ9" s="5">
        <f>IF(ISERROR(LOOKUP(MJ$1,$S9:$HK9,csv!$L9:$HD9)),NA(),LOOKUP(MJ$1,$S9:$HK9,csv!$L9:$HD9))</f>
        <v>0</v>
      </c>
      <c r="MK9" s="5">
        <f>IF(ISERROR(LOOKUP(MK$1,$S9:$HK9,csv!$L9:$HD9)),NA(),LOOKUP(MK$1,$S9:$HK9,csv!$L9:$HD9))</f>
        <v>0</v>
      </c>
      <c r="ML9" s="5">
        <f>IF(ISERROR(LOOKUP(ML$1,$S9:$HK9,csv!$L9:$HD9)),NA(),LOOKUP(ML$1,$S9:$HK9,csv!$L9:$HD9))</f>
        <v>0</v>
      </c>
      <c r="MM9" s="5">
        <f>IF(ISERROR(LOOKUP(MM$1,$S9:$HK9,csv!$L9:$HD9)),NA(),LOOKUP(MM$1,$S9:$HK9,csv!$L9:$HD9))</f>
        <v>0</v>
      </c>
      <c r="MN9" s="5">
        <f>IF(ISERROR(LOOKUP(MN$1,$S9:$HK9,csv!$L9:$HD9)),NA(),LOOKUP(MN$1,$S9:$HK9,csv!$L9:$HD9))</f>
        <v>0</v>
      </c>
      <c r="MO9" s="5">
        <f>IF(ISERROR(LOOKUP(MO$1,$S9:$HK9,csv!$L9:$HD9)),NA(),LOOKUP(MO$1,$S9:$HK9,csv!$L9:$HD9))</f>
        <v>0</v>
      </c>
      <c r="MP9" s="5">
        <f>IF(ISERROR(LOOKUP(MP$1,$S9:$HK9,csv!$L9:$HD9)),NA(),LOOKUP(MP$1,$S9:$HK9,csv!$L9:$HD9))</f>
        <v>0</v>
      </c>
      <c r="MQ9" s="5">
        <f>IF(ISERROR(LOOKUP(MQ$1,$S9:$HK9,csv!$L9:$HD9)),NA(),LOOKUP(MQ$1,$S9:$HK9,csv!$L9:$HD9))</f>
        <v>0</v>
      </c>
      <c r="MR9" s="5">
        <f>IF(ISERROR(LOOKUP(MR$1,$S9:$HK9,csv!$L9:$HD9)),NA(),LOOKUP(MR$1,$S9:$HK9,csv!$L9:$HD9))</f>
        <v>0</v>
      </c>
      <c r="MS9" s="5">
        <f>IF(ISERROR(LOOKUP(MS$1,$S9:$HK9,csv!$L9:$HD9)),NA(),LOOKUP(MS$1,$S9:$HK9,csv!$L9:$HD9))</f>
        <v>0</v>
      </c>
      <c r="MT9" s="5">
        <f>IF(ISERROR(LOOKUP(MT$1,$S9:$HK9,csv!$L9:$HD9)),NA(),LOOKUP(MT$1,$S9:$HK9,csv!$L9:$HD9))</f>
        <v>0</v>
      </c>
      <c r="MU9" s="5">
        <f>IF(ISERROR(LOOKUP(MU$1,$S9:$HK9,csv!$L9:$HD9)),NA(),LOOKUP(MU$1,$S9:$HK9,csv!$L9:$HD9))</f>
        <v>0</v>
      </c>
      <c r="MV9" s="5">
        <f>IF(ISERROR(LOOKUP(MV$1,$S9:$HK9,csv!$L9:$HD9)),NA(),LOOKUP(MV$1,$S9:$HK9,csv!$L9:$HD9))</f>
        <v>0</v>
      </c>
      <c r="MW9" s="5">
        <f>IF(ISERROR(LOOKUP(MW$1,$S9:$HK9,csv!$L9:$HD9)),NA(),LOOKUP(MW$1,$S9:$HK9,csv!$L9:$HD9))</f>
        <v>0</v>
      </c>
      <c r="MX9" s="5">
        <f>IF(ISERROR(LOOKUP(MX$1,$S9:$HK9,csv!$L9:$HD9)),NA(),LOOKUP(MX$1,$S9:$HK9,csv!$L9:$HD9))</f>
        <v>0</v>
      </c>
      <c r="MY9" s="5">
        <f>IF(ISERROR(LOOKUP(MY$1,$S9:$HK9,csv!$L9:$HD9)),NA(),LOOKUP(MY$1,$S9:$HK9,csv!$L9:$HD9))</f>
        <v>0</v>
      </c>
      <c r="MZ9" s="5">
        <f>IF(ISERROR(LOOKUP(MZ$1,$S9:$HK9,csv!$L9:$HD9)),NA(),LOOKUP(MZ$1,$S9:$HK9,csv!$L9:$HD9))</f>
        <v>0</v>
      </c>
      <c r="NA9" s="5">
        <f>IF(ISERROR(LOOKUP(NA$1,$S9:$HK9,csv!$L9:$HD9)),NA(),LOOKUP(NA$1,$S9:$HK9,csv!$L9:$HD9))</f>
        <v>0</v>
      </c>
      <c r="NB9" s="5">
        <f>IF(ISERROR(LOOKUP(NB$1,$S9:$HK9,csv!$L9:$HD9)),NA(),LOOKUP(NB$1,$S9:$HK9,csv!$L9:$HD9))</f>
        <v>0</v>
      </c>
      <c r="NC9" s="5">
        <f>IF(ISERROR(LOOKUP(NC$1,$S9:$HK9,csv!$L9:$HD9)),NA(),LOOKUP(NC$1,$S9:$HK9,csv!$L9:$HD9))</f>
        <v>0</v>
      </c>
      <c r="ND9" s="5">
        <f>IF(ISERROR(LOOKUP(ND$1,$S9:$HK9,csv!$L9:$HD9)),NA(),LOOKUP(ND$1,$S9:$HK9,csv!$L9:$HD9))</f>
        <v>0</v>
      </c>
      <c r="NE9" s="5">
        <f>IF(ISERROR(LOOKUP(NE$1,$S9:$HK9,csv!$L9:$HD9)),NA(),LOOKUP(NE$1,$S9:$HK9,csv!$L9:$HD9))</f>
        <v>0</v>
      </c>
      <c r="NF9" s="5">
        <f>IF(ISERROR(LOOKUP(NF$1,$S9:$HK9,csv!$L9:$HD9)),NA(),LOOKUP(NF$1,$S9:$HK9,csv!$L9:$HD9))</f>
        <v>0</v>
      </c>
      <c r="NG9" s="5">
        <f>IF(ISERROR(LOOKUP(NG$1,$S9:$HK9,csv!$L9:$HD9)),NA(),LOOKUP(NG$1,$S9:$HK9,csv!$L9:$HD9))</f>
        <v>0</v>
      </c>
      <c r="NH9" s="5">
        <f>IF(ISERROR(LOOKUP(NH$1,$S9:$HK9,csv!$L9:$HD9)),NA(),LOOKUP(NH$1,$S9:$HK9,csv!$L9:$HD9))</f>
        <v>0</v>
      </c>
      <c r="NI9" s="5">
        <f>IF(ISERROR(LOOKUP(NI$1,$S9:$HK9,csv!$L9:$HD9)),NA(),LOOKUP(NI$1,$S9:$HK9,csv!$L9:$HD9))</f>
        <v>0</v>
      </c>
      <c r="NJ9" s="5">
        <f>IF(ISERROR(LOOKUP(NJ$1,$S9:$HK9,csv!$L9:$HD9)),NA(),LOOKUP(NJ$1,$S9:$HK9,csv!$L9:$HD9))</f>
        <v>0</v>
      </c>
      <c r="NK9" s="5">
        <f>IF(ISERROR(LOOKUP(NK$1,$S9:$HK9,csv!$L9:$HD9)),NA(),LOOKUP(NK$1,$S9:$HK9,csv!$L9:$HD9))</f>
        <v>0</v>
      </c>
      <c r="NL9" s="5">
        <f>IF(ISERROR(LOOKUP(NL$1,$S9:$HK9,csv!$L9:$HD9)),NA(),LOOKUP(NL$1,$S9:$HK9,csv!$L9:$HD9))</f>
        <v>0</v>
      </c>
      <c r="NM9" s="5">
        <f>IF(ISERROR(LOOKUP(NM$1,$S9:$HK9,csv!$L9:$HD9)),NA(),LOOKUP(NM$1,$S9:$HK9,csv!$L9:$HD9))</f>
        <v>0</v>
      </c>
      <c r="NN9" s="5">
        <f>IF(ISERROR(LOOKUP(NN$1,$S9:$HK9,csv!$L9:$HD9)),NA(),LOOKUP(NN$1,$S9:$HK9,csv!$L9:$HD9))</f>
        <v>0</v>
      </c>
      <c r="NO9" s="5">
        <f>IF(ISERROR(LOOKUP(NO$1,$S9:$HK9,csv!$L9:$HD9)),NA(),LOOKUP(NO$1,$S9:$HK9,csv!$L9:$HD9))</f>
        <v>0</v>
      </c>
      <c r="NP9" s="5">
        <f>IF(ISERROR(LOOKUP(NP$1,$S9:$HK9,csv!$L9:$HD9)),NA(),LOOKUP(NP$1,$S9:$HK9,csv!$L9:$HD9))</f>
        <v>0</v>
      </c>
      <c r="NQ9" s="5">
        <f>IF(ISERROR(LOOKUP(NQ$1,$S9:$HK9,csv!$L9:$HD9)),NA(),LOOKUP(NQ$1,$S9:$HK9,csv!$L9:$HD9))</f>
        <v>0</v>
      </c>
      <c r="NR9" s="5">
        <f>IF(ISERROR(LOOKUP(NR$1,$S9:$HK9,csv!$L9:$HD9)),NA(),LOOKUP(NR$1,$S9:$HK9,csv!$L9:$HD9))</f>
        <v>0</v>
      </c>
      <c r="NS9" s="5">
        <f>IF(ISERROR(LOOKUP(NS$1,$S9:$HK9,csv!$L9:$HD9)),NA(),LOOKUP(NS$1,$S9:$HK9,csv!$L9:$HD9))</f>
        <v>0</v>
      </c>
      <c r="NT9" s="5">
        <f>IF(ISERROR(LOOKUP(NT$1,$S9:$HK9,csv!$L9:$HD9)),NA(),LOOKUP(NT$1,$S9:$HK9,csv!$L9:$HD9))</f>
        <v>0</v>
      </c>
      <c r="NU9" s="5">
        <f>IF(ISERROR(LOOKUP(NU$1,$S9:$HK9,csv!$L9:$HD9)),NA(),LOOKUP(NU$1,$S9:$HK9,csv!$L9:$HD9))</f>
        <v>0</v>
      </c>
      <c r="NV9" s="5">
        <f>IF(ISERROR(LOOKUP(NV$1,$S9:$HK9,csv!$L9:$HD9)),NA(),LOOKUP(NV$1,$S9:$HK9,csv!$L9:$HD9))</f>
        <v>0</v>
      </c>
      <c r="NW9" s="5">
        <f>IF(ISERROR(LOOKUP(NW$1,$S9:$HK9,csv!$L9:$HD9)),NA(),LOOKUP(NW$1,$S9:$HK9,csv!$L9:$HD9))</f>
        <v>0</v>
      </c>
      <c r="NX9" s="5">
        <f>IF(ISERROR(LOOKUP(NX$1,$S9:$HK9,csv!$L9:$HD9)),NA(),LOOKUP(NX$1,$S9:$HK9,csv!$L9:$HD9))</f>
        <v>0</v>
      </c>
      <c r="NY9" s="5">
        <f>IF(ISERROR(LOOKUP(NY$1,$S9:$HK9,csv!$L9:$HD9)),NA(),LOOKUP(NY$1,$S9:$HK9,csv!$L9:$HD9))</f>
        <v>0</v>
      </c>
      <c r="NZ9" s="5">
        <f>IF(ISERROR(LOOKUP(NZ$1,$S9:$HK9,csv!$L9:$HD9)),NA(),LOOKUP(NZ$1,$S9:$HK9,csv!$L9:$HD9))</f>
        <v>0</v>
      </c>
      <c r="OA9" s="5">
        <f>IF(ISERROR(LOOKUP(OA$1,$S9:$HK9,csv!$L9:$HD9)),NA(),LOOKUP(OA$1,$S9:$HK9,csv!$L9:$HD9))</f>
        <v>0</v>
      </c>
      <c r="OB9" s="5">
        <f>IF(ISERROR(LOOKUP(OB$1,$S9:$HK9,csv!$L9:$HD9)),NA(),LOOKUP(OB$1,$S9:$HK9,csv!$L9:$HD9))</f>
        <v>0</v>
      </c>
      <c r="OC9" s="5">
        <f>IF(ISERROR(LOOKUP(OC$1,$S9:$HK9,csv!$L9:$HD9)),NA(),LOOKUP(OC$1,$S9:$HK9,csv!$L9:$HD9))</f>
        <v>0</v>
      </c>
      <c r="OD9" s="5">
        <f>IF(ISERROR(LOOKUP(OD$1,$S9:$HK9,csv!$L9:$HD9)),NA(),LOOKUP(OD$1,$S9:$HK9,csv!$L9:$HD9))</f>
        <v>0</v>
      </c>
      <c r="OE9" s="5">
        <f>IF(ISERROR(LOOKUP(OE$1,$S9:$HK9,csv!$L9:$HD9)),NA(),LOOKUP(OE$1,$S9:$HK9,csv!$L9:$HD9))</f>
        <v>0</v>
      </c>
      <c r="OF9" s="5">
        <f>IF(ISERROR(LOOKUP(OF$1,$S9:$HK9,csv!$L9:$HD9)),NA(),LOOKUP(OF$1,$S9:$HK9,csv!$L9:$HD9))</f>
        <v>0</v>
      </c>
      <c r="OG9" s="5">
        <f>IF(ISERROR(LOOKUP(OG$1,$S9:$HK9,csv!$L9:$HD9)),NA(),LOOKUP(OG$1,$S9:$HK9,csv!$L9:$HD9))</f>
        <v>0</v>
      </c>
      <c r="OH9" s="5">
        <f>IF(ISERROR(LOOKUP(OH$1,$S9:$HK9,csv!$L9:$HD9)),NA(),LOOKUP(OH$1,$S9:$HK9,csv!$L9:$HD9))</f>
        <v>0</v>
      </c>
      <c r="OI9" s="5">
        <f>IF(ISERROR(LOOKUP(OI$1,$S9:$HK9,csv!$L9:$HD9)),NA(),LOOKUP(OI$1,$S9:$HK9,csv!$L9:$HD9))</f>
        <v>0</v>
      </c>
      <c r="OJ9" s="5">
        <f>IF(ISERROR(LOOKUP(OJ$1,$S9:$HK9,csv!$L9:$HD9)),NA(),LOOKUP(OJ$1,$S9:$HK9,csv!$L9:$HD9))</f>
        <v>0</v>
      </c>
      <c r="OK9" s="5">
        <f>IF(ISERROR(LOOKUP(OK$1,$S9:$HK9,csv!$L9:$HD9)),NA(),LOOKUP(OK$1,$S9:$HK9,csv!$L9:$HD9))</f>
        <v>0</v>
      </c>
      <c r="OL9" s="5">
        <f>IF(ISERROR(LOOKUP(OL$1,$S9:$HK9,csv!$L9:$HD9)),NA(),LOOKUP(OL$1,$S9:$HK9,csv!$L9:$HD9))</f>
        <v>0</v>
      </c>
      <c r="OM9" s="5">
        <f>IF(ISERROR(LOOKUP(OM$1,$S9:$HK9,csv!$L9:$HD9)),NA(),LOOKUP(OM$1,$S9:$HK9,csv!$L9:$HD9))</f>
        <v>0</v>
      </c>
      <c r="ON9" s="5">
        <f>IF(ISERROR(LOOKUP(ON$1,$S9:$HK9,csv!$L9:$HD9)),NA(),LOOKUP(ON$1,$S9:$HK9,csv!$L9:$HD9))</f>
        <v>0</v>
      </c>
      <c r="OO9" s="5">
        <f>IF(ISERROR(LOOKUP(OO$1,$S9:$HK9,csv!$L9:$HD9)),NA(),LOOKUP(OO$1,$S9:$HK9,csv!$L9:$HD9))</f>
        <v>0</v>
      </c>
      <c r="OP9" s="5">
        <f>IF(ISERROR(LOOKUP(OP$1,$S9:$HK9,csv!$L9:$HD9)),NA(),LOOKUP(OP$1,$S9:$HK9,csv!$L9:$HD9))</f>
        <v>0</v>
      </c>
      <c r="OQ9" s="5">
        <f>IF(ISERROR(LOOKUP(OQ$1,$S9:$HK9,csv!$L9:$HD9)),NA(),LOOKUP(OQ$1,$S9:$HK9,csv!$L9:$HD9))</f>
        <v>0</v>
      </c>
      <c r="OR9" s="5">
        <f>IF(ISERROR(LOOKUP(OR$1,$S9:$HK9,csv!$L9:$HD9)),NA(),LOOKUP(OR$1,$S9:$HK9,csv!$L9:$HD9))</f>
        <v>0</v>
      </c>
      <c r="OS9" s="5">
        <f>IF(ISERROR(LOOKUP(OS$1,$S9:$HK9,csv!$L9:$HD9)),NA(),LOOKUP(OS$1,$S9:$HK9,csv!$L9:$HD9))</f>
        <v>0</v>
      </c>
      <c r="OT9" s="5">
        <f>IF(ISERROR(LOOKUP(OT$1,$S9:$HK9,csv!$L9:$HD9)),NA(),LOOKUP(OT$1,$S9:$HK9,csv!$L9:$HD9))</f>
        <v>0</v>
      </c>
      <c r="OU9" s="5">
        <f>IF(ISERROR(LOOKUP(OU$1,$S9:$HK9,csv!$L9:$HD9)),NA(),LOOKUP(OU$1,$S9:$HK9,csv!$L9:$HD9))</f>
        <v>0</v>
      </c>
      <c r="OV9" s="5">
        <f>IF(ISERROR(LOOKUP(OV$1,$S9:$HK9,csv!$L9:$HD9)),NA(),LOOKUP(OV$1,$S9:$HK9,csv!$L9:$HD9))</f>
        <v>0</v>
      </c>
      <c r="OW9" s="5">
        <f>IF(ISERROR(LOOKUP(OW$1,$S9:$HK9,csv!$L9:$HD9)),NA(),LOOKUP(OW$1,$S9:$HK9,csv!$L9:$HD9))</f>
        <v>0</v>
      </c>
      <c r="OX9" s="5">
        <f>IF(ISERROR(LOOKUP(OX$1,$S9:$HK9,csv!$L9:$HD9)),NA(),LOOKUP(OX$1,$S9:$HK9,csv!$L9:$HD9))</f>
        <v>0</v>
      </c>
      <c r="OY9" s="5">
        <f>IF(ISERROR(LOOKUP(OY$1,$S9:$HK9,csv!$L9:$HD9)),NA(),LOOKUP(OY$1,$S9:$HK9,csv!$L9:$HD9))</f>
        <v>0</v>
      </c>
      <c r="OZ9" s="5">
        <f>IF(ISERROR(LOOKUP(OZ$1,$S9:$HK9,csv!$L9:$HD9)),NA(),LOOKUP(OZ$1,$S9:$HK9,csv!$L9:$HD9))</f>
        <v>0</v>
      </c>
      <c r="PA9" s="5">
        <f>IF(ISERROR(LOOKUP(PA$1,$S9:$HK9,csv!$L9:$HD9)),NA(),LOOKUP(PA$1,$S9:$HK9,csv!$L9:$HD9))</f>
        <v>0</v>
      </c>
      <c r="PB9" s="5">
        <f>IF(ISERROR(LOOKUP(PB$1,$S9:$HK9,csv!$L9:$HD9)),NA(),LOOKUP(PB$1,$S9:$HK9,csv!$L9:$HD9))</f>
        <v>0</v>
      </c>
      <c r="PC9" s="5">
        <f>IF(ISERROR(LOOKUP(PC$1,$S9:$HK9,csv!$L9:$HD9)),NA(),LOOKUP(PC$1,$S9:$HK9,csv!$L9:$HD9))</f>
        <v>0</v>
      </c>
      <c r="PD9" s="5">
        <f>IF(ISERROR(LOOKUP(PD$1,$S9:$HK9,csv!$L9:$HD9)),NA(),LOOKUP(PD$1,$S9:$HK9,csv!$L9:$HD9))</f>
        <v>0</v>
      </c>
      <c r="PE9" s="5">
        <f>IF(ISERROR(LOOKUP(PE$1,$S9:$HK9,csv!$L9:$HD9)),NA(),LOOKUP(PE$1,$S9:$HK9,csv!$L9:$HD9))</f>
        <v>0</v>
      </c>
      <c r="PF9" s="5">
        <f>IF(ISERROR(LOOKUP(PF$1,$S9:$HK9,csv!$L9:$HD9)),NA(),LOOKUP(PF$1,$S9:$HK9,csv!$L9:$HD9))</f>
        <v>0</v>
      </c>
      <c r="PG9" s="5">
        <f>IF(ISERROR(LOOKUP(PG$1,$S9:$HK9,csv!$L9:$HD9)),NA(),LOOKUP(PG$1,$S9:$HK9,csv!$L9:$HD9))</f>
        <v>0</v>
      </c>
      <c r="PH9" s="5">
        <f>IF(ISERROR(LOOKUP(PH$1,$S9:$HK9,csv!$L9:$HD9)),NA(),LOOKUP(PH$1,$S9:$HK9,csv!$L9:$HD9))</f>
        <v>0</v>
      </c>
      <c r="PI9" s="5">
        <f>IF(ISERROR(LOOKUP(PI$1,$S9:$HK9,csv!$L9:$HD9)),NA(),LOOKUP(PI$1,$S9:$HK9,csv!$L9:$HD9))</f>
        <v>0</v>
      </c>
      <c r="PJ9" s="5">
        <f>IF(ISERROR(LOOKUP(PJ$1,$S9:$HK9,csv!$L9:$HD9)),NA(),LOOKUP(PJ$1,$S9:$HK9,csv!$L9:$HD9))</f>
        <v>0</v>
      </c>
      <c r="PK9" s="5">
        <f>IF(ISERROR(LOOKUP(PK$1,$S9:$HK9,csv!$L9:$HD9)),NA(),LOOKUP(PK$1,$S9:$HK9,csv!$L9:$HD9))</f>
        <v>0</v>
      </c>
      <c r="PL9" s="5">
        <f>IF(ISERROR(LOOKUP(PL$1,$S9:$HK9,csv!$L9:$HD9)),NA(),LOOKUP(PL$1,$S9:$HK9,csv!$L9:$HD9))</f>
        <v>0</v>
      </c>
      <c r="PM9" s="5">
        <f>IF(ISERROR(LOOKUP(PM$1,$S9:$HK9,csv!$L9:$HD9)),NA(),LOOKUP(PM$1,$S9:$HK9,csv!$L9:$HD9))</f>
        <v>0</v>
      </c>
      <c r="PN9" s="5">
        <f>IF(ISERROR(LOOKUP(PN$1,$S9:$HK9,csv!$L9:$HD9)),NA(),LOOKUP(PN$1,$S9:$HK9,csv!$L9:$HD9))</f>
        <v>0</v>
      </c>
      <c r="PO9" s="5">
        <f>IF(ISERROR(LOOKUP(PO$1,$S9:$HK9,csv!$L9:$HD9)),NA(),LOOKUP(PO$1,$S9:$HK9,csv!$L9:$HD9))</f>
        <v>0</v>
      </c>
      <c r="PP9" s="5">
        <f>IF(ISERROR(LOOKUP(PP$1,$S9:$HK9,csv!$L9:$HD9)),NA(),LOOKUP(PP$1,$S9:$HK9,csv!$L9:$HD9))</f>
        <v>0</v>
      </c>
      <c r="PQ9" s="5">
        <f>IF(ISERROR(LOOKUP(PQ$1,$S9:$HK9,csv!$L9:$HD9)),NA(),LOOKUP(PQ$1,$S9:$HK9,csv!$L9:$HD9))</f>
        <v>0</v>
      </c>
      <c r="PR9" s="5">
        <f>IF(ISERROR(LOOKUP(PR$1,$S9:$HK9,csv!$L9:$HD9)),NA(),LOOKUP(PR$1,$S9:$HK9,csv!$L9:$HD9))</f>
        <v>0</v>
      </c>
      <c r="PS9" s="5">
        <f>IF(ISERROR(LOOKUP(PS$1,$S9:$HK9,csv!$L9:$HD9)),NA(),LOOKUP(PS$1,$S9:$HK9,csv!$L9:$HD9))</f>
        <v>0</v>
      </c>
      <c r="PT9" s="5">
        <f>IF(ISERROR(LOOKUP(PT$1,$S9:$HK9,csv!$L9:$HD9)),NA(),LOOKUP(PT$1,$S9:$HK9,csv!$L9:$HD9))</f>
        <v>0</v>
      </c>
      <c r="PU9" s="5">
        <f>IF(ISERROR(LOOKUP(PU$1,$S9:$HK9,csv!$L9:$HD9)),NA(),LOOKUP(PU$1,$S9:$HK9,csv!$L9:$HD9))</f>
        <v>0</v>
      </c>
      <c r="PV9" s="5">
        <f>IF(ISERROR(LOOKUP(PV$1,$S9:$HK9,csv!$L9:$HD9)),NA(),LOOKUP(PV$1,$S9:$HK9,csv!$L9:$HD9))</f>
        <v>0</v>
      </c>
      <c r="PW9" s="5">
        <f>IF(ISERROR(LOOKUP(PW$1,$S9:$HK9,csv!$L9:$HD9)),NA(),LOOKUP(PW$1,$S9:$HK9,csv!$L9:$HD9))</f>
        <v>0</v>
      </c>
      <c r="PX9" s="5">
        <f>IF(ISERROR(LOOKUP(PX$1,$S9:$HK9,csv!$L9:$HD9)),NA(),LOOKUP(PX$1,$S9:$HK9,csv!$L9:$HD9))</f>
        <v>0</v>
      </c>
      <c r="PY9" s="5">
        <f>IF(ISERROR(LOOKUP(PY$1,$S9:$HK9,csv!$L9:$HD9)),NA(),LOOKUP(PY$1,$S9:$HK9,csv!$L9:$HD9))</f>
        <v>0</v>
      </c>
      <c r="PZ9" s="5">
        <f>IF(ISERROR(LOOKUP(PZ$1,$S9:$HK9,csv!$L9:$HD9)),NA(),LOOKUP(PZ$1,$S9:$HK9,csv!$L9:$HD9))</f>
        <v>0</v>
      </c>
      <c r="QA9" s="5">
        <f>IF(ISERROR(LOOKUP(QA$1,$S9:$HK9,csv!$L9:$HD9)),NA(),LOOKUP(QA$1,$S9:$HK9,csv!$L9:$HD9))</f>
        <v>0</v>
      </c>
      <c r="QB9" s="5">
        <f>IF(ISERROR(LOOKUP(QB$1,$S9:$HK9,csv!$L9:$HD9)),NA(),LOOKUP(QB$1,$S9:$HK9,csv!$L9:$HD9))</f>
        <v>0</v>
      </c>
      <c r="QC9" s="5">
        <f>IF(ISERROR(LOOKUP(QC$1,$S9:$HK9,csv!$L9:$HD9)),NA(),LOOKUP(QC$1,$S9:$HK9,csv!$L9:$HD9))</f>
        <v>0</v>
      </c>
      <c r="QD9" s="5">
        <f>IF(ISERROR(LOOKUP(QD$1,$S9:$HK9,csv!$L9:$HD9)),NA(),LOOKUP(QD$1,$S9:$HK9,csv!$L9:$HD9))</f>
        <v>0</v>
      </c>
      <c r="QE9" s="5">
        <f>IF(ISERROR(LOOKUP(QE$1,$S9:$HK9,csv!$L9:$HD9)),NA(),LOOKUP(QE$1,$S9:$HK9,csv!$L9:$HD9))</f>
        <v>0</v>
      </c>
      <c r="QF9" s="5">
        <f>IF(ISERROR(LOOKUP(QF$1,$S9:$HK9,csv!$L9:$HD9)),NA(),LOOKUP(QF$1,$S9:$HK9,csv!$L9:$HD9))</f>
        <v>0</v>
      </c>
      <c r="QG9" s="5">
        <f>IF(ISERROR(LOOKUP(QG$1,$S9:$HK9,csv!$L9:$HD9)),NA(),LOOKUP(QG$1,$S9:$HK9,csv!$L9:$HD9))</f>
        <v>0</v>
      </c>
      <c r="QH9" s="5">
        <f>IF(ISERROR(LOOKUP(QH$1,$S9:$HK9,csv!$L9:$HD9)),NA(),LOOKUP(QH$1,$S9:$HK9,csv!$L9:$HD9))</f>
        <v>0</v>
      </c>
      <c r="QI9" s="5">
        <f>IF(ISERROR(LOOKUP(QI$1,$S9:$HK9,csv!$L9:$HD9)),NA(),LOOKUP(QI$1,$S9:$HK9,csv!$L9:$HD9))</f>
        <v>0</v>
      </c>
      <c r="QJ9" s="5">
        <f>IF(ISERROR(LOOKUP(QJ$1,$S9:$HK9,csv!$L9:$HD9)),NA(),LOOKUP(QJ$1,$S9:$HK9,csv!$L9:$HD9))</f>
        <v>0</v>
      </c>
      <c r="QK9" s="5">
        <f>IF(ISERROR(LOOKUP(QK$1,$S9:$HK9,csv!$L9:$HD9)),NA(),LOOKUP(QK$1,$S9:$HK9,csv!$L9:$HD9))</f>
        <v>0</v>
      </c>
      <c r="QL9" s="5">
        <f>IF(ISERROR(LOOKUP(QL$1,$S9:$HK9,csv!$L9:$HD9)),NA(),LOOKUP(QL$1,$S9:$HK9,csv!$L9:$HD9))</f>
        <v>0</v>
      </c>
      <c r="QM9" s="5">
        <f>IF(ISERROR(LOOKUP(QM$1,$S9:$HK9,csv!$L9:$HD9)),NA(),LOOKUP(QM$1,$S9:$HK9,csv!$L9:$HD9))</f>
        <v>0</v>
      </c>
      <c r="QN9" s="5">
        <f>IF(ISERROR(LOOKUP(QN$1,$S9:$HK9,csv!$L9:$HD9)),NA(),LOOKUP(QN$1,$S9:$HK9,csv!$L9:$HD9))</f>
        <v>0</v>
      </c>
      <c r="QO9" s="5">
        <f>IF(ISERROR(LOOKUP(QO$1,$S9:$HK9,csv!$L9:$HD9)),NA(),LOOKUP(QO$1,$S9:$HK9,csv!$L9:$HD9))</f>
        <v>0</v>
      </c>
      <c r="QP9" s="5">
        <f>IF(ISERROR(LOOKUP(QP$1,$S9:$HK9,csv!$L9:$HD9)),NA(),LOOKUP(QP$1,$S9:$HK9,csv!$L9:$HD9))</f>
        <v>0</v>
      </c>
      <c r="QQ9" s="5">
        <f>IF(ISERROR(LOOKUP(QQ$1,$S9:$HK9,csv!$L9:$HD9)),NA(),LOOKUP(QQ$1,$S9:$HK9,csv!$L9:$HD9))</f>
        <v>0</v>
      </c>
      <c r="QR9" s="5">
        <f>IF(ISERROR(LOOKUP(QR$1,$S9:$HK9,csv!$L9:$HD9)),NA(),LOOKUP(QR$1,$S9:$HK9,csv!$L9:$HD9))</f>
        <v>0</v>
      </c>
      <c r="QS9" s="5">
        <f>IF(ISERROR(LOOKUP(QS$1,$S9:$HK9,csv!$L9:$HD9)),NA(),LOOKUP(QS$1,$S9:$HK9,csv!$L9:$HD9))</f>
        <v>0</v>
      </c>
      <c r="QT9" s="5">
        <f>IF(ISERROR(LOOKUP(QT$1,$S9:$HK9,csv!$L9:$HD9)),NA(),LOOKUP(QT$1,$S9:$HK9,csv!$L9:$HD9))</f>
        <v>0</v>
      </c>
      <c r="QU9" s="5">
        <f>IF(ISERROR(LOOKUP(QU$1,$S9:$HK9,csv!$L9:$HD9)),NA(),LOOKUP(QU$1,$S9:$HK9,csv!$L9:$HD9))</f>
        <v>0</v>
      </c>
      <c r="QV9" s="5">
        <f>IF(ISERROR(LOOKUP(QV$1,$S9:$HK9,csv!$L9:$HD9)),NA(),LOOKUP(QV$1,$S9:$HK9,csv!$L9:$HD9))</f>
        <v>0</v>
      </c>
      <c r="QW9" s="5">
        <f>IF(ISERROR(LOOKUP(QW$1,$S9:$HK9,csv!$L9:$HD9)),NA(),LOOKUP(QW$1,$S9:$HK9,csv!$L9:$HD9))</f>
        <v>0</v>
      </c>
      <c r="QX9" s="5">
        <f>IF(ISERROR(LOOKUP(QX$1,$S9:$HK9,csv!$L9:$HD9)),NA(),LOOKUP(QX$1,$S9:$HK9,csv!$L9:$HD9))</f>
        <v>0</v>
      </c>
      <c r="QY9" s="5">
        <f>IF(ISERROR(LOOKUP(QY$1,$S9:$HK9,csv!$L9:$HD9)),NA(),LOOKUP(QY$1,$S9:$HK9,csv!$L9:$HD9))</f>
        <v>0</v>
      </c>
      <c r="QZ9" s="5">
        <f>IF(ISERROR(LOOKUP(QZ$1,$S9:$HK9,csv!$L9:$HD9)),NA(),LOOKUP(QZ$1,$S9:$HK9,csv!$L9:$HD9))</f>
        <v>0</v>
      </c>
      <c r="RA9" s="5">
        <f>IF(ISERROR(LOOKUP(RA$1,$S9:$HK9,csv!$L9:$HD9)),NA(),LOOKUP(RA$1,$S9:$HK9,csv!$L9:$HD9))</f>
        <v>0</v>
      </c>
      <c r="RB9" s="5">
        <f>IF(ISERROR(LOOKUP(RB$1,$S9:$HK9,csv!$L9:$HD9)),NA(),LOOKUP(RB$1,$S9:$HK9,csv!$L9:$HD9))</f>
        <v>0</v>
      </c>
      <c r="RC9" s="5">
        <f>IF(ISERROR(LOOKUP(RC$1,$S9:$HK9,csv!$L9:$HD9)),NA(),LOOKUP(RC$1,$S9:$HK9,csv!$L9:$HD9))</f>
        <v>0</v>
      </c>
      <c r="RD9" s="5">
        <f>IF(ISERROR(LOOKUP(RD$1,$S9:$HK9,csv!$L9:$HD9)),NA(),LOOKUP(RD$1,$S9:$HK9,csv!$L9:$HD9))</f>
        <v>0</v>
      </c>
      <c r="RE9" s="5">
        <f>IF(ISERROR(LOOKUP(RE$1,$S9:$HK9,csv!$L9:$HD9)),NA(),LOOKUP(RE$1,$S9:$HK9,csv!$L9:$HD9))</f>
        <v>0</v>
      </c>
      <c r="RF9" s="5">
        <f>IF(ISERROR(LOOKUP(RF$1,$S9:$HK9,csv!$L9:$HD9)),NA(),LOOKUP(RF$1,$S9:$HK9,csv!$L9:$HD9))</f>
        <v>0</v>
      </c>
      <c r="RG9" s="5">
        <f>IF(ISERROR(LOOKUP(RG$1,$S9:$HK9,csv!$L9:$HD9)),NA(),LOOKUP(RG$1,$S9:$HK9,csv!$L9:$HD9))</f>
        <v>0</v>
      </c>
      <c r="RH9" s="5">
        <f>IF(ISERROR(LOOKUP(RH$1,$S9:$HK9,csv!$L9:$HD9)),NA(),LOOKUP(RH$1,$S9:$HK9,csv!$L9:$HD9))</f>
        <v>0</v>
      </c>
      <c r="RI9" s="5">
        <f>IF(ISERROR(LOOKUP(RI$1,$S9:$HK9,csv!$L9:$HD9)),NA(),LOOKUP(RI$1,$S9:$HK9,csv!$L9:$HD9))</f>
        <v>0</v>
      </c>
      <c r="RJ9" s="5">
        <f>IF(ISERROR(LOOKUP(RJ$1,$S9:$HK9,csv!$L9:$HD9)),NA(),LOOKUP(RJ$1,$S9:$HK9,csv!$L9:$HD9))</f>
        <v>0</v>
      </c>
      <c r="RK9" s="5">
        <f>IF(ISERROR(LOOKUP(RK$1,$S9:$HK9,csv!$L9:$HD9)),NA(),LOOKUP(RK$1,$S9:$HK9,csv!$L9:$HD9))</f>
        <v>0</v>
      </c>
      <c r="RL9" s="5">
        <f>IF(ISERROR(LOOKUP(RL$1,$S9:$HK9,csv!$L9:$HD9)),NA(),LOOKUP(RL$1,$S9:$HK9,csv!$L9:$HD9))</f>
        <v>0</v>
      </c>
      <c r="RM9" s="5">
        <f>IF(ISERROR(LOOKUP(RM$1,$S9:$HK9,csv!$L9:$HD9)),NA(),LOOKUP(RM$1,$S9:$HK9,csv!$L9:$HD9))</f>
        <v>0</v>
      </c>
      <c r="RN9" s="5">
        <f>IF(ISERROR(LOOKUP(RN$1,$S9:$HK9,csv!$L9:$HD9)),NA(),LOOKUP(RN$1,$S9:$HK9,csv!$L9:$HD9))</f>
        <v>0</v>
      </c>
      <c r="RO9" s="5">
        <f>IF(ISERROR(LOOKUP(RO$1,$S9:$HK9,csv!$L9:$HD9)),NA(),LOOKUP(RO$1,$S9:$HK9,csv!$L9:$HD9))</f>
        <v>0</v>
      </c>
      <c r="RP9" s="5">
        <f>IF(ISERROR(LOOKUP(RP$1,$S9:$HK9,csv!$L9:$HD9)),NA(),LOOKUP(RP$1,$S9:$HK9,csv!$L9:$HD9))</f>
        <v>0</v>
      </c>
      <c r="RQ9" s="5">
        <f>IF(ISERROR(LOOKUP(RQ$1,$S9:$HK9,csv!$L9:$HD9)),NA(),LOOKUP(RQ$1,$S9:$HK9,csv!$L9:$HD9))</f>
        <v>0</v>
      </c>
      <c r="RR9" s="5">
        <f>IF(ISERROR(LOOKUP(RR$1,$S9:$HK9,csv!$L9:$HD9)),NA(),LOOKUP(RR$1,$S9:$HK9,csv!$L9:$HD9))</f>
        <v>0</v>
      </c>
      <c r="RS9" s="5">
        <f>IF(ISERROR(LOOKUP(RS$1,$S9:$HK9,csv!$L9:$HD9)),NA(),LOOKUP(RS$1,$S9:$HK9,csv!$L9:$HD9))</f>
        <v>0</v>
      </c>
      <c r="RT9" s="5">
        <f>IF(ISERROR(LOOKUP(RT$1,$S9:$HK9,csv!$L9:$HD9)),NA(),LOOKUP(RT$1,$S9:$HK9,csv!$L9:$HD9))</f>
        <v>0</v>
      </c>
      <c r="RU9" s="5">
        <f>IF(ISERROR(LOOKUP(RU$1,$S9:$HK9,csv!$L9:$HD9)),NA(),LOOKUP(RU$1,$S9:$HK9,csv!$L9:$HD9))</f>
        <v>0</v>
      </c>
      <c r="RV9" s="5">
        <f>IF(ISERROR(LOOKUP(RV$1,$S9:$HK9,csv!$L9:$HD9)),NA(),LOOKUP(RV$1,$S9:$HK9,csv!$L9:$HD9))</f>
        <v>0</v>
      </c>
      <c r="RW9" s="5">
        <f>IF(ISERROR(LOOKUP(RW$1,$S9:$HK9,csv!$L9:$HD9)),NA(),LOOKUP(RW$1,$S9:$HK9,csv!$L9:$HD9))</f>
        <v>0</v>
      </c>
      <c r="RX9" s="5">
        <f>IF(ISERROR(LOOKUP(RX$1,$S9:$HK9,csv!$L9:$HD9)),NA(),LOOKUP(RX$1,$S9:$HK9,csv!$L9:$HD9))</f>
        <v>0</v>
      </c>
      <c r="RY9" s="5">
        <f>IF(ISERROR(LOOKUP(RY$1,$S9:$HK9,csv!$L9:$HD9)),NA(),LOOKUP(RY$1,$S9:$HK9,csv!$L9:$HD9))</f>
        <v>0</v>
      </c>
      <c r="RZ9" s="5">
        <f>IF(ISERROR(LOOKUP(RZ$1,$S9:$HK9,csv!$L9:$HD9)),NA(),LOOKUP(RZ$1,$S9:$HK9,csv!$L9:$HD9))</f>
        <v>0</v>
      </c>
      <c r="SA9" s="5">
        <f>IF(ISERROR(LOOKUP(SA$1,$S9:$HK9,csv!$L9:$HD9)),NA(),LOOKUP(SA$1,$S9:$HK9,csv!$L9:$HD9))</f>
        <v>0</v>
      </c>
      <c r="SB9" s="5">
        <f>IF(ISERROR(LOOKUP(SB$1,$S9:$HK9,csv!$L9:$HD9)),NA(),LOOKUP(SB$1,$S9:$HK9,csv!$L9:$HD9))</f>
        <v>0</v>
      </c>
      <c r="SC9" s="5">
        <f>IF(ISERROR(LOOKUP(SC$1,$S9:$HK9,csv!$L9:$HD9)),NA(),LOOKUP(SC$1,$S9:$HK9,csv!$L9:$HD9))</f>
        <v>0</v>
      </c>
      <c r="SD9" s="5">
        <f>IF(ISERROR(LOOKUP(SD$1,$S9:$HK9,csv!$L9:$HD9)),NA(),LOOKUP(SD$1,$S9:$HK9,csv!$L9:$HD9))</f>
        <v>0</v>
      </c>
      <c r="SE9" s="5">
        <f>IF(ISERROR(LOOKUP(SE$1,$S9:$HK9,csv!$L9:$HD9)),NA(),LOOKUP(SE$1,$S9:$HK9,csv!$L9:$HD9))</f>
        <v>0</v>
      </c>
      <c r="SF9" s="5">
        <f>IF(ISERROR(LOOKUP(SF$1,$S9:$HK9,csv!$L9:$HD9)),NA(),LOOKUP(SF$1,$S9:$HK9,csv!$L9:$HD9))</f>
        <v>0</v>
      </c>
      <c r="SG9" s="5">
        <f>IF(ISERROR(LOOKUP(SG$1,$S9:$HK9,csv!$L9:$HD9)),NA(),LOOKUP(SG$1,$S9:$HK9,csv!$L9:$HD9))</f>
        <v>0</v>
      </c>
      <c r="SH9" s="5">
        <f>IF(ISERROR(LOOKUP(SH$1,$S9:$HK9,csv!$L9:$HD9)),NA(),LOOKUP(SH$1,$S9:$HK9,csv!$L9:$HD9))</f>
        <v>0</v>
      </c>
      <c r="SI9" s="5">
        <f>IF(ISERROR(LOOKUP(SI$1,$S9:$HK9,csv!$L9:$HD9)),NA(),LOOKUP(SI$1,$S9:$HK9,csv!$L9:$HD9))</f>
        <v>0</v>
      </c>
      <c r="SJ9" s="5">
        <f>IF(ISERROR(LOOKUP(SJ$1,$S9:$HK9,csv!$L9:$HD9)),NA(),LOOKUP(SJ$1,$S9:$HK9,csv!$L9:$HD9))</f>
        <v>0</v>
      </c>
      <c r="SK9" s="5">
        <f>IF(ISERROR(LOOKUP(SK$1,$S9:$HK9,csv!$L9:$HD9)),NA(),LOOKUP(SK$1,$S9:$HK9,csv!$L9:$HD9))</f>
        <v>0</v>
      </c>
      <c r="SL9" s="5">
        <f>IF(ISERROR(LOOKUP(SL$1,$S9:$HK9,csv!$L9:$HD9)),NA(),LOOKUP(SL$1,$S9:$HK9,csv!$L9:$HD9))</f>
        <v>0</v>
      </c>
      <c r="SM9" s="5">
        <f>IF(ISERROR(LOOKUP(SM$1,$S9:$HK9,csv!$L9:$HD9)),NA(),LOOKUP(SM$1,$S9:$HK9,csv!$L9:$HD9))</f>
        <v>0</v>
      </c>
      <c r="SN9" s="5">
        <f>IF(ISERROR(LOOKUP(SN$1,$S9:$HK9,csv!$L9:$HD9)),NA(),LOOKUP(SN$1,$S9:$HK9,csv!$L9:$HD9))</f>
        <v>0</v>
      </c>
      <c r="SO9" s="5">
        <f>IF(ISERROR(LOOKUP(SO$1,$S9:$HK9,csv!$L9:$HD9)),NA(),LOOKUP(SO$1,$S9:$HK9,csv!$L9:$HD9))</f>
        <v>0</v>
      </c>
      <c r="SP9" s="5">
        <f>IF(ISERROR(LOOKUP(SP$1,$S9:$HK9,csv!$L9:$HD9)),NA(),LOOKUP(SP$1,$S9:$HK9,csv!$L9:$HD9))</f>
        <v>0</v>
      </c>
      <c r="SQ9" s="5">
        <f>IF(ISERROR(LOOKUP(SQ$1,$S9:$HK9,csv!$L9:$HD9)),NA(),LOOKUP(SQ$1,$S9:$HK9,csv!$L9:$HD9))</f>
        <v>0</v>
      </c>
      <c r="SR9" s="5">
        <f>IF(ISERROR(LOOKUP(SR$1,$S9:$HK9,csv!$L9:$HD9)),NA(),LOOKUP(SR$1,$S9:$HK9,csv!$L9:$HD9))</f>
        <v>0</v>
      </c>
      <c r="SS9" s="5">
        <f>IF(ISERROR(LOOKUP(SS$1,$S9:$HK9,csv!$L9:$HD9)),NA(),LOOKUP(SS$1,$S9:$HK9,csv!$L9:$HD9))</f>
        <v>0</v>
      </c>
      <c r="ST9" s="5">
        <f>IF(ISERROR(LOOKUP(ST$1,$S9:$HK9,csv!$L9:$HD9)),NA(),LOOKUP(ST$1,$S9:$HK9,csv!$L9:$HD9))</f>
        <v>0</v>
      </c>
      <c r="SU9" s="5">
        <f>IF(ISERROR(LOOKUP(SU$1,$S9:$HK9,csv!$L9:$HD9)),NA(),LOOKUP(SU$1,$S9:$HK9,csv!$L9:$HD9))</f>
        <v>0</v>
      </c>
      <c r="SV9" s="5">
        <f>IF(ISERROR(LOOKUP(SV$1,$S9:$HK9,csv!$L9:$HD9)),NA(),LOOKUP(SV$1,$S9:$HK9,csv!$L9:$HD9))</f>
        <v>0</v>
      </c>
      <c r="SW9" s="5">
        <f>IF(ISERROR(LOOKUP(SW$1,$S9:$HK9,csv!$L9:$HD9)),NA(),LOOKUP(SW$1,$S9:$HK9,csv!$L9:$HD9))</f>
        <v>0</v>
      </c>
      <c r="SX9" s="5">
        <f>IF(ISERROR(LOOKUP(SX$1,$S9:$HK9,csv!$L9:$HD9)),NA(),LOOKUP(SX$1,$S9:$HK9,csv!$L9:$HD9))</f>
        <v>0</v>
      </c>
      <c r="SY9" s="5">
        <f>IF(ISERROR(LOOKUP(SY$1,$S9:$HK9,csv!$L9:$HD9)),NA(),LOOKUP(SY$1,$S9:$HK9,csv!$L9:$HD9))</f>
        <v>0</v>
      </c>
      <c r="SZ9" s="5">
        <f>IF(ISERROR(LOOKUP(SZ$1,$S9:$HK9,csv!$L9:$HD9)),NA(),LOOKUP(SZ$1,$S9:$HK9,csv!$L9:$HD9))</f>
        <v>0</v>
      </c>
      <c r="TA9" s="5">
        <f>IF(ISERROR(LOOKUP(TA$1,$S9:$HK9,csv!$L9:$HD9)),NA(),LOOKUP(TA$1,$S9:$HK9,csv!$L9:$HD9))</f>
        <v>0</v>
      </c>
      <c r="TB9" s="5">
        <f>IF(ISERROR(LOOKUP(TB$1,$S9:$HK9,csv!$L9:$HD9)),NA(),LOOKUP(TB$1,$S9:$HK9,csv!$L9:$HD9))</f>
        <v>0</v>
      </c>
      <c r="TD9">
        <f>csv!HG9/10</f>
        <v>0</v>
      </c>
    </row>
    <row r="10" spans="1:524" x14ac:dyDescent="0.15">
      <c r="C10" s="32" t="str">
        <f>TEXT(csv!B10&amp;"/"&amp;csv!C10&amp;"-"&amp;csv!E10&amp;"/"&amp;csv!F10,"mm/dd")</f>
        <v>/-/</v>
      </c>
      <c r="D10">
        <f>csv!A10*10000+csv!B10*100+csv!C10</f>
        <v>0</v>
      </c>
      <c r="E10">
        <f>(IF(csv!HG10&lt;-1000,NA(),csv!HG10)+csv!K10)/10</f>
        <v>0</v>
      </c>
      <c r="F10">
        <f>(IF(csv!HG23&lt;-1000,NA(),csv!HG23)+csv!K23)/10</f>
        <v>0</v>
      </c>
      <c r="G10">
        <f>(IF(csv!HG36&lt;-1000,NA(),csv!HG36)+csv!K36)/10</f>
        <v>0</v>
      </c>
      <c r="H10">
        <f>IF(csv!HG10&lt;-1000,NA(),csv!HG10/10)</f>
        <v>0</v>
      </c>
      <c r="I10">
        <f>IF(csv!HG23&lt;-1000,NA(),csv!HG23/10)</f>
        <v>0</v>
      </c>
      <c r="J10">
        <f>IF(csv!HG36&lt;-1000,NA(),csv!HG36/10)</f>
        <v>0</v>
      </c>
      <c r="K10">
        <f>IF(csv!HF10&lt;-1000,NA(),csv!HF10/10)</f>
        <v>0</v>
      </c>
      <c r="L10">
        <f>IF(csv!HF23&lt;-1000,NA(),csv!HF23/10)</f>
        <v>0</v>
      </c>
      <c r="M10">
        <f>IF(csv!HF36&lt;-1000,NA(),csv!HF36/10)</f>
        <v>0</v>
      </c>
      <c r="N10">
        <f>IF(csv!HE10&lt;-1000,NA(),csv!HE10/10)</f>
        <v>0</v>
      </c>
      <c r="O10">
        <f>IF(csv!HE23&lt;-1000,NA(),csv!HE23/10)</f>
        <v>0</v>
      </c>
      <c r="P10">
        <f>IF(csv!HE36&lt;-1000,NA(),csv!HE36/10)</f>
        <v>0</v>
      </c>
      <c r="S10" s="4">
        <f>ROUND((csv!$HG10/10+calc!S$1),1)</f>
        <v>-10</v>
      </c>
      <c r="T10" s="4">
        <f>ROUND((csv!$HG10/10+calc!T$1),1)</f>
        <v>-9.9</v>
      </c>
      <c r="U10" s="4">
        <f>ROUND((csv!$HG10/10+calc!U$1),1)</f>
        <v>-9.8000000000000007</v>
      </c>
      <c r="V10" s="4">
        <f>ROUND((csv!$HG10/10+calc!V$1),1)</f>
        <v>-9.6999999999999993</v>
      </c>
      <c r="W10" s="4">
        <f>ROUND((csv!$HG10/10+calc!W$1),1)</f>
        <v>-9.6</v>
      </c>
      <c r="X10" s="4">
        <f>ROUND((csv!$HG10/10+calc!X$1),1)</f>
        <v>-9.5</v>
      </c>
      <c r="Y10" s="4">
        <f>ROUND((csv!$HG10/10+calc!Y$1),1)</f>
        <v>-9.4</v>
      </c>
      <c r="Z10" s="4">
        <f>ROUND((csv!$HG10/10+calc!Z$1),1)</f>
        <v>-9.3000000000000007</v>
      </c>
      <c r="AA10" s="4">
        <f>ROUND((csv!$HG10/10+calc!AA$1),1)</f>
        <v>-9.1999999999999993</v>
      </c>
      <c r="AB10" s="4">
        <f>ROUND((csv!$HG10/10+calc!AB$1),1)</f>
        <v>-9.1</v>
      </c>
      <c r="AC10" s="4">
        <f>ROUND((csv!$HG10/10+calc!AC$1),1)</f>
        <v>-9</v>
      </c>
      <c r="AD10" s="4">
        <f>ROUND((csv!$HG10/10+calc!AD$1),1)</f>
        <v>-8.9</v>
      </c>
      <c r="AE10" s="4">
        <f>ROUND((csv!$HG10/10+calc!AE$1),1)</f>
        <v>-8.8000000000000007</v>
      </c>
      <c r="AF10" s="4">
        <f>ROUND((csv!$HG10/10+calc!AF$1),1)</f>
        <v>-8.6999999999999993</v>
      </c>
      <c r="AG10" s="4">
        <f>ROUND((csv!$HG10/10+calc!AG$1),1)</f>
        <v>-8.6</v>
      </c>
      <c r="AH10" s="4">
        <f>ROUND((csv!$HG10/10+calc!AH$1),1)</f>
        <v>-8.5</v>
      </c>
      <c r="AI10" s="4">
        <f>ROUND((csv!$HG10/10+calc!AI$1),1)</f>
        <v>-8.4</v>
      </c>
      <c r="AJ10" s="4">
        <f>ROUND((csv!$HG10/10+calc!AJ$1),1)</f>
        <v>-8.3000000000000007</v>
      </c>
      <c r="AK10" s="4">
        <f>ROUND((csv!$HG10/10+calc!AK$1),1)</f>
        <v>-8.1999999999999993</v>
      </c>
      <c r="AL10" s="4">
        <f>ROUND((csv!$HG10/10+calc!AL$1),1)</f>
        <v>-8.1</v>
      </c>
      <c r="AM10" s="4">
        <f>ROUND((csv!$HG10/10+calc!AM$1),1)</f>
        <v>-8</v>
      </c>
      <c r="AN10" s="4">
        <f>ROUND((csv!$HG10/10+calc!AN$1),1)</f>
        <v>-7.9</v>
      </c>
      <c r="AO10" s="4">
        <f>ROUND((csv!$HG10/10+calc!AO$1),1)</f>
        <v>-7.8</v>
      </c>
      <c r="AP10" s="4">
        <f>ROUND((csv!$HG10/10+calc!AP$1),1)</f>
        <v>-7.7</v>
      </c>
      <c r="AQ10" s="4">
        <f>ROUND((csv!$HG10/10+calc!AQ$1),1)</f>
        <v>-7.6</v>
      </c>
      <c r="AR10" s="4">
        <f>ROUND((csv!$HG10/10+calc!AR$1),1)</f>
        <v>-7.5</v>
      </c>
      <c r="AS10" s="4">
        <f>ROUND((csv!$HG10/10+calc!AS$1),1)</f>
        <v>-7.4</v>
      </c>
      <c r="AT10" s="4">
        <f>ROUND((csv!$HG10/10+calc!AT$1),1)</f>
        <v>-7.3</v>
      </c>
      <c r="AU10" s="4">
        <f>ROUND((csv!$HG10/10+calc!AU$1),1)</f>
        <v>-7.2</v>
      </c>
      <c r="AV10" s="4">
        <f>ROUND((csv!$HG10/10+calc!AV$1),1)</f>
        <v>-7.1</v>
      </c>
      <c r="AW10" s="4">
        <f>ROUND((csv!$HG10/10+calc!AW$1),1)</f>
        <v>-7</v>
      </c>
      <c r="AX10" s="4">
        <f>ROUND((csv!$HG10/10+calc!AX$1),1)</f>
        <v>-6.9</v>
      </c>
      <c r="AY10" s="4">
        <f>ROUND((csv!$HG10/10+calc!AY$1),1)</f>
        <v>-6.8</v>
      </c>
      <c r="AZ10" s="4">
        <f>ROUND((csv!$HG10/10+calc!AZ$1),1)</f>
        <v>-6.7</v>
      </c>
      <c r="BA10" s="4">
        <f>ROUND((csv!$HG10/10+calc!BA$1),1)</f>
        <v>-6.6</v>
      </c>
      <c r="BB10" s="4">
        <f>ROUND((csv!$HG10/10+calc!BB$1),1)</f>
        <v>-6.5</v>
      </c>
      <c r="BC10" s="4">
        <f>ROUND((csv!$HG10/10+calc!BC$1),1)</f>
        <v>-6.4</v>
      </c>
      <c r="BD10" s="4">
        <f>ROUND((csv!$HG10/10+calc!BD$1),1)</f>
        <v>-6.3</v>
      </c>
      <c r="BE10" s="4">
        <f>ROUND((csv!$HG10/10+calc!BE$1),1)</f>
        <v>-6.2</v>
      </c>
      <c r="BF10" s="4">
        <f>ROUND((csv!$HG10/10+calc!BF$1),1)</f>
        <v>-6.1</v>
      </c>
      <c r="BG10" s="4">
        <f>ROUND((csv!$HG10/10+calc!BG$1),1)</f>
        <v>-6</v>
      </c>
      <c r="BH10" s="4">
        <f>ROUND((csv!$HG10/10+calc!BH$1),1)</f>
        <v>-5.9</v>
      </c>
      <c r="BI10" s="4">
        <f>ROUND((csv!$HG10/10+calc!BI$1),1)</f>
        <v>-5.8</v>
      </c>
      <c r="BJ10" s="4">
        <f>ROUND((csv!$HG10/10+calc!BJ$1),1)</f>
        <v>-5.7</v>
      </c>
      <c r="BK10" s="4">
        <f>ROUND((csv!$HG10/10+calc!BK$1),1)</f>
        <v>-5.6</v>
      </c>
      <c r="BL10" s="4">
        <f>ROUND((csv!$HG10/10+calc!BL$1),1)</f>
        <v>-5.5</v>
      </c>
      <c r="BM10" s="4">
        <f>ROUND((csv!$HG10/10+calc!BM$1),1)</f>
        <v>-5.4</v>
      </c>
      <c r="BN10" s="4">
        <f>ROUND((csv!$HG10/10+calc!BN$1),1)</f>
        <v>-5.3</v>
      </c>
      <c r="BO10" s="4">
        <f>ROUND((csv!$HG10/10+calc!BO$1),1)</f>
        <v>-5.2</v>
      </c>
      <c r="BP10" s="4">
        <f>ROUND((csv!$HG10/10+calc!BP$1),1)</f>
        <v>-5.0999999999999996</v>
      </c>
      <c r="BQ10" s="4">
        <f>ROUND((csv!$HG10/10+calc!BQ$1),1)</f>
        <v>-5</v>
      </c>
      <c r="BR10" s="4">
        <f>ROUND((csv!$HG10/10+calc!BR$1),1)</f>
        <v>-4.9000000000000004</v>
      </c>
      <c r="BS10" s="4">
        <f>ROUND((csv!$HG10/10+calc!BS$1),1)</f>
        <v>-4.8</v>
      </c>
      <c r="BT10" s="4">
        <f>ROUND((csv!$HG10/10+calc!BT$1),1)</f>
        <v>-4.7</v>
      </c>
      <c r="BU10" s="4">
        <f>ROUND((csv!$HG10/10+calc!BU$1),1)</f>
        <v>-4.5999999999999996</v>
      </c>
      <c r="BV10" s="4">
        <f>ROUND((csv!$HG10/10+calc!BV$1),1)</f>
        <v>-4.5</v>
      </c>
      <c r="BW10" s="4">
        <f>ROUND((csv!$HG10/10+calc!BW$1),1)</f>
        <v>-4.4000000000000004</v>
      </c>
      <c r="BX10" s="4">
        <f>ROUND((csv!$HG10/10+calc!BX$1),1)</f>
        <v>-4.3</v>
      </c>
      <c r="BY10" s="4">
        <f>ROUND((csv!$HG10/10+calc!BY$1),1)</f>
        <v>-4.2</v>
      </c>
      <c r="BZ10" s="4">
        <f>ROUND((csv!$HG10/10+calc!BZ$1),1)</f>
        <v>-4.0999999999999996</v>
      </c>
      <c r="CA10" s="4">
        <f>ROUND((csv!$HG10/10+calc!CA$1),1)</f>
        <v>-4</v>
      </c>
      <c r="CB10" s="4">
        <f>ROUND((csv!$HG10/10+calc!CB$1),1)</f>
        <v>-3.9</v>
      </c>
      <c r="CC10" s="4">
        <f>ROUND((csv!$HG10/10+calc!CC$1),1)</f>
        <v>-3.8</v>
      </c>
      <c r="CD10" s="4">
        <f>ROUND((csv!$HG10/10+calc!CD$1),1)</f>
        <v>-3.7</v>
      </c>
      <c r="CE10" s="4">
        <f>ROUND((csv!$HG10/10+calc!CE$1),1)</f>
        <v>-3.6</v>
      </c>
      <c r="CF10" s="4">
        <f>ROUND((csv!$HG10/10+calc!CF$1),1)</f>
        <v>-3.5</v>
      </c>
      <c r="CG10" s="4">
        <f>ROUND((csv!$HG10/10+calc!CG$1),1)</f>
        <v>-3.4</v>
      </c>
      <c r="CH10" s="4">
        <f>ROUND((csv!$HG10/10+calc!CH$1),1)</f>
        <v>-3.3</v>
      </c>
      <c r="CI10" s="4">
        <f>ROUND((csv!$HG10/10+calc!CI$1),1)</f>
        <v>-3.2</v>
      </c>
      <c r="CJ10" s="4">
        <f>ROUND((csv!$HG10/10+calc!CJ$1),1)</f>
        <v>-3.1</v>
      </c>
      <c r="CK10" s="4">
        <f>ROUND((csv!$HG10/10+calc!CK$1),1)</f>
        <v>-3</v>
      </c>
      <c r="CL10" s="4">
        <f>ROUND((csv!$HG10/10+calc!CL$1),1)</f>
        <v>-2.9</v>
      </c>
      <c r="CM10" s="4">
        <f>ROUND((csv!$HG10/10+calc!CM$1),1)</f>
        <v>-2.8</v>
      </c>
      <c r="CN10" s="4">
        <f>ROUND((csv!$HG10/10+calc!CN$1),1)</f>
        <v>-2.7</v>
      </c>
      <c r="CO10" s="4">
        <f>ROUND((csv!$HG10/10+calc!CO$1),1)</f>
        <v>-2.6</v>
      </c>
      <c r="CP10" s="4">
        <f>ROUND((csv!$HG10/10+calc!CP$1),1)</f>
        <v>-2.5</v>
      </c>
      <c r="CQ10" s="4">
        <f>ROUND((csv!$HG10/10+calc!CQ$1),1)</f>
        <v>-2.4</v>
      </c>
      <c r="CR10" s="4">
        <f>ROUND((csv!$HG10/10+calc!CR$1),1)</f>
        <v>-2.2999999999999998</v>
      </c>
      <c r="CS10" s="4">
        <f>ROUND((csv!$HG10/10+calc!CS$1),1)</f>
        <v>-2.2000000000000002</v>
      </c>
      <c r="CT10" s="4">
        <f>ROUND((csv!$HG10/10+calc!CT$1),1)</f>
        <v>-2.1</v>
      </c>
      <c r="CU10" s="4">
        <f>ROUND((csv!$HG10/10+calc!CU$1),1)</f>
        <v>-2</v>
      </c>
      <c r="CV10" s="4">
        <f>ROUND((csv!$HG10/10+calc!CV$1),1)</f>
        <v>-1.9</v>
      </c>
      <c r="CW10" s="4">
        <f>ROUND((csv!$HG10/10+calc!CW$1),1)</f>
        <v>-1.8</v>
      </c>
      <c r="CX10" s="4">
        <f>ROUND((csv!$HG10/10+calc!CX$1),1)</f>
        <v>-1.7</v>
      </c>
      <c r="CY10" s="4">
        <f>ROUND((csv!$HG10/10+calc!CY$1),1)</f>
        <v>-1.6</v>
      </c>
      <c r="CZ10" s="4">
        <f>ROUND((csv!$HG10/10+calc!CZ$1),1)</f>
        <v>-1.5</v>
      </c>
      <c r="DA10" s="4">
        <f>ROUND((csv!$HG10/10+calc!DA$1),1)</f>
        <v>-1.4</v>
      </c>
      <c r="DB10" s="4">
        <f>ROUND((csv!$HG10/10+calc!DB$1),1)</f>
        <v>-1.3</v>
      </c>
      <c r="DC10" s="4">
        <f>ROUND((csv!$HG10/10+calc!DC$1),1)</f>
        <v>-1.2</v>
      </c>
      <c r="DD10" s="4">
        <f>ROUND((csv!$HG10/10+calc!DD$1),1)</f>
        <v>-1.1000000000000001</v>
      </c>
      <c r="DE10" s="4">
        <f>ROUND((csv!$HG10/10+calc!DE$1),1)</f>
        <v>-1</v>
      </c>
      <c r="DF10" s="4">
        <f>ROUND((csv!$HG10/10+calc!DF$1),1)</f>
        <v>-0.9</v>
      </c>
      <c r="DG10" s="4">
        <f>ROUND((csv!$HG10/10+calc!DG$1),1)</f>
        <v>-0.8</v>
      </c>
      <c r="DH10" s="4">
        <f>ROUND((csv!$HG10/10+calc!DH$1),1)</f>
        <v>-0.7</v>
      </c>
      <c r="DI10" s="4">
        <f>ROUND((csv!$HG10/10+calc!DI$1),1)</f>
        <v>-0.6</v>
      </c>
      <c r="DJ10" s="4">
        <f>ROUND((csv!$HG10/10+calc!DJ$1),1)</f>
        <v>-0.5</v>
      </c>
      <c r="DK10" s="4">
        <f>ROUND((csv!$HG10/10+calc!DK$1),1)</f>
        <v>-0.4</v>
      </c>
      <c r="DL10" s="4">
        <f>ROUND((csv!$HG10/10+calc!DL$1),1)</f>
        <v>-0.3</v>
      </c>
      <c r="DM10" s="4">
        <f>ROUND((csv!$HG10/10+calc!DM$1),1)</f>
        <v>-0.2</v>
      </c>
      <c r="DN10" s="4">
        <f>ROUND((csv!$HG10/10+calc!DN$1),1)</f>
        <v>-0.1</v>
      </c>
      <c r="DO10" s="4">
        <f>ROUND((csv!$HG10/10+calc!DO$1),1)</f>
        <v>0</v>
      </c>
      <c r="DP10" s="4">
        <f>ROUND((csv!$HG10/10+calc!DP$1),1)</f>
        <v>0.1</v>
      </c>
      <c r="DQ10" s="4">
        <f>ROUND((csv!$HG10/10+calc!DQ$1),1)</f>
        <v>0.2</v>
      </c>
      <c r="DR10" s="4">
        <f>ROUND((csv!$HG10/10+calc!DR$1),1)</f>
        <v>0.3</v>
      </c>
      <c r="DS10" s="4">
        <f>ROUND((csv!$HG10/10+calc!DS$1),1)</f>
        <v>0.4</v>
      </c>
      <c r="DT10" s="4">
        <f>ROUND((csv!$HG10/10+calc!DT$1),1)</f>
        <v>0.5</v>
      </c>
      <c r="DU10" s="4">
        <f>ROUND((csv!$HG10/10+calc!DU$1),1)</f>
        <v>0.6</v>
      </c>
      <c r="DV10" s="4">
        <f>ROUND((csv!$HG10/10+calc!DV$1),1)</f>
        <v>0.7</v>
      </c>
      <c r="DW10" s="4">
        <f>ROUND((csv!$HG10/10+calc!DW$1),1)</f>
        <v>0.8</v>
      </c>
      <c r="DX10" s="4">
        <f>ROUND((csv!$HG10/10+calc!DX$1),1)</f>
        <v>0.9</v>
      </c>
      <c r="DY10" s="4">
        <f>ROUND((csv!$HG10/10+calc!DY$1),1)</f>
        <v>1</v>
      </c>
      <c r="DZ10" s="4">
        <f>ROUND((csv!$HG10/10+calc!DZ$1),1)</f>
        <v>1.1000000000000001</v>
      </c>
      <c r="EA10" s="4">
        <f>ROUND((csv!$HG10/10+calc!EA$1),1)</f>
        <v>1.2</v>
      </c>
      <c r="EB10" s="4">
        <f>ROUND((csv!$HG10/10+calc!EB$1),1)</f>
        <v>1.3</v>
      </c>
      <c r="EC10" s="4">
        <f>ROUND((csv!$HG10/10+calc!EC$1),1)</f>
        <v>1.4</v>
      </c>
      <c r="ED10" s="4">
        <f>ROUND((csv!$HG10/10+calc!ED$1),1)</f>
        <v>1.5</v>
      </c>
      <c r="EE10" s="4">
        <f>ROUND((csv!$HG10/10+calc!EE$1),1)</f>
        <v>1.6</v>
      </c>
      <c r="EF10" s="4">
        <f>ROUND((csv!$HG10/10+calc!EF$1),1)</f>
        <v>1.7</v>
      </c>
      <c r="EG10" s="4">
        <f>ROUND((csv!$HG10/10+calc!EG$1),1)</f>
        <v>1.8</v>
      </c>
      <c r="EH10" s="4">
        <f>ROUND((csv!$HG10/10+calc!EH$1),1)</f>
        <v>1.9</v>
      </c>
      <c r="EI10" s="4">
        <f>ROUND((csv!$HG10/10+calc!EI$1),1)</f>
        <v>2</v>
      </c>
      <c r="EJ10" s="4">
        <f>ROUND((csv!$HG10/10+calc!EJ$1),1)</f>
        <v>2.1</v>
      </c>
      <c r="EK10" s="4">
        <f>ROUND((csv!$HG10/10+calc!EK$1),1)</f>
        <v>2.2000000000000002</v>
      </c>
      <c r="EL10" s="4">
        <f>ROUND((csv!$HG10/10+calc!EL$1),1)</f>
        <v>2.2999999999999998</v>
      </c>
      <c r="EM10" s="4">
        <f>ROUND((csv!$HG10/10+calc!EM$1),1)</f>
        <v>2.4</v>
      </c>
      <c r="EN10" s="4">
        <f>ROUND((csv!$HG10/10+calc!EN$1),1)</f>
        <v>2.5</v>
      </c>
      <c r="EO10" s="4">
        <f>ROUND((csv!$HG10/10+calc!EO$1),1)</f>
        <v>2.6</v>
      </c>
      <c r="EP10" s="4">
        <f>ROUND((csv!$HG10/10+calc!EP$1),1)</f>
        <v>2.7</v>
      </c>
      <c r="EQ10" s="4">
        <f>ROUND((csv!$HG10/10+calc!EQ$1),1)</f>
        <v>2.8</v>
      </c>
      <c r="ER10" s="4">
        <f>ROUND((csv!$HG10/10+calc!ER$1),1)</f>
        <v>2.9</v>
      </c>
      <c r="ES10" s="4">
        <f>ROUND((csv!$HG10/10+calc!ES$1),1)</f>
        <v>3</v>
      </c>
      <c r="ET10" s="4">
        <f>ROUND((csv!$HG10/10+calc!ET$1),1)</f>
        <v>3.1</v>
      </c>
      <c r="EU10" s="4">
        <f>ROUND((csv!$HG10/10+calc!EU$1),1)</f>
        <v>3.2</v>
      </c>
      <c r="EV10" s="4">
        <f>ROUND((csv!$HG10/10+calc!EV$1),1)</f>
        <v>3.3</v>
      </c>
      <c r="EW10" s="4">
        <f>ROUND((csv!$HG10/10+calc!EW$1),1)</f>
        <v>3.4</v>
      </c>
      <c r="EX10" s="4">
        <f>ROUND((csv!$HG10/10+calc!EX$1),1)</f>
        <v>3.5</v>
      </c>
      <c r="EY10" s="4">
        <f>ROUND((csv!$HG10/10+calc!EY$1),1)</f>
        <v>3.6</v>
      </c>
      <c r="EZ10" s="4">
        <f>ROUND((csv!$HG10/10+calc!EZ$1),1)</f>
        <v>3.7</v>
      </c>
      <c r="FA10" s="4">
        <f>ROUND((csv!$HG10/10+calc!FA$1),1)</f>
        <v>3.8</v>
      </c>
      <c r="FB10" s="4">
        <f>ROUND((csv!$HG10/10+calc!FB$1),1)</f>
        <v>3.9</v>
      </c>
      <c r="FC10" s="4">
        <f>ROUND((csv!$HG10/10+calc!FC$1),1)</f>
        <v>4</v>
      </c>
      <c r="FD10" s="4">
        <f>ROUND((csv!$HG10/10+calc!FD$1),1)</f>
        <v>4.0999999999999996</v>
      </c>
      <c r="FE10" s="4">
        <f>ROUND((csv!$HG10/10+calc!FE$1),1)</f>
        <v>4.2</v>
      </c>
      <c r="FF10" s="4">
        <f>ROUND((csv!$HG10/10+calc!FF$1),1)</f>
        <v>4.3</v>
      </c>
      <c r="FG10" s="4">
        <f>ROUND((csv!$HG10/10+calc!FG$1),1)</f>
        <v>4.4000000000000004</v>
      </c>
      <c r="FH10" s="4">
        <f>ROUND((csv!$HG10/10+calc!FH$1),1)</f>
        <v>4.5</v>
      </c>
      <c r="FI10" s="4">
        <f>ROUND((csv!$HG10/10+calc!FI$1),1)</f>
        <v>4.5999999999999996</v>
      </c>
      <c r="FJ10" s="4">
        <f>ROUND((csv!$HG10/10+calc!FJ$1),1)</f>
        <v>4.7</v>
      </c>
      <c r="FK10" s="4">
        <f>ROUND((csv!$HG10/10+calc!FK$1),1)</f>
        <v>4.8</v>
      </c>
      <c r="FL10" s="4">
        <f>ROUND((csv!$HG10/10+calc!FL$1),1)</f>
        <v>4.9000000000000004</v>
      </c>
      <c r="FM10" s="4">
        <f>ROUND((csv!$HG10/10+calc!FM$1),1)</f>
        <v>5</v>
      </c>
      <c r="FN10" s="4">
        <f>ROUND((csv!$HG10/10+calc!FN$1),1)</f>
        <v>5.0999999999999996</v>
      </c>
      <c r="FO10" s="4">
        <f>ROUND((csv!$HG10/10+calc!FO$1),1)</f>
        <v>5.2</v>
      </c>
      <c r="FP10" s="4">
        <f>ROUND((csv!$HG10/10+calc!FP$1),1)</f>
        <v>5.3</v>
      </c>
      <c r="FQ10" s="4">
        <f>ROUND((csv!$HG10/10+calc!FQ$1),1)</f>
        <v>5.4</v>
      </c>
      <c r="FR10" s="4">
        <f>ROUND((csv!$HG10/10+calc!FR$1),1)</f>
        <v>5.5</v>
      </c>
      <c r="FS10" s="4">
        <f>ROUND((csv!$HG10/10+calc!FS$1),1)</f>
        <v>5.6</v>
      </c>
      <c r="FT10" s="4">
        <f>ROUND((csv!$HG10/10+calc!FT$1),1)</f>
        <v>5.7</v>
      </c>
      <c r="FU10" s="4">
        <f>ROUND((csv!$HG10/10+calc!FU$1),1)</f>
        <v>5.8</v>
      </c>
      <c r="FV10" s="4">
        <f>ROUND((csv!$HG10/10+calc!FV$1),1)</f>
        <v>5.9</v>
      </c>
      <c r="FW10" s="4">
        <f>ROUND((csv!$HG10/10+calc!FW$1),1)</f>
        <v>6</v>
      </c>
      <c r="FX10" s="4">
        <f>ROUND((csv!$HG10/10+calc!FX$1),1)</f>
        <v>6.1</v>
      </c>
      <c r="FY10" s="4">
        <f>ROUND((csv!$HG10/10+calc!FY$1),1)</f>
        <v>6.2</v>
      </c>
      <c r="FZ10" s="4">
        <f>ROUND((csv!$HG10/10+calc!FZ$1),1)</f>
        <v>6.3</v>
      </c>
      <c r="GA10" s="4">
        <f>ROUND((csv!$HG10/10+calc!GA$1),1)</f>
        <v>6.4</v>
      </c>
      <c r="GB10" s="4">
        <f>ROUND((csv!$HG10/10+calc!GB$1),1)</f>
        <v>6.5</v>
      </c>
      <c r="GC10" s="4">
        <f>ROUND((csv!$HG10/10+calc!GC$1),1)</f>
        <v>6.6</v>
      </c>
      <c r="GD10" s="4">
        <f>ROUND((csv!$HG10/10+calc!GD$1),1)</f>
        <v>6.7</v>
      </c>
      <c r="GE10" s="4">
        <f>ROUND((csv!$HG10/10+calc!GE$1),1)</f>
        <v>6.8</v>
      </c>
      <c r="GF10" s="4">
        <f>ROUND((csv!$HG10/10+calc!GF$1),1)</f>
        <v>6.9</v>
      </c>
      <c r="GG10" s="4">
        <f>ROUND((csv!$HG10/10+calc!GG$1),1)</f>
        <v>7</v>
      </c>
      <c r="GH10" s="4">
        <f>ROUND((csv!$HG10/10+calc!GH$1),1)</f>
        <v>7.1</v>
      </c>
      <c r="GI10" s="4">
        <f>ROUND((csv!$HG10/10+calc!GI$1),1)</f>
        <v>7.2</v>
      </c>
      <c r="GJ10" s="4">
        <f>ROUND((csv!$HG10/10+calc!GJ$1),1)</f>
        <v>7.3</v>
      </c>
      <c r="GK10" s="4">
        <f>ROUND((csv!$HG10/10+calc!GK$1),1)</f>
        <v>7.4</v>
      </c>
      <c r="GL10" s="4">
        <f>ROUND((csv!$HG10/10+calc!GL$1),1)</f>
        <v>7.5</v>
      </c>
      <c r="GM10" s="4">
        <f>ROUND((csv!$HG10/10+calc!GM$1),1)</f>
        <v>7.6</v>
      </c>
      <c r="GN10" s="4">
        <f>ROUND((csv!$HG10/10+calc!GN$1),1)</f>
        <v>7.7</v>
      </c>
      <c r="GO10" s="4">
        <f>ROUND((csv!$HG10/10+calc!GO$1),1)</f>
        <v>7.8</v>
      </c>
      <c r="GP10" s="4">
        <f>ROUND((csv!$HG10/10+calc!GP$1),1)</f>
        <v>7.9</v>
      </c>
      <c r="GQ10" s="4">
        <f>ROUND((csv!$HG10/10+calc!GQ$1),1)</f>
        <v>8</v>
      </c>
      <c r="GR10" s="4">
        <f>ROUND((csv!$HG10/10+calc!GR$1),1)</f>
        <v>8.1</v>
      </c>
      <c r="GS10" s="4">
        <f>ROUND((csv!$HG10/10+calc!GS$1),1)</f>
        <v>8.1999999999999993</v>
      </c>
      <c r="GT10" s="4">
        <f>ROUND((csv!$HG10/10+calc!GT$1),1)</f>
        <v>8.3000000000000007</v>
      </c>
      <c r="GU10" s="4">
        <f>ROUND((csv!$HG10/10+calc!GU$1),1)</f>
        <v>8.4</v>
      </c>
      <c r="GV10" s="4">
        <f>ROUND((csv!$HG10/10+calc!GV$1),1)</f>
        <v>8.5</v>
      </c>
      <c r="GW10" s="4">
        <f>ROUND((csv!$HG10/10+calc!GW$1),1)</f>
        <v>8.6</v>
      </c>
      <c r="GX10" s="4">
        <f>ROUND((csv!$HG10/10+calc!GX$1),1)</f>
        <v>8.6999999999999993</v>
      </c>
      <c r="GY10" s="4">
        <f>ROUND((csv!$HG10/10+calc!GY$1),1)</f>
        <v>8.8000000000000007</v>
      </c>
      <c r="GZ10" s="4">
        <f>ROUND((csv!$HG10/10+calc!GZ$1),1)</f>
        <v>8.9</v>
      </c>
      <c r="HA10" s="4">
        <f>ROUND((csv!$HG10/10+calc!HA$1),1)</f>
        <v>9</v>
      </c>
      <c r="HB10" s="4">
        <f>ROUND((csv!$HG10/10+calc!HB$1),1)</f>
        <v>9.1</v>
      </c>
      <c r="HC10" s="4">
        <f>ROUND((csv!$HG10/10+calc!HC$1),1)</f>
        <v>9.1999999999999993</v>
      </c>
      <c r="HD10" s="4">
        <f>ROUND((csv!$HG10/10+calc!HD$1),1)</f>
        <v>9.3000000000000007</v>
      </c>
      <c r="HE10" s="4">
        <f>ROUND((csv!$HG10/10+calc!HE$1),1)</f>
        <v>9.4</v>
      </c>
      <c r="HF10" s="4">
        <f>ROUND((csv!$HG10/10+calc!HF$1),1)</f>
        <v>9.5</v>
      </c>
      <c r="HG10" s="4">
        <f>ROUND((csv!$HG10/10+calc!HG$1),1)</f>
        <v>9.6</v>
      </c>
      <c r="HH10" s="4">
        <f>ROUND((csv!$HG10/10+calc!HH$1),1)</f>
        <v>9.6999999999999993</v>
      </c>
      <c r="HI10" s="4">
        <f>ROUND((csv!$HG10/10+calc!HI$1),1)</f>
        <v>9.8000000000000007</v>
      </c>
      <c r="HJ10" s="4">
        <f>ROUND((csv!$HG10/10+calc!HJ$1),1)</f>
        <v>9.9</v>
      </c>
      <c r="HK10" s="4">
        <f>ROUND((csv!$HG10/10+calc!HK$1),1)</f>
        <v>10</v>
      </c>
      <c r="HM10" s="2">
        <f>csv!A10*10000+csv!B10*100+csv!C10</f>
        <v>0</v>
      </c>
      <c r="HN10" s="5">
        <f>IF(ISERROR(LOOKUP(HN$1,$S10:$HK10,csv!$L10:$HD10)),NA(),LOOKUP(HN$1,$S10:$HK10,csv!$L10:$HD10))</f>
        <v>0</v>
      </c>
      <c r="HO10" s="5">
        <f>IF(ISERROR(LOOKUP(HO$1,$S10:$HK10,csv!$L10:$HD10)),NA(),LOOKUP(HO$1,$S10:$HK10,csv!$L10:$HD10))</f>
        <v>0</v>
      </c>
      <c r="HP10" s="5">
        <f>IF(ISERROR(LOOKUP(HP$1,$S10:$HK10,csv!$L10:$HD10)),NA(),LOOKUP(HP$1,$S10:$HK10,csv!$L10:$HD10))</f>
        <v>0</v>
      </c>
      <c r="HQ10" s="5">
        <f>IF(ISERROR(LOOKUP(HQ$1,$S10:$HK10,csv!$L10:$HD10)),NA(),LOOKUP(HQ$1,$S10:$HK10,csv!$L10:$HD10))</f>
        <v>0</v>
      </c>
      <c r="HR10" s="5">
        <f>IF(ISERROR(LOOKUP(HR$1,$S10:$HK10,csv!$L10:$HD10)),NA(),LOOKUP(HR$1,$S10:$HK10,csv!$L10:$HD10))</f>
        <v>0</v>
      </c>
      <c r="HS10" s="5">
        <f>IF(ISERROR(LOOKUP(HS$1,$S10:$HK10,csv!$L10:$HD10)),NA(),LOOKUP(HS$1,$S10:$HK10,csv!$L10:$HD10))</f>
        <v>0</v>
      </c>
      <c r="HT10" s="5">
        <f>IF(ISERROR(LOOKUP(HT$1,$S10:$HK10,csv!$L10:$HD10)),NA(),LOOKUP(HT$1,$S10:$HK10,csv!$L10:$HD10))</f>
        <v>0</v>
      </c>
      <c r="HU10" s="5">
        <f>IF(ISERROR(LOOKUP(HU$1,$S10:$HK10,csv!$L10:$HD10)),NA(),LOOKUP(HU$1,$S10:$HK10,csv!$L10:$HD10))</f>
        <v>0</v>
      </c>
      <c r="HV10" s="5">
        <f>IF(ISERROR(LOOKUP(HV$1,$S10:$HK10,csv!$L10:$HD10)),NA(),LOOKUP(HV$1,$S10:$HK10,csv!$L10:$HD10))</f>
        <v>0</v>
      </c>
      <c r="HW10" s="5">
        <f>IF(ISERROR(LOOKUP(HW$1,$S10:$HK10,csv!$L10:$HD10)),NA(),LOOKUP(HW$1,$S10:$HK10,csv!$L10:$HD10))</f>
        <v>0</v>
      </c>
      <c r="HX10" s="5">
        <f>IF(ISERROR(LOOKUP(HX$1,$S10:$HK10,csv!$L10:$HD10)),NA(),LOOKUP(HX$1,$S10:$HK10,csv!$L10:$HD10))</f>
        <v>0</v>
      </c>
      <c r="HY10" s="5">
        <f>IF(ISERROR(LOOKUP(HY$1,$S10:$HK10,csv!$L10:$HD10)),NA(),LOOKUP(HY$1,$S10:$HK10,csv!$L10:$HD10))</f>
        <v>0</v>
      </c>
      <c r="HZ10" s="5">
        <f>IF(ISERROR(LOOKUP(HZ$1,$S10:$HK10,csv!$L10:$HD10)),NA(),LOOKUP(HZ$1,$S10:$HK10,csv!$L10:$HD10))</f>
        <v>0</v>
      </c>
      <c r="IA10" s="5">
        <f>IF(ISERROR(LOOKUP(IA$1,$S10:$HK10,csv!$L10:$HD10)),NA(),LOOKUP(IA$1,$S10:$HK10,csv!$L10:$HD10))</f>
        <v>0</v>
      </c>
      <c r="IB10" s="5">
        <f>IF(ISERROR(LOOKUP(IB$1,$S10:$HK10,csv!$L10:$HD10)),NA(),LOOKUP(IB$1,$S10:$HK10,csv!$L10:$HD10))</f>
        <v>0</v>
      </c>
      <c r="IC10" s="5">
        <f>IF(ISERROR(LOOKUP(IC$1,$S10:$HK10,csv!$L10:$HD10)),NA(),LOOKUP(IC$1,$S10:$HK10,csv!$L10:$HD10))</f>
        <v>0</v>
      </c>
      <c r="ID10" s="5">
        <f>IF(ISERROR(LOOKUP(ID$1,$S10:$HK10,csv!$L10:$HD10)),NA(),LOOKUP(ID$1,$S10:$HK10,csv!$L10:$HD10))</f>
        <v>0</v>
      </c>
      <c r="IE10" s="5">
        <f>IF(ISERROR(LOOKUP(IE$1,$S10:$HK10,csv!$L10:$HD10)),NA(),LOOKUP(IE$1,$S10:$HK10,csv!$L10:$HD10))</f>
        <v>0</v>
      </c>
      <c r="IF10" s="5">
        <f>IF(ISERROR(LOOKUP(IF$1,$S10:$HK10,csv!$L10:$HD10)),NA(),LOOKUP(IF$1,$S10:$HK10,csv!$L10:$HD10))</f>
        <v>0</v>
      </c>
      <c r="IG10" s="5">
        <f>IF(ISERROR(LOOKUP(IG$1,$S10:$HK10,csv!$L10:$HD10)),NA(),LOOKUP(IG$1,$S10:$HK10,csv!$L10:$HD10))</f>
        <v>0</v>
      </c>
      <c r="IH10" s="5">
        <f>IF(ISERROR(LOOKUP(IH$1,$S10:$HK10,csv!$L10:$HD10)),NA(),LOOKUP(IH$1,$S10:$HK10,csv!$L10:$HD10))</f>
        <v>0</v>
      </c>
      <c r="II10" s="5">
        <f>IF(ISERROR(LOOKUP(II$1,$S10:$HK10,csv!$L10:$HD10)),NA(),LOOKUP(II$1,$S10:$HK10,csv!$L10:$HD10))</f>
        <v>0</v>
      </c>
      <c r="IJ10" s="5">
        <f>IF(ISERROR(LOOKUP(IJ$1,$S10:$HK10,csv!$L10:$HD10)),NA(),LOOKUP(IJ$1,$S10:$HK10,csv!$L10:$HD10))</f>
        <v>0</v>
      </c>
      <c r="IK10" s="5">
        <f>IF(ISERROR(LOOKUP(IK$1,$S10:$HK10,csv!$L10:$HD10)),NA(),LOOKUP(IK$1,$S10:$HK10,csv!$L10:$HD10))</f>
        <v>0</v>
      </c>
      <c r="IL10" s="5">
        <f>IF(ISERROR(LOOKUP(IL$1,$S10:$HK10,csv!$L10:$HD10)),NA(),LOOKUP(IL$1,$S10:$HK10,csv!$L10:$HD10))</f>
        <v>0</v>
      </c>
      <c r="IM10" s="5">
        <f>IF(ISERROR(LOOKUP(IM$1,$S10:$HK10,csv!$L10:$HD10)),NA(),LOOKUP(IM$1,$S10:$HK10,csv!$L10:$HD10))</f>
        <v>0</v>
      </c>
      <c r="IN10" s="5">
        <f>IF(ISERROR(LOOKUP(IN$1,$S10:$HK10,csv!$L10:$HD10)),NA(),LOOKUP(IN$1,$S10:$HK10,csv!$L10:$HD10))</f>
        <v>0</v>
      </c>
      <c r="IO10" s="5">
        <f>IF(ISERROR(LOOKUP(IO$1,$S10:$HK10,csv!$L10:$HD10)),NA(),LOOKUP(IO$1,$S10:$HK10,csv!$L10:$HD10))</f>
        <v>0</v>
      </c>
      <c r="IP10" s="5">
        <f>IF(ISERROR(LOOKUP(IP$1,$S10:$HK10,csv!$L10:$HD10)),NA(),LOOKUP(IP$1,$S10:$HK10,csv!$L10:$HD10))</f>
        <v>0</v>
      </c>
      <c r="IQ10" s="5">
        <f>IF(ISERROR(LOOKUP(IQ$1,$S10:$HK10,csv!$L10:$HD10)),NA(),LOOKUP(IQ$1,$S10:$HK10,csv!$L10:$HD10))</f>
        <v>0</v>
      </c>
      <c r="IR10" s="5">
        <f>IF(ISERROR(LOOKUP(IR$1,$S10:$HK10,csv!$L10:$HD10)),NA(),LOOKUP(IR$1,$S10:$HK10,csv!$L10:$HD10))</f>
        <v>0</v>
      </c>
      <c r="IS10" s="5">
        <f>IF(ISERROR(LOOKUP(IS$1,$S10:$HK10,csv!$L10:$HD10)),NA(),LOOKUP(IS$1,$S10:$HK10,csv!$L10:$HD10))</f>
        <v>0</v>
      </c>
      <c r="IT10" s="5">
        <f>IF(ISERROR(LOOKUP(IT$1,$S10:$HK10,csv!$L10:$HD10)),NA(),LOOKUP(IT$1,$S10:$HK10,csv!$L10:$HD10))</f>
        <v>0</v>
      </c>
      <c r="IU10" s="5">
        <f>IF(ISERROR(LOOKUP(IU$1,$S10:$HK10,csv!$L10:$HD10)),NA(),LOOKUP(IU$1,$S10:$HK10,csv!$L10:$HD10))</f>
        <v>0</v>
      </c>
      <c r="IV10" s="5">
        <f>IF(ISERROR(LOOKUP(IV$1,$S10:$HK10,csv!$L10:$HD10)),NA(),LOOKUP(IV$1,$S10:$HK10,csv!$L10:$HD10))</f>
        <v>0</v>
      </c>
      <c r="IW10" s="5">
        <f>IF(ISERROR(LOOKUP(IW$1,$S10:$HK10,csv!$L10:$HD10)),NA(),LOOKUP(IW$1,$S10:$HK10,csv!$L10:$HD10))</f>
        <v>0</v>
      </c>
      <c r="IX10" s="5">
        <f>IF(ISERROR(LOOKUP(IX$1,$S10:$HK10,csv!$L10:$HD10)),NA(),LOOKUP(IX$1,$S10:$HK10,csv!$L10:$HD10))</f>
        <v>0</v>
      </c>
      <c r="IY10" s="5">
        <f>IF(ISERROR(LOOKUP(IY$1,$S10:$HK10,csv!$L10:$HD10)),NA(),LOOKUP(IY$1,$S10:$HK10,csv!$L10:$HD10))</f>
        <v>0</v>
      </c>
      <c r="IZ10" s="5">
        <f>IF(ISERROR(LOOKUP(IZ$1,$S10:$HK10,csv!$L10:$HD10)),NA(),LOOKUP(IZ$1,$S10:$HK10,csv!$L10:$HD10))</f>
        <v>0</v>
      </c>
      <c r="JA10" s="5">
        <f>IF(ISERROR(LOOKUP(JA$1,$S10:$HK10,csv!$L10:$HD10)),NA(),LOOKUP(JA$1,$S10:$HK10,csv!$L10:$HD10))</f>
        <v>0</v>
      </c>
      <c r="JB10" s="5">
        <f>IF(ISERROR(LOOKUP(JB$1,$S10:$HK10,csv!$L10:$HD10)),NA(),LOOKUP(JB$1,$S10:$HK10,csv!$L10:$HD10))</f>
        <v>0</v>
      </c>
      <c r="JC10" s="5">
        <f>IF(ISERROR(LOOKUP(JC$1,$S10:$HK10,csv!$L10:$HD10)),NA(),LOOKUP(JC$1,$S10:$HK10,csv!$L10:$HD10))</f>
        <v>0</v>
      </c>
      <c r="JD10" s="5">
        <f>IF(ISERROR(LOOKUP(JD$1,$S10:$HK10,csv!$L10:$HD10)),NA(),LOOKUP(JD$1,$S10:$HK10,csv!$L10:$HD10))</f>
        <v>0</v>
      </c>
      <c r="JE10" s="5">
        <f>IF(ISERROR(LOOKUP(JE$1,$S10:$HK10,csv!$L10:$HD10)),NA(),LOOKUP(JE$1,$S10:$HK10,csv!$L10:$HD10))</f>
        <v>0</v>
      </c>
      <c r="JF10" s="5">
        <f>IF(ISERROR(LOOKUP(JF$1,$S10:$HK10,csv!$L10:$HD10)),NA(),LOOKUP(JF$1,$S10:$HK10,csv!$L10:$HD10))</f>
        <v>0</v>
      </c>
      <c r="JG10" s="5">
        <f>IF(ISERROR(LOOKUP(JG$1,$S10:$HK10,csv!$L10:$HD10)),NA(),LOOKUP(JG$1,$S10:$HK10,csv!$L10:$HD10))</f>
        <v>0</v>
      </c>
      <c r="JH10" s="5">
        <f>IF(ISERROR(LOOKUP(JH$1,$S10:$HK10,csv!$L10:$HD10)),NA(),LOOKUP(JH$1,$S10:$HK10,csv!$L10:$HD10))</f>
        <v>0</v>
      </c>
      <c r="JI10" s="5">
        <f>IF(ISERROR(LOOKUP(JI$1,$S10:$HK10,csv!$L10:$HD10)),NA(),LOOKUP(JI$1,$S10:$HK10,csv!$L10:$HD10))</f>
        <v>0</v>
      </c>
      <c r="JJ10" s="5">
        <f>IF(ISERROR(LOOKUP(JJ$1,$S10:$HK10,csv!$L10:$HD10)),NA(),LOOKUP(JJ$1,$S10:$HK10,csv!$L10:$HD10))</f>
        <v>0</v>
      </c>
      <c r="JK10" s="5">
        <f>IF(ISERROR(LOOKUP(JK$1,$S10:$HK10,csv!$L10:$HD10)),NA(),LOOKUP(JK$1,$S10:$HK10,csv!$L10:$HD10))</f>
        <v>0</v>
      </c>
      <c r="JL10" s="5">
        <f>IF(ISERROR(LOOKUP(JL$1,$S10:$HK10,csv!$L10:$HD10)),NA(),LOOKUP(JL$1,$S10:$HK10,csv!$L10:$HD10))</f>
        <v>0</v>
      </c>
      <c r="JM10" s="5">
        <f>IF(ISERROR(LOOKUP(JM$1,$S10:$HK10,csv!$L10:$HD10)),NA(),LOOKUP(JM$1,$S10:$HK10,csv!$L10:$HD10))</f>
        <v>0</v>
      </c>
      <c r="JN10" s="5">
        <f>IF(ISERROR(LOOKUP(JN$1,$S10:$HK10,csv!$L10:$HD10)),NA(),LOOKUP(JN$1,$S10:$HK10,csv!$L10:$HD10))</f>
        <v>0</v>
      </c>
      <c r="JO10" s="5">
        <f>IF(ISERROR(LOOKUP(JO$1,$S10:$HK10,csv!$L10:$HD10)),NA(),LOOKUP(JO$1,$S10:$HK10,csv!$L10:$HD10))</f>
        <v>0</v>
      </c>
      <c r="JP10" s="5">
        <f>IF(ISERROR(LOOKUP(JP$1,$S10:$HK10,csv!$L10:$HD10)),NA(),LOOKUP(JP$1,$S10:$HK10,csv!$L10:$HD10))</f>
        <v>0</v>
      </c>
      <c r="JQ10" s="5">
        <f>IF(ISERROR(LOOKUP(JQ$1,$S10:$HK10,csv!$L10:$HD10)),NA(),LOOKUP(JQ$1,$S10:$HK10,csv!$L10:$HD10))</f>
        <v>0</v>
      </c>
      <c r="JR10" s="5">
        <f>IF(ISERROR(LOOKUP(JR$1,$S10:$HK10,csv!$L10:$HD10)),NA(),LOOKUP(JR$1,$S10:$HK10,csv!$L10:$HD10))</f>
        <v>0</v>
      </c>
      <c r="JS10" s="5">
        <f>IF(ISERROR(LOOKUP(JS$1,$S10:$HK10,csv!$L10:$HD10)),NA(),LOOKUP(JS$1,$S10:$HK10,csv!$L10:$HD10))</f>
        <v>0</v>
      </c>
      <c r="JT10" s="5">
        <f>IF(ISERROR(LOOKUP(JT$1,$S10:$HK10,csv!$L10:$HD10)),NA(),LOOKUP(JT$1,$S10:$HK10,csv!$L10:$HD10))</f>
        <v>0</v>
      </c>
      <c r="JU10" s="5">
        <f>IF(ISERROR(LOOKUP(JU$1,$S10:$HK10,csv!$L10:$HD10)),NA(),LOOKUP(JU$1,$S10:$HK10,csv!$L10:$HD10))</f>
        <v>0</v>
      </c>
      <c r="JV10" s="5">
        <f>IF(ISERROR(LOOKUP(JV$1,$S10:$HK10,csv!$L10:$HD10)),NA(),LOOKUP(JV$1,$S10:$HK10,csv!$L10:$HD10))</f>
        <v>0</v>
      </c>
      <c r="JW10" s="5">
        <f>IF(ISERROR(LOOKUP(JW$1,$S10:$HK10,csv!$L10:$HD10)),NA(),LOOKUP(JW$1,$S10:$HK10,csv!$L10:$HD10))</f>
        <v>0</v>
      </c>
      <c r="JX10" s="5">
        <f>IF(ISERROR(LOOKUP(JX$1,$S10:$HK10,csv!$L10:$HD10)),NA(),LOOKUP(JX$1,$S10:$HK10,csv!$L10:$HD10))</f>
        <v>0</v>
      </c>
      <c r="JY10" s="5">
        <f>IF(ISERROR(LOOKUP(JY$1,$S10:$HK10,csv!$L10:$HD10)),NA(),LOOKUP(JY$1,$S10:$HK10,csv!$L10:$HD10))</f>
        <v>0</v>
      </c>
      <c r="JZ10" s="5">
        <f>IF(ISERROR(LOOKUP(JZ$1,$S10:$HK10,csv!$L10:$HD10)),NA(),LOOKUP(JZ$1,$S10:$HK10,csv!$L10:$HD10))</f>
        <v>0</v>
      </c>
      <c r="KA10" s="5">
        <f>IF(ISERROR(LOOKUP(KA$1,$S10:$HK10,csv!$L10:$HD10)),NA(),LOOKUP(KA$1,$S10:$HK10,csv!$L10:$HD10))</f>
        <v>0</v>
      </c>
      <c r="KB10" s="5">
        <f>IF(ISERROR(LOOKUP(KB$1,$S10:$HK10,csv!$L10:$HD10)),NA(),LOOKUP(KB$1,$S10:$HK10,csv!$L10:$HD10))</f>
        <v>0</v>
      </c>
      <c r="KC10" s="5">
        <f>IF(ISERROR(LOOKUP(KC$1,$S10:$HK10,csv!$L10:$HD10)),NA(),LOOKUP(KC$1,$S10:$HK10,csv!$L10:$HD10))</f>
        <v>0</v>
      </c>
      <c r="KD10" s="5">
        <f>IF(ISERROR(LOOKUP(KD$1,$S10:$HK10,csv!$L10:$HD10)),NA(),LOOKUP(KD$1,$S10:$HK10,csv!$L10:$HD10))</f>
        <v>0</v>
      </c>
      <c r="KE10" s="5">
        <f>IF(ISERROR(LOOKUP(KE$1,$S10:$HK10,csv!$L10:$HD10)),NA(),LOOKUP(KE$1,$S10:$HK10,csv!$L10:$HD10))</f>
        <v>0</v>
      </c>
      <c r="KF10" s="5">
        <f>IF(ISERROR(LOOKUP(KF$1,$S10:$HK10,csv!$L10:$HD10)),NA(),LOOKUP(KF$1,$S10:$HK10,csv!$L10:$HD10))</f>
        <v>0</v>
      </c>
      <c r="KG10" s="5">
        <f>IF(ISERROR(LOOKUP(KG$1,$S10:$HK10,csv!$L10:$HD10)),NA(),LOOKUP(KG$1,$S10:$HK10,csv!$L10:$HD10))</f>
        <v>0</v>
      </c>
      <c r="KH10" s="5">
        <f>IF(ISERROR(LOOKUP(KH$1,$S10:$HK10,csv!$L10:$HD10)),NA(),LOOKUP(KH$1,$S10:$HK10,csv!$L10:$HD10))</f>
        <v>0</v>
      </c>
      <c r="KI10" s="5">
        <f>IF(ISERROR(LOOKUP(KI$1,$S10:$HK10,csv!$L10:$HD10)),NA(),LOOKUP(KI$1,$S10:$HK10,csv!$L10:$HD10))</f>
        <v>0</v>
      </c>
      <c r="KJ10" s="5">
        <f>IF(ISERROR(LOOKUP(KJ$1,$S10:$HK10,csv!$L10:$HD10)),NA(),LOOKUP(KJ$1,$S10:$HK10,csv!$L10:$HD10))</f>
        <v>0</v>
      </c>
      <c r="KK10" s="5">
        <f>IF(ISERROR(LOOKUP(KK$1,$S10:$HK10,csv!$L10:$HD10)),NA(),LOOKUP(KK$1,$S10:$HK10,csv!$L10:$HD10))</f>
        <v>0</v>
      </c>
      <c r="KL10" s="5">
        <f>IF(ISERROR(LOOKUP(KL$1,$S10:$HK10,csv!$L10:$HD10)),NA(),LOOKUP(KL$1,$S10:$HK10,csv!$L10:$HD10))</f>
        <v>0</v>
      </c>
      <c r="KM10" s="5">
        <f>IF(ISERROR(LOOKUP(KM$1,$S10:$HK10,csv!$L10:$HD10)),NA(),LOOKUP(KM$1,$S10:$HK10,csv!$L10:$HD10))</f>
        <v>0</v>
      </c>
      <c r="KN10" s="5">
        <f>IF(ISERROR(LOOKUP(KN$1,$S10:$HK10,csv!$L10:$HD10)),NA(),LOOKUP(KN$1,$S10:$HK10,csv!$L10:$HD10))</f>
        <v>0</v>
      </c>
      <c r="KO10" s="5">
        <f>IF(ISERROR(LOOKUP(KO$1,$S10:$HK10,csv!$L10:$HD10)),NA(),LOOKUP(KO$1,$S10:$HK10,csv!$L10:$HD10))</f>
        <v>0</v>
      </c>
      <c r="KP10" s="5">
        <f>IF(ISERROR(LOOKUP(KP$1,$S10:$HK10,csv!$L10:$HD10)),NA(),LOOKUP(KP$1,$S10:$HK10,csv!$L10:$HD10))</f>
        <v>0</v>
      </c>
      <c r="KQ10" s="5">
        <f>IF(ISERROR(LOOKUP(KQ$1,$S10:$HK10,csv!$L10:$HD10)),NA(),LOOKUP(KQ$1,$S10:$HK10,csv!$L10:$HD10))</f>
        <v>0</v>
      </c>
      <c r="KR10" s="5">
        <f>IF(ISERROR(LOOKUP(KR$1,$S10:$HK10,csv!$L10:$HD10)),NA(),LOOKUP(KR$1,$S10:$HK10,csv!$L10:$HD10))</f>
        <v>0</v>
      </c>
      <c r="KS10" s="5">
        <f>IF(ISERROR(LOOKUP(KS$1,$S10:$HK10,csv!$L10:$HD10)),NA(),LOOKUP(KS$1,$S10:$HK10,csv!$L10:$HD10))</f>
        <v>0</v>
      </c>
      <c r="KT10" s="5">
        <f>IF(ISERROR(LOOKUP(KT$1,$S10:$HK10,csv!$L10:$HD10)),NA(),LOOKUP(KT$1,$S10:$HK10,csv!$L10:$HD10))</f>
        <v>0</v>
      </c>
      <c r="KU10" s="5">
        <f>IF(ISERROR(LOOKUP(KU$1,$S10:$HK10,csv!$L10:$HD10)),NA(),LOOKUP(KU$1,$S10:$HK10,csv!$L10:$HD10))</f>
        <v>0</v>
      </c>
      <c r="KV10" s="5">
        <f>IF(ISERROR(LOOKUP(KV$1,$S10:$HK10,csv!$L10:$HD10)),NA(),LOOKUP(KV$1,$S10:$HK10,csv!$L10:$HD10))</f>
        <v>0</v>
      </c>
      <c r="KW10" s="5">
        <f>IF(ISERROR(LOOKUP(KW$1,$S10:$HK10,csv!$L10:$HD10)),NA(),LOOKUP(KW$1,$S10:$HK10,csv!$L10:$HD10))</f>
        <v>0</v>
      </c>
      <c r="KX10" s="5">
        <f>IF(ISERROR(LOOKUP(KX$1,$S10:$HK10,csv!$L10:$HD10)),NA(),LOOKUP(KX$1,$S10:$HK10,csv!$L10:$HD10))</f>
        <v>0</v>
      </c>
      <c r="KY10" s="5">
        <f>IF(ISERROR(LOOKUP(KY$1,$S10:$HK10,csv!$L10:$HD10)),NA(),LOOKUP(KY$1,$S10:$HK10,csv!$L10:$HD10))</f>
        <v>0</v>
      </c>
      <c r="KZ10" s="5">
        <f>IF(ISERROR(LOOKUP(KZ$1,$S10:$HK10,csv!$L10:$HD10)),NA(),LOOKUP(KZ$1,$S10:$HK10,csv!$L10:$HD10))</f>
        <v>0</v>
      </c>
      <c r="LA10" s="5">
        <f>IF(ISERROR(LOOKUP(LA$1,$S10:$HK10,csv!$L10:$HD10)),NA(),LOOKUP(LA$1,$S10:$HK10,csv!$L10:$HD10))</f>
        <v>0</v>
      </c>
      <c r="LB10" s="5">
        <f>IF(ISERROR(LOOKUP(LB$1,$S10:$HK10,csv!$L10:$HD10)),NA(),LOOKUP(LB$1,$S10:$HK10,csv!$L10:$HD10))</f>
        <v>0</v>
      </c>
      <c r="LC10" s="5">
        <f>IF(ISERROR(LOOKUP(LC$1,$S10:$HK10,csv!$L10:$HD10)),NA(),LOOKUP(LC$1,$S10:$HK10,csv!$L10:$HD10))</f>
        <v>0</v>
      </c>
      <c r="LD10" s="5">
        <f>IF(ISERROR(LOOKUP(LD$1,$S10:$HK10,csv!$L10:$HD10)),NA(),LOOKUP(LD$1,$S10:$HK10,csv!$L10:$HD10))</f>
        <v>0</v>
      </c>
      <c r="LE10" s="5">
        <f>IF(ISERROR(LOOKUP(LE$1,$S10:$HK10,csv!$L10:$HD10)),NA(),LOOKUP(LE$1,$S10:$HK10,csv!$L10:$HD10))</f>
        <v>0</v>
      </c>
      <c r="LF10" s="5">
        <f>IF(ISERROR(LOOKUP(LF$1,$S10:$HK10,csv!$L10:$HD10)),NA(),LOOKUP(LF$1,$S10:$HK10,csv!$L10:$HD10))</f>
        <v>0</v>
      </c>
      <c r="LG10" s="5">
        <f>IF(ISERROR(LOOKUP(LG$1,$S10:$HK10,csv!$L10:$HD10)),NA(),LOOKUP(LG$1,$S10:$HK10,csv!$L10:$HD10))</f>
        <v>0</v>
      </c>
      <c r="LH10" s="5">
        <f>IF(ISERROR(LOOKUP(LH$1,$S10:$HK10,csv!$L10:$HD10)),NA(),LOOKUP(LH$1,$S10:$HK10,csv!$L10:$HD10))</f>
        <v>0</v>
      </c>
      <c r="LI10" s="5">
        <f>IF(ISERROR(LOOKUP(LI$1,$S10:$HK10,csv!$L10:$HD10)),NA(),LOOKUP(LI$1,$S10:$HK10,csv!$L10:$HD10))</f>
        <v>0</v>
      </c>
      <c r="LJ10" s="5">
        <f>IF(ISERROR(LOOKUP(LJ$1,$S10:$HK10,csv!$L10:$HD10)),NA(),LOOKUP(LJ$1,$S10:$HK10,csv!$L10:$HD10))</f>
        <v>0</v>
      </c>
      <c r="LK10" s="5">
        <f>IF(ISERROR(LOOKUP(LK$1,$S10:$HK10,csv!$L10:$HD10)),NA(),LOOKUP(LK$1,$S10:$HK10,csv!$L10:$HD10))</f>
        <v>0</v>
      </c>
      <c r="LL10" s="5">
        <f>IF(ISERROR(LOOKUP(LL$1,$S10:$HK10,csv!$L10:$HD10)),NA(),LOOKUP(LL$1,$S10:$HK10,csv!$L10:$HD10))</f>
        <v>0</v>
      </c>
      <c r="LM10" s="5">
        <f>IF(ISERROR(LOOKUP(LM$1,$S10:$HK10,csv!$L10:$HD10)),NA(),LOOKUP(LM$1,$S10:$HK10,csv!$L10:$HD10))</f>
        <v>0</v>
      </c>
      <c r="LN10" s="5">
        <f>IF(ISERROR(LOOKUP(LN$1,$S10:$HK10,csv!$L10:$HD10)),NA(),LOOKUP(LN$1,$S10:$HK10,csv!$L10:$HD10))</f>
        <v>0</v>
      </c>
      <c r="LO10" s="5">
        <f>IF(ISERROR(LOOKUP(LO$1,$S10:$HK10,csv!$L10:$HD10)),NA(),LOOKUP(LO$1,$S10:$HK10,csv!$L10:$HD10))</f>
        <v>0</v>
      </c>
      <c r="LP10" s="5">
        <f>IF(ISERROR(LOOKUP(LP$1,$S10:$HK10,csv!$L10:$HD10)),NA(),LOOKUP(LP$1,$S10:$HK10,csv!$L10:$HD10))</f>
        <v>0</v>
      </c>
      <c r="LQ10" s="5">
        <f>IF(ISERROR(LOOKUP(LQ$1,$S10:$HK10,csv!$L10:$HD10)),NA(),LOOKUP(LQ$1,$S10:$HK10,csv!$L10:$HD10))</f>
        <v>0</v>
      </c>
      <c r="LR10" s="5">
        <f>IF(ISERROR(LOOKUP(LR$1,$S10:$HK10,csv!$L10:$HD10)),NA(),LOOKUP(LR$1,$S10:$HK10,csv!$L10:$HD10))</f>
        <v>0</v>
      </c>
      <c r="LS10" s="5">
        <f>IF(ISERROR(LOOKUP(LS$1,$S10:$HK10,csv!$L10:$HD10)),NA(),LOOKUP(LS$1,$S10:$HK10,csv!$L10:$HD10))</f>
        <v>0</v>
      </c>
      <c r="LT10" s="5">
        <f>IF(ISERROR(LOOKUP(LT$1,$S10:$HK10,csv!$L10:$HD10)),NA(),LOOKUP(LT$1,$S10:$HK10,csv!$L10:$HD10))</f>
        <v>0</v>
      </c>
      <c r="LU10" s="5">
        <f>IF(ISERROR(LOOKUP(LU$1,$S10:$HK10,csv!$L10:$HD10)),NA(),LOOKUP(LU$1,$S10:$HK10,csv!$L10:$HD10))</f>
        <v>0</v>
      </c>
      <c r="LV10" s="5">
        <f>IF(ISERROR(LOOKUP(LV$1,$S10:$HK10,csv!$L10:$HD10)),NA(),LOOKUP(LV$1,$S10:$HK10,csv!$L10:$HD10))</f>
        <v>0</v>
      </c>
      <c r="LW10" s="5">
        <f>IF(ISERROR(LOOKUP(LW$1,$S10:$HK10,csv!$L10:$HD10)),NA(),LOOKUP(LW$1,$S10:$HK10,csv!$L10:$HD10))</f>
        <v>0</v>
      </c>
      <c r="LX10" s="5">
        <f>IF(ISERROR(LOOKUP(LX$1,$S10:$HK10,csv!$L10:$HD10)),NA(),LOOKUP(LX$1,$S10:$HK10,csv!$L10:$HD10))</f>
        <v>0</v>
      </c>
      <c r="LY10" s="5">
        <f>IF(ISERROR(LOOKUP(LY$1,$S10:$HK10,csv!$L10:$HD10)),NA(),LOOKUP(LY$1,$S10:$HK10,csv!$L10:$HD10))</f>
        <v>0</v>
      </c>
      <c r="LZ10" s="5">
        <f>IF(ISERROR(LOOKUP(LZ$1,$S10:$HK10,csv!$L10:$HD10)),NA(),LOOKUP(LZ$1,$S10:$HK10,csv!$L10:$HD10))</f>
        <v>0</v>
      </c>
      <c r="MA10" s="5">
        <f>IF(ISERROR(LOOKUP(MA$1,$S10:$HK10,csv!$L10:$HD10)),NA(),LOOKUP(MA$1,$S10:$HK10,csv!$L10:$HD10))</f>
        <v>0</v>
      </c>
      <c r="MB10" s="5">
        <f>IF(ISERROR(LOOKUP(MB$1,$S10:$HK10,csv!$L10:$HD10)),NA(),LOOKUP(MB$1,$S10:$HK10,csv!$L10:$HD10))</f>
        <v>0</v>
      </c>
      <c r="MC10" s="5">
        <f>IF(ISERROR(LOOKUP(MC$1,$S10:$HK10,csv!$L10:$HD10)),NA(),LOOKUP(MC$1,$S10:$HK10,csv!$L10:$HD10))</f>
        <v>0</v>
      </c>
      <c r="MD10" s="5">
        <f>IF(ISERROR(LOOKUP(MD$1,$S10:$HK10,csv!$L10:$HD10)),NA(),LOOKUP(MD$1,$S10:$HK10,csv!$L10:$HD10))</f>
        <v>0</v>
      </c>
      <c r="ME10" s="5">
        <f>IF(ISERROR(LOOKUP(ME$1,$S10:$HK10,csv!$L10:$HD10)),NA(),LOOKUP(ME$1,$S10:$HK10,csv!$L10:$HD10))</f>
        <v>0</v>
      </c>
      <c r="MF10" s="5">
        <f>IF(ISERROR(LOOKUP(MF$1,$S10:$HK10,csv!$L10:$HD10)),NA(),LOOKUP(MF$1,$S10:$HK10,csv!$L10:$HD10))</f>
        <v>0</v>
      </c>
      <c r="MG10" s="5">
        <f>IF(ISERROR(LOOKUP(MG$1,$S10:$HK10,csv!$L10:$HD10)),NA(),LOOKUP(MG$1,$S10:$HK10,csv!$L10:$HD10))</f>
        <v>0</v>
      </c>
      <c r="MH10" s="5">
        <f>IF(ISERROR(LOOKUP(MH$1,$S10:$HK10,csv!$L10:$HD10)),NA(),LOOKUP(MH$1,$S10:$HK10,csv!$L10:$HD10))</f>
        <v>0</v>
      </c>
      <c r="MI10" s="5">
        <f>IF(ISERROR(LOOKUP(MI$1,$S10:$HK10,csv!$L10:$HD10)),NA(),LOOKUP(MI$1,$S10:$HK10,csv!$L10:$HD10))</f>
        <v>0</v>
      </c>
      <c r="MJ10" s="5">
        <f>IF(ISERROR(LOOKUP(MJ$1,$S10:$HK10,csv!$L10:$HD10)),NA(),LOOKUP(MJ$1,$S10:$HK10,csv!$L10:$HD10))</f>
        <v>0</v>
      </c>
      <c r="MK10" s="5">
        <f>IF(ISERROR(LOOKUP(MK$1,$S10:$HK10,csv!$L10:$HD10)),NA(),LOOKUP(MK$1,$S10:$HK10,csv!$L10:$HD10))</f>
        <v>0</v>
      </c>
      <c r="ML10" s="5">
        <f>IF(ISERROR(LOOKUP(ML$1,$S10:$HK10,csv!$L10:$HD10)),NA(),LOOKUP(ML$1,$S10:$HK10,csv!$L10:$HD10))</f>
        <v>0</v>
      </c>
      <c r="MM10" s="5">
        <f>IF(ISERROR(LOOKUP(MM$1,$S10:$HK10,csv!$L10:$HD10)),NA(),LOOKUP(MM$1,$S10:$HK10,csv!$L10:$HD10))</f>
        <v>0</v>
      </c>
      <c r="MN10" s="5">
        <f>IF(ISERROR(LOOKUP(MN$1,$S10:$HK10,csv!$L10:$HD10)),NA(),LOOKUP(MN$1,$S10:$HK10,csv!$L10:$HD10))</f>
        <v>0</v>
      </c>
      <c r="MO10" s="5">
        <f>IF(ISERROR(LOOKUP(MO$1,$S10:$HK10,csv!$L10:$HD10)),NA(),LOOKUP(MO$1,$S10:$HK10,csv!$L10:$HD10))</f>
        <v>0</v>
      </c>
      <c r="MP10" s="5">
        <f>IF(ISERROR(LOOKUP(MP$1,$S10:$HK10,csv!$L10:$HD10)),NA(),LOOKUP(MP$1,$S10:$HK10,csv!$L10:$HD10))</f>
        <v>0</v>
      </c>
      <c r="MQ10" s="5">
        <f>IF(ISERROR(LOOKUP(MQ$1,$S10:$HK10,csv!$L10:$HD10)),NA(),LOOKUP(MQ$1,$S10:$HK10,csv!$L10:$HD10))</f>
        <v>0</v>
      </c>
      <c r="MR10" s="5">
        <f>IF(ISERROR(LOOKUP(MR$1,$S10:$HK10,csv!$L10:$HD10)),NA(),LOOKUP(MR$1,$S10:$HK10,csv!$L10:$HD10))</f>
        <v>0</v>
      </c>
      <c r="MS10" s="5">
        <f>IF(ISERROR(LOOKUP(MS$1,$S10:$HK10,csv!$L10:$HD10)),NA(),LOOKUP(MS$1,$S10:$HK10,csv!$L10:$HD10))</f>
        <v>0</v>
      </c>
      <c r="MT10" s="5">
        <f>IF(ISERROR(LOOKUP(MT$1,$S10:$HK10,csv!$L10:$HD10)),NA(),LOOKUP(MT$1,$S10:$HK10,csv!$L10:$HD10))</f>
        <v>0</v>
      </c>
      <c r="MU10" s="5">
        <f>IF(ISERROR(LOOKUP(MU$1,$S10:$HK10,csv!$L10:$HD10)),NA(),LOOKUP(MU$1,$S10:$HK10,csv!$L10:$HD10))</f>
        <v>0</v>
      </c>
      <c r="MV10" s="5">
        <f>IF(ISERROR(LOOKUP(MV$1,$S10:$HK10,csv!$L10:$HD10)),NA(),LOOKUP(MV$1,$S10:$HK10,csv!$L10:$HD10))</f>
        <v>0</v>
      </c>
      <c r="MW10" s="5">
        <f>IF(ISERROR(LOOKUP(MW$1,$S10:$HK10,csv!$L10:$HD10)),NA(),LOOKUP(MW$1,$S10:$HK10,csv!$L10:$HD10))</f>
        <v>0</v>
      </c>
      <c r="MX10" s="5">
        <f>IF(ISERROR(LOOKUP(MX$1,$S10:$HK10,csv!$L10:$HD10)),NA(),LOOKUP(MX$1,$S10:$HK10,csv!$L10:$HD10))</f>
        <v>0</v>
      </c>
      <c r="MY10" s="5">
        <f>IF(ISERROR(LOOKUP(MY$1,$S10:$HK10,csv!$L10:$HD10)),NA(),LOOKUP(MY$1,$S10:$HK10,csv!$L10:$HD10))</f>
        <v>0</v>
      </c>
      <c r="MZ10" s="5">
        <f>IF(ISERROR(LOOKUP(MZ$1,$S10:$HK10,csv!$L10:$HD10)),NA(),LOOKUP(MZ$1,$S10:$HK10,csv!$L10:$HD10))</f>
        <v>0</v>
      </c>
      <c r="NA10" s="5">
        <f>IF(ISERROR(LOOKUP(NA$1,$S10:$HK10,csv!$L10:$HD10)),NA(),LOOKUP(NA$1,$S10:$HK10,csv!$L10:$HD10))</f>
        <v>0</v>
      </c>
      <c r="NB10" s="5">
        <f>IF(ISERROR(LOOKUP(NB$1,$S10:$HK10,csv!$L10:$HD10)),NA(),LOOKUP(NB$1,$S10:$HK10,csv!$L10:$HD10))</f>
        <v>0</v>
      </c>
      <c r="NC10" s="5">
        <f>IF(ISERROR(LOOKUP(NC$1,$S10:$HK10,csv!$L10:$HD10)),NA(),LOOKUP(NC$1,$S10:$HK10,csv!$L10:$HD10))</f>
        <v>0</v>
      </c>
      <c r="ND10" s="5">
        <f>IF(ISERROR(LOOKUP(ND$1,$S10:$HK10,csv!$L10:$HD10)),NA(),LOOKUP(ND$1,$S10:$HK10,csv!$L10:$HD10))</f>
        <v>0</v>
      </c>
      <c r="NE10" s="5">
        <f>IF(ISERROR(LOOKUP(NE$1,$S10:$HK10,csv!$L10:$HD10)),NA(),LOOKUP(NE$1,$S10:$HK10,csv!$L10:$HD10))</f>
        <v>0</v>
      </c>
      <c r="NF10" s="5">
        <f>IF(ISERROR(LOOKUP(NF$1,$S10:$HK10,csv!$L10:$HD10)),NA(),LOOKUP(NF$1,$S10:$HK10,csv!$L10:$HD10))</f>
        <v>0</v>
      </c>
      <c r="NG10" s="5">
        <f>IF(ISERROR(LOOKUP(NG$1,$S10:$HK10,csv!$L10:$HD10)),NA(),LOOKUP(NG$1,$S10:$HK10,csv!$L10:$HD10))</f>
        <v>0</v>
      </c>
      <c r="NH10" s="5">
        <f>IF(ISERROR(LOOKUP(NH$1,$S10:$HK10,csv!$L10:$HD10)),NA(),LOOKUP(NH$1,$S10:$HK10,csv!$L10:$HD10))</f>
        <v>0</v>
      </c>
      <c r="NI10" s="5">
        <f>IF(ISERROR(LOOKUP(NI$1,$S10:$HK10,csv!$L10:$HD10)),NA(),LOOKUP(NI$1,$S10:$HK10,csv!$L10:$HD10))</f>
        <v>0</v>
      </c>
      <c r="NJ10" s="5">
        <f>IF(ISERROR(LOOKUP(NJ$1,$S10:$HK10,csv!$L10:$HD10)),NA(),LOOKUP(NJ$1,$S10:$HK10,csv!$L10:$HD10))</f>
        <v>0</v>
      </c>
      <c r="NK10" s="5">
        <f>IF(ISERROR(LOOKUP(NK$1,$S10:$HK10,csv!$L10:$HD10)),NA(),LOOKUP(NK$1,$S10:$HK10,csv!$L10:$HD10))</f>
        <v>0</v>
      </c>
      <c r="NL10" s="5">
        <f>IF(ISERROR(LOOKUP(NL$1,$S10:$HK10,csv!$L10:$HD10)),NA(),LOOKUP(NL$1,$S10:$HK10,csv!$L10:$HD10))</f>
        <v>0</v>
      </c>
      <c r="NM10" s="5">
        <f>IF(ISERROR(LOOKUP(NM$1,$S10:$HK10,csv!$L10:$HD10)),NA(),LOOKUP(NM$1,$S10:$HK10,csv!$L10:$HD10))</f>
        <v>0</v>
      </c>
      <c r="NN10" s="5">
        <f>IF(ISERROR(LOOKUP(NN$1,$S10:$HK10,csv!$L10:$HD10)),NA(),LOOKUP(NN$1,$S10:$HK10,csv!$L10:$HD10))</f>
        <v>0</v>
      </c>
      <c r="NO10" s="5">
        <f>IF(ISERROR(LOOKUP(NO$1,$S10:$HK10,csv!$L10:$HD10)),NA(),LOOKUP(NO$1,$S10:$HK10,csv!$L10:$HD10))</f>
        <v>0</v>
      </c>
      <c r="NP10" s="5">
        <f>IF(ISERROR(LOOKUP(NP$1,$S10:$HK10,csv!$L10:$HD10)),NA(),LOOKUP(NP$1,$S10:$HK10,csv!$L10:$HD10))</f>
        <v>0</v>
      </c>
      <c r="NQ10" s="5">
        <f>IF(ISERROR(LOOKUP(NQ$1,$S10:$HK10,csv!$L10:$HD10)),NA(),LOOKUP(NQ$1,$S10:$HK10,csv!$L10:$HD10))</f>
        <v>0</v>
      </c>
      <c r="NR10" s="5">
        <f>IF(ISERROR(LOOKUP(NR$1,$S10:$HK10,csv!$L10:$HD10)),NA(),LOOKUP(NR$1,$S10:$HK10,csv!$L10:$HD10))</f>
        <v>0</v>
      </c>
      <c r="NS10" s="5">
        <f>IF(ISERROR(LOOKUP(NS$1,$S10:$HK10,csv!$L10:$HD10)),NA(),LOOKUP(NS$1,$S10:$HK10,csv!$L10:$HD10))</f>
        <v>0</v>
      </c>
      <c r="NT10" s="5">
        <f>IF(ISERROR(LOOKUP(NT$1,$S10:$HK10,csv!$L10:$HD10)),NA(),LOOKUP(NT$1,$S10:$HK10,csv!$L10:$HD10))</f>
        <v>0</v>
      </c>
      <c r="NU10" s="5">
        <f>IF(ISERROR(LOOKUP(NU$1,$S10:$HK10,csv!$L10:$HD10)),NA(),LOOKUP(NU$1,$S10:$HK10,csv!$L10:$HD10))</f>
        <v>0</v>
      </c>
      <c r="NV10" s="5">
        <f>IF(ISERROR(LOOKUP(NV$1,$S10:$HK10,csv!$L10:$HD10)),NA(),LOOKUP(NV$1,$S10:$HK10,csv!$L10:$HD10))</f>
        <v>0</v>
      </c>
      <c r="NW10" s="5">
        <f>IF(ISERROR(LOOKUP(NW$1,$S10:$HK10,csv!$L10:$HD10)),NA(),LOOKUP(NW$1,$S10:$HK10,csv!$L10:$HD10))</f>
        <v>0</v>
      </c>
      <c r="NX10" s="5">
        <f>IF(ISERROR(LOOKUP(NX$1,$S10:$HK10,csv!$L10:$HD10)),NA(),LOOKUP(NX$1,$S10:$HK10,csv!$L10:$HD10))</f>
        <v>0</v>
      </c>
      <c r="NY10" s="5">
        <f>IF(ISERROR(LOOKUP(NY$1,$S10:$HK10,csv!$L10:$HD10)),NA(),LOOKUP(NY$1,$S10:$HK10,csv!$L10:$HD10))</f>
        <v>0</v>
      </c>
      <c r="NZ10" s="5">
        <f>IF(ISERROR(LOOKUP(NZ$1,$S10:$HK10,csv!$L10:$HD10)),NA(),LOOKUP(NZ$1,$S10:$HK10,csv!$L10:$HD10))</f>
        <v>0</v>
      </c>
      <c r="OA10" s="5">
        <f>IF(ISERROR(LOOKUP(OA$1,$S10:$HK10,csv!$L10:$HD10)),NA(),LOOKUP(OA$1,$S10:$HK10,csv!$L10:$HD10))</f>
        <v>0</v>
      </c>
      <c r="OB10" s="5">
        <f>IF(ISERROR(LOOKUP(OB$1,$S10:$HK10,csv!$L10:$HD10)),NA(),LOOKUP(OB$1,$S10:$HK10,csv!$L10:$HD10))</f>
        <v>0</v>
      </c>
      <c r="OC10" s="5">
        <f>IF(ISERROR(LOOKUP(OC$1,$S10:$HK10,csv!$L10:$HD10)),NA(),LOOKUP(OC$1,$S10:$HK10,csv!$L10:$HD10))</f>
        <v>0</v>
      </c>
      <c r="OD10" s="5">
        <f>IF(ISERROR(LOOKUP(OD$1,$S10:$HK10,csv!$L10:$HD10)),NA(),LOOKUP(OD$1,$S10:$HK10,csv!$L10:$HD10))</f>
        <v>0</v>
      </c>
      <c r="OE10" s="5">
        <f>IF(ISERROR(LOOKUP(OE$1,$S10:$HK10,csv!$L10:$HD10)),NA(),LOOKUP(OE$1,$S10:$HK10,csv!$L10:$HD10))</f>
        <v>0</v>
      </c>
      <c r="OF10" s="5">
        <f>IF(ISERROR(LOOKUP(OF$1,$S10:$HK10,csv!$L10:$HD10)),NA(),LOOKUP(OF$1,$S10:$HK10,csv!$L10:$HD10))</f>
        <v>0</v>
      </c>
      <c r="OG10" s="5">
        <f>IF(ISERROR(LOOKUP(OG$1,$S10:$HK10,csv!$L10:$HD10)),NA(),LOOKUP(OG$1,$S10:$HK10,csv!$L10:$HD10))</f>
        <v>0</v>
      </c>
      <c r="OH10" s="5">
        <f>IF(ISERROR(LOOKUP(OH$1,$S10:$HK10,csv!$L10:$HD10)),NA(),LOOKUP(OH$1,$S10:$HK10,csv!$L10:$HD10))</f>
        <v>0</v>
      </c>
      <c r="OI10" s="5">
        <f>IF(ISERROR(LOOKUP(OI$1,$S10:$HK10,csv!$L10:$HD10)),NA(),LOOKUP(OI$1,$S10:$HK10,csv!$L10:$HD10))</f>
        <v>0</v>
      </c>
      <c r="OJ10" s="5">
        <f>IF(ISERROR(LOOKUP(OJ$1,$S10:$HK10,csv!$L10:$HD10)),NA(),LOOKUP(OJ$1,$S10:$HK10,csv!$L10:$HD10))</f>
        <v>0</v>
      </c>
      <c r="OK10" s="5">
        <f>IF(ISERROR(LOOKUP(OK$1,$S10:$HK10,csv!$L10:$HD10)),NA(),LOOKUP(OK$1,$S10:$HK10,csv!$L10:$HD10))</f>
        <v>0</v>
      </c>
      <c r="OL10" s="5">
        <f>IF(ISERROR(LOOKUP(OL$1,$S10:$HK10,csv!$L10:$HD10)),NA(),LOOKUP(OL$1,$S10:$HK10,csv!$L10:$HD10))</f>
        <v>0</v>
      </c>
      <c r="OM10" s="5">
        <f>IF(ISERROR(LOOKUP(OM$1,$S10:$HK10,csv!$L10:$HD10)),NA(),LOOKUP(OM$1,$S10:$HK10,csv!$L10:$HD10))</f>
        <v>0</v>
      </c>
      <c r="ON10" s="5">
        <f>IF(ISERROR(LOOKUP(ON$1,$S10:$HK10,csv!$L10:$HD10)),NA(),LOOKUP(ON$1,$S10:$HK10,csv!$L10:$HD10))</f>
        <v>0</v>
      </c>
      <c r="OO10" s="5">
        <f>IF(ISERROR(LOOKUP(OO$1,$S10:$HK10,csv!$L10:$HD10)),NA(),LOOKUP(OO$1,$S10:$HK10,csv!$L10:$HD10))</f>
        <v>0</v>
      </c>
      <c r="OP10" s="5">
        <f>IF(ISERROR(LOOKUP(OP$1,$S10:$HK10,csv!$L10:$HD10)),NA(),LOOKUP(OP$1,$S10:$HK10,csv!$L10:$HD10))</f>
        <v>0</v>
      </c>
      <c r="OQ10" s="5">
        <f>IF(ISERROR(LOOKUP(OQ$1,$S10:$HK10,csv!$L10:$HD10)),NA(),LOOKUP(OQ$1,$S10:$HK10,csv!$L10:$HD10))</f>
        <v>0</v>
      </c>
      <c r="OR10" s="5">
        <f>IF(ISERROR(LOOKUP(OR$1,$S10:$HK10,csv!$L10:$HD10)),NA(),LOOKUP(OR$1,$S10:$HK10,csv!$L10:$HD10))</f>
        <v>0</v>
      </c>
      <c r="OS10" s="5">
        <f>IF(ISERROR(LOOKUP(OS$1,$S10:$HK10,csv!$L10:$HD10)),NA(),LOOKUP(OS$1,$S10:$HK10,csv!$L10:$HD10))</f>
        <v>0</v>
      </c>
      <c r="OT10" s="5">
        <f>IF(ISERROR(LOOKUP(OT$1,$S10:$HK10,csv!$L10:$HD10)),NA(),LOOKUP(OT$1,$S10:$HK10,csv!$L10:$HD10))</f>
        <v>0</v>
      </c>
      <c r="OU10" s="5">
        <f>IF(ISERROR(LOOKUP(OU$1,$S10:$HK10,csv!$L10:$HD10)),NA(),LOOKUP(OU$1,$S10:$HK10,csv!$L10:$HD10))</f>
        <v>0</v>
      </c>
      <c r="OV10" s="5">
        <f>IF(ISERROR(LOOKUP(OV$1,$S10:$HK10,csv!$L10:$HD10)),NA(),LOOKUP(OV$1,$S10:$HK10,csv!$L10:$HD10))</f>
        <v>0</v>
      </c>
      <c r="OW10" s="5">
        <f>IF(ISERROR(LOOKUP(OW$1,$S10:$HK10,csv!$L10:$HD10)),NA(),LOOKUP(OW$1,$S10:$HK10,csv!$L10:$HD10))</f>
        <v>0</v>
      </c>
      <c r="OX10" s="5">
        <f>IF(ISERROR(LOOKUP(OX$1,$S10:$HK10,csv!$L10:$HD10)),NA(),LOOKUP(OX$1,$S10:$HK10,csv!$L10:$HD10))</f>
        <v>0</v>
      </c>
      <c r="OY10" s="5">
        <f>IF(ISERROR(LOOKUP(OY$1,$S10:$HK10,csv!$L10:$HD10)),NA(),LOOKUP(OY$1,$S10:$HK10,csv!$L10:$HD10))</f>
        <v>0</v>
      </c>
      <c r="OZ10" s="5">
        <f>IF(ISERROR(LOOKUP(OZ$1,$S10:$HK10,csv!$L10:$HD10)),NA(),LOOKUP(OZ$1,$S10:$HK10,csv!$L10:$HD10))</f>
        <v>0</v>
      </c>
      <c r="PA10" s="5">
        <f>IF(ISERROR(LOOKUP(PA$1,$S10:$HK10,csv!$L10:$HD10)),NA(),LOOKUP(PA$1,$S10:$HK10,csv!$L10:$HD10))</f>
        <v>0</v>
      </c>
      <c r="PB10" s="5">
        <f>IF(ISERROR(LOOKUP(PB$1,$S10:$HK10,csv!$L10:$HD10)),NA(),LOOKUP(PB$1,$S10:$HK10,csv!$L10:$HD10))</f>
        <v>0</v>
      </c>
      <c r="PC10" s="5">
        <f>IF(ISERROR(LOOKUP(PC$1,$S10:$HK10,csv!$L10:$HD10)),NA(),LOOKUP(PC$1,$S10:$HK10,csv!$L10:$HD10))</f>
        <v>0</v>
      </c>
      <c r="PD10" s="5">
        <f>IF(ISERROR(LOOKUP(PD$1,$S10:$HK10,csv!$L10:$HD10)),NA(),LOOKUP(PD$1,$S10:$HK10,csv!$L10:$HD10))</f>
        <v>0</v>
      </c>
      <c r="PE10" s="5">
        <f>IF(ISERROR(LOOKUP(PE$1,$S10:$HK10,csv!$L10:$HD10)),NA(),LOOKUP(PE$1,$S10:$HK10,csv!$L10:$HD10))</f>
        <v>0</v>
      </c>
      <c r="PF10" s="5">
        <f>IF(ISERROR(LOOKUP(PF$1,$S10:$HK10,csv!$L10:$HD10)),NA(),LOOKUP(PF$1,$S10:$HK10,csv!$L10:$HD10))</f>
        <v>0</v>
      </c>
      <c r="PG10" s="5">
        <f>IF(ISERROR(LOOKUP(PG$1,$S10:$HK10,csv!$L10:$HD10)),NA(),LOOKUP(PG$1,$S10:$HK10,csv!$L10:$HD10))</f>
        <v>0</v>
      </c>
      <c r="PH10" s="5">
        <f>IF(ISERROR(LOOKUP(PH$1,$S10:$HK10,csv!$L10:$HD10)),NA(),LOOKUP(PH$1,$S10:$HK10,csv!$L10:$HD10))</f>
        <v>0</v>
      </c>
      <c r="PI10" s="5">
        <f>IF(ISERROR(LOOKUP(PI$1,$S10:$HK10,csv!$L10:$HD10)),NA(),LOOKUP(PI$1,$S10:$HK10,csv!$L10:$HD10))</f>
        <v>0</v>
      </c>
      <c r="PJ10" s="5">
        <f>IF(ISERROR(LOOKUP(PJ$1,$S10:$HK10,csv!$L10:$HD10)),NA(),LOOKUP(PJ$1,$S10:$HK10,csv!$L10:$HD10))</f>
        <v>0</v>
      </c>
      <c r="PK10" s="5">
        <f>IF(ISERROR(LOOKUP(PK$1,$S10:$HK10,csv!$L10:$HD10)),NA(),LOOKUP(PK$1,$S10:$HK10,csv!$L10:$HD10))</f>
        <v>0</v>
      </c>
      <c r="PL10" s="5">
        <f>IF(ISERROR(LOOKUP(PL$1,$S10:$HK10,csv!$L10:$HD10)),NA(),LOOKUP(PL$1,$S10:$HK10,csv!$L10:$HD10))</f>
        <v>0</v>
      </c>
      <c r="PM10" s="5">
        <f>IF(ISERROR(LOOKUP(PM$1,$S10:$HK10,csv!$L10:$HD10)),NA(),LOOKUP(PM$1,$S10:$HK10,csv!$L10:$HD10))</f>
        <v>0</v>
      </c>
      <c r="PN10" s="5">
        <f>IF(ISERROR(LOOKUP(PN$1,$S10:$HK10,csv!$L10:$HD10)),NA(),LOOKUP(PN$1,$S10:$HK10,csv!$L10:$HD10))</f>
        <v>0</v>
      </c>
      <c r="PO10" s="5">
        <f>IF(ISERROR(LOOKUP(PO$1,$S10:$HK10,csv!$L10:$HD10)),NA(),LOOKUP(PO$1,$S10:$HK10,csv!$L10:$HD10))</f>
        <v>0</v>
      </c>
      <c r="PP10" s="5">
        <f>IF(ISERROR(LOOKUP(PP$1,$S10:$HK10,csv!$L10:$HD10)),NA(),LOOKUP(PP$1,$S10:$HK10,csv!$L10:$HD10))</f>
        <v>0</v>
      </c>
      <c r="PQ10" s="5">
        <f>IF(ISERROR(LOOKUP(PQ$1,$S10:$HK10,csv!$L10:$HD10)),NA(),LOOKUP(PQ$1,$S10:$HK10,csv!$L10:$HD10))</f>
        <v>0</v>
      </c>
      <c r="PR10" s="5">
        <f>IF(ISERROR(LOOKUP(PR$1,$S10:$HK10,csv!$L10:$HD10)),NA(),LOOKUP(PR$1,$S10:$HK10,csv!$L10:$HD10))</f>
        <v>0</v>
      </c>
      <c r="PS10" s="5">
        <f>IF(ISERROR(LOOKUP(PS$1,$S10:$HK10,csv!$L10:$HD10)),NA(),LOOKUP(PS$1,$S10:$HK10,csv!$L10:$HD10))</f>
        <v>0</v>
      </c>
      <c r="PT10" s="5">
        <f>IF(ISERROR(LOOKUP(PT$1,$S10:$HK10,csv!$L10:$HD10)),NA(),LOOKUP(PT$1,$S10:$HK10,csv!$L10:$HD10))</f>
        <v>0</v>
      </c>
      <c r="PU10" s="5">
        <f>IF(ISERROR(LOOKUP(PU$1,$S10:$HK10,csv!$L10:$HD10)),NA(),LOOKUP(PU$1,$S10:$HK10,csv!$L10:$HD10))</f>
        <v>0</v>
      </c>
      <c r="PV10" s="5">
        <f>IF(ISERROR(LOOKUP(PV$1,$S10:$HK10,csv!$L10:$HD10)),NA(),LOOKUP(PV$1,$S10:$HK10,csv!$L10:$HD10))</f>
        <v>0</v>
      </c>
      <c r="PW10" s="5">
        <f>IF(ISERROR(LOOKUP(PW$1,$S10:$HK10,csv!$L10:$HD10)),NA(),LOOKUP(PW$1,$S10:$HK10,csv!$L10:$HD10))</f>
        <v>0</v>
      </c>
      <c r="PX10" s="5">
        <f>IF(ISERROR(LOOKUP(PX$1,$S10:$HK10,csv!$L10:$HD10)),NA(),LOOKUP(PX$1,$S10:$HK10,csv!$L10:$HD10))</f>
        <v>0</v>
      </c>
      <c r="PY10" s="5">
        <f>IF(ISERROR(LOOKUP(PY$1,$S10:$HK10,csv!$L10:$HD10)),NA(),LOOKUP(PY$1,$S10:$HK10,csv!$L10:$HD10))</f>
        <v>0</v>
      </c>
      <c r="PZ10" s="5">
        <f>IF(ISERROR(LOOKUP(PZ$1,$S10:$HK10,csv!$L10:$HD10)),NA(),LOOKUP(PZ$1,$S10:$HK10,csv!$L10:$HD10))</f>
        <v>0</v>
      </c>
      <c r="QA10" s="5">
        <f>IF(ISERROR(LOOKUP(QA$1,$S10:$HK10,csv!$L10:$HD10)),NA(),LOOKUP(QA$1,$S10:$HK10,csv!$L10:$HD10))</f>
        <v>0</v>
      </c>
      <c r="QB10" s="5">
        <f>IF(ISERROR(LOOKUP(QB$1,$S10:$HK10,csv!$L10:$HD10)),NA(),LOOKUP(QB$1,$S10:$HK10,csv!$L10:$HD10))</f>
        <v>0</v>
      </c>
      <c r="QC10" s="5">
        <f>IF(ISERROR(LOOKUP(QC$1,$S10:$HK10,csv!$L10:$HD10)),NA(),LOOKUP(QC$1,$S10:$HK10,csv!$L10:$HD10))</f>
        <v>0</v>
      </c>
      <c r="QD10" s="5">
        <f>IF(ISERROR(LOOKUP(QD$1,$S10:$HK10,csv!$L10:$HD10)),NA(),LOOKUP(QD$1,$S10:$HK10,csv!$L10:$HD10))</f>
        <v>0</v>
      </c>
      <c r="QE10" s="5">
        <f>IF(ISERROR(LOOKUP(QE$1,$S10:$HK10,csv!$L10:$HD10)),NA(),LOOKUP(QE$1,$S10:$HK10,csv!$L10:$HD10))</f>
        <v>0</v>
      </c>
      <c r="QF10" s="5">
        <f>IF(ISERROR(LOOKUP(QF$1,$S10:$HK10,csv!$L10:$HD10)),NA(),LOOKUP(QF$1,$S10:$HK10,csv!$L10:$HD10))</f>
        <v>0</v>
      </c>
      <c r="QG10" s="5">
        <f>IF(ISERROR(LOOKUP(QG$1,$S10:$HK10,csv!$L10:$HD10)),NA(),LOOKUP(QG$1,$S10:$HK10,csv!$L10:$HD10))</f>
        <v>0</v>
      </c>
      <c r="QH10" s="5">
        <f>IF(ISERROR(LOOKUP(QH$1,$S10:$HK10,csv!$L10:$HD10)),NA(),LOOKUP(QH$1,$S10:$HK10,csv!$L10:$HD10))</f>
        <v>0</v>
      </c>
      <c r="QI10" s="5">
        <f>IF(ISERROR(LOOKUP(QI$1,$S10:$HK10,csv!$L10:$HD10)),NA(),LOOKUP(QI$1,$S10:$HK10,csv!$L10:$HD10))</f>
        <v>0</v>
      </c>
      <c r="QJ10" s="5">
        <f>IF(ISERROR(LOOKUP(QJ$1,$S10:$HK10,csv!$L10:$HD10)),NA(),LOOKUP(QJ$1,$S10:$HK10,csv!$L10:$HD10))</f>
        <v>0</v>
      </c>
      <c r="QK10" s="5">
        <f>IF(ISERROR(LOOKUP(QK$1,$S10:$HK10,csv!$L10:$HD10)),NA(),LOOKUP(QK$1,$S10:$HK10,csv!$L10:$HD10))</f>
        <v>0</v>
      </c>
      <c r="QL10" s="5">
        <f>IF(ISERROR(LOOKUP(QL$1,$S10:$HK10,csv!$L10:$HD10)),NA(),LOOKUP(QL$1,$S10:$HK10,csv!$L10:$HD10))</f>
        <v>0</v>
      </c>
      <c r="QM10" s="5">
        <f>IF(ISERROR(LOOKUP(QM$1,$S10:$HK10,csv!$L10:$HD10)),NA(),LOOKUP(QM$1,$S10:$HK10,csv!$L10:$HD10))</f>
        <v>0</v>
      </c>
      <c r="QN10" s="5">
        <f>IF(ISERROR(LOOKUP(QN$1,$S10:$HK10,csv!$L10:$HD10)),NA(),LOOKUP(QN$1,$S10:$HK10,csv!$L10:$HD10))</f>
        <v>0</v>
      </c>
      <c r="QO10" s="5">
        <f>IF(ISERROR(LOOKUP(QO$1,$S10:$HK10,csv!$L10:$HD10)),NA(),LOOKUP(QO$1,$S10:$HK10,csv!$L10:$HD10))</f>
        <v>0</v>
      </c>
      <c r="QP10" s="5">
        <f>IF(ISERROR(LOOKUP(QP$1,$S10:$HK10,csv!$L10:$HD10)),NA(),LOOKUP(QP$1,$S10:$HK10,csv!$L10:$HD10))</f>
        <v>0</v>
      </c>
      <c r="QQ10" s="5">
        <f>IF(ISERROR(LOOKUP(QQ$1,$S10:$HK10,csv!$L10:$HD10)),NA(),LOOKUP(QQ$1,$S10:$HK10,csv!$L10:$HD10))</f>
        <v>0</v>
      </c>
      <c r="QR10" s="5">
        <f>IF(ISERROR(LOOKUP(QR$1,$S10:$HK10,csv!$L10:$HD10)),NA(),LOOKUP(QR$1,$S10:$HK10,csv!$L10:$HD10))</f>
        <v>0</v>
      </c>
      <c r="QS10" s="5">
        <f>IF(ISERROR(LOOKUP(QS$1,$S10:$HK10,csv!$L10:$HD10)),NA(),LOOKUP(QS$1,$S10:$HK10,csv!$L10:$HD10))</f>
        <v>0</v>
      </c>
      <c r="QT10" s="5">
        <f>IF(ISERROR(LOOKUP(QT$1,$S10:$HK10,csv!$L10:$HD10)),NA(),LOOKUP(QT$1,$S10:$HK10,csv!$L10:$HD10))</f>
        <v>0</v>
      </c>
      <c r="QU10" s="5">
        <f>IF(ISERROR(LOOKUP(QU$1,$S10:$HK10,csv!$L10:$HD10)),NA(),LOOKUP(QU$1,$S10:$HK10,csv!$L10:$HD10))</f>
        <v>0</v>
      </c>
      <c r="QV10" s="5">
        <f>IF(ISERROR(LOOKUP(QV$1,$S10:$HK10,csv!$L10:$HD10)),NA(),LOOKUP(QV$1,$S10:$HK10,csv!$L10:$HD10))</f>
        <v>0</v>
      </c>
      <c r="QW10" s="5">
        <f>IF(ISERROR(LOOKUP(QW$1,$S10:$HK10,csv!$L10:$HD10)),NA(),LOOKUP(QW$1,$S10:$HK10,csv!$L10:$HD10))</f>
        <v>0</v>
      </c>
      <c r="QX10" s="5">
        <f>IF(ISERROR(LOOKUP(QX$1,$S10:$HK10,csv!$L10:$HD10)),NA(),LOOKUP(QX$1,$S10:$HK10,csv!$L10:$HD10))</f>
        <v>0</v>
      </c>
      <c r="QY10" s="5">
        <f>IF(ISERROR(LOOKUP(QY$1,$S10:$HK10,csv!$L10:$HD10)),NA(),LOOKUP(QY$1,$S10:$HK10,csv!$L10:$HD10))</f>
        <v>0</v>
      </c>
      <c r="QZ10" s="5">
        <f>IF(ISERROR(LOOKUP(QZ$1,$S10:$HK10,csv!$L10:$HD10)),NA(),LOOKUP(QZ$1,$S10:$HK10,csv!$L10:$HD10))</f>
        <v>0</v>
      </c>
      <c r="RA10" s="5">
        <f>IF(ISERROR(LOOKUP(RA$1,$S10:$HK10,csv!$L10:$HD10)),NA(),LOOKUP(RA$1,$S10:$HK10,csv!$L10:$HD10))</f>
        <v>0</v>
      </c>
      <c r="RB10" s="5">
        <f>IF(ISERROR(LOOKUP(RB$1,$S10:$HK10,csv!$L10:$HD10)),NA(),LOOKUP(RB$1,$S10:$HK10,csv!$L10:$HD10))</f>
        <v>0</v>
      </c>
      <c r="RC10" s="5">
        <f>IF(ISERROR(LOOKUP(RC$1,$S10:$HK10,csv!$L10:$HD10)),NA(),LOOKUP(RC$1,$S10:$HK10,csv!$L10:$HD10))</f>
        <v>0</v>
      </c>
      <c r="RD10" s="5">
        <f>IF(ISERROR(LOOKUP(RD$1,$S10:$HK10,csv!$L10:$HD10)),NA(),LOOKUP(RD$1,$S10:$HK10,csv!$L10:$HD10))</f>
        <v>0</v>
      </c>
      <c r="RE10" s="5">
        <f>IF(ISERROR(LOOKUP(RE$1,$S10:$HK10,csv!$L10:$HD10)),NA(),LOOKUP(RE$1,$S10:$HK10,csv!$L10:$HD10))</f>
        <v>0</v>
      </c>
      <c r="RF10" s="5">
        <f>IF(ISERROR(LOOKUP(RF$1,$S10:$HK10,csv!$L10:$HD10)),NA(),LOOKUP(RF$1,$S10:$HK10,csv!$L10:$HD10))</f>
        <v>0</v>
      </c>
      <c r="RG10" s="5">
        <f>IF(ISERROR(LOOKUP(RG$1,$S10:$HK10,csv!$L10:$HD10)),NA(),LOOKUP(RG$1,$S10:$HK10,csv!$L10:$HD10))</f>
        <v>0</v>
      </c>
      <c r="RH10" s="5">
        <f>IF(ISERROR(LOOKUP(RH$1,$S10:$HK10,csv!$L10:$HD10)),NA(),LOOKUP(RH$1,$S10:$HK10,csv!$L10:$HD10))</f>
        <v>0</v>
      </c>
      <c r="RI10" s="5">
        <f>IF(ISERROR(LOOKUP(RI$1,$S10:$HK10,csv!$L10:$HD10)),NA(),LOOKUP(RI$1,$S10:$HK10,csv!$L10:$HD10))</f>
        <v>0</v>
      </c>
      <c r="RJ10" s="5">
        <f>IF(ISERROR(LOOKUP(RJ$1,$S10:$HK10,csv!$L10:$HD10)),NA(),LOOKUP(RJ$1,$S10:$HK10,csv!$L10:$HD10))</f>
        <v>0</v>
      </c>
      <c r="RK10" s="5">
        <f>IF(ISERROR(LOOKUP(RK$1,$S10:$HK10,csv!$L10:$HD10)),NA(),LOOKUP(RK$1,$S10:$HK10,csv!$L10:$HD10))</f>
        <v>0</v>
      </c>
      <c r="RL10" s="5">
        <f>IF(ISERROR(LOOKUP(RL$1,$S10:$HK10,csv!$L10:$HD10)),NA(),LOOKUP(RL$1,$S10:$HK10,csv!$L10:$HD10))</f>
        <v>0</v>
      </c>
      <c r="RM10" s="5">
        <f>IF(ISERROR(LOOKUP(RM$1,$S10:$HK10,csv!$L10:$HD10)),NA(),LOOKUP(RM$1,$S10:$HK10,csv!$L10:$HD10))</f>
        <v>0</v>
      </c>
      <c r="RN10" s="5">
        <f>IF(ISERROR(LOOKUP(RN$1,$S10:$HK10,csv!$L10:$HD10)),NA(),LOOKUP(RN$1,$S10:$HK10,csv!$L10:$HD10))</f>
        <v>0</v>
      </c>
      <c r="RO10" s="5">
        <f>IF(ISERROR(LOOKUP(RO$1,$S10:$HK10,csv!$L10:$HD10)),NA(),LOOKUP(RO$1,$S10:$HK10,csv!$L10:$HD10))</f>
        <v>0</v>
      </c>
      <c r="RP10" s="5">
        <f>IF(ISERROR(LOOKUP(RP$1,$S10:$HK10,csv!$L10:$HD10)),NA(),LOOKUP(RP$1,$S10:$HK10,csv!$L10:$HD10))</f>
        <v>0</v>
      </c>
      <c r="RQ10" s="5">
        <f>IF(ISERROR(LOOKUP(RQ$1,$S10:$HK10,csv!$L10:$HD10)),NA(),LOOKUP(RQ$1,$S10:$HK10,csv!$L10:$HD10))</f>
        <v>0</v>
      </c>
      <c r="RR10" s="5">
        <f>IF(ISERROR(LOOKUP(RR$1,$S10:$HK10,csv!$L10:$HD10)),NA(),LOOKUP(RR$1,$S10:$HK10,csv!$L10:$HD10))</f>
        <v>0</v>
      </c>
      <c r="RS10" s="5">
        <f>IF(ISERROR(LOOKUP(RS$1,$S10:$HK10,csv!$L10:$HD10)),NA(),LOOKUP(RS$1,$S10:$HK10,csv!$L10:$HD10))</f>
        <v>0</v>
      </c>
      <c r="RT10" s="5">
        <f>IF(ISERROR(LOOKUP(RT$1,$S10:$HK10,csv!$L10:$HD10)),NA(),LOOKUP(RT$1,$S10:$HK10,csv!$L10:$HD10))</f>
        <v>0</v>
      </c>
      <c r="RU10" s="5">
        <f>IF(ISERROR(LOOKUP(RU$1,$S10:$HK10,csv!$L10:$HD10)),NA(),LOOKUP(RU$1,$S10:$HK10,csv!$L10:$HD10))</f>
        <v>0</v>
      </c>
      <c r="RV10" s="5">
        <f>IF(ISERROR(LOOKUP(RV$1,$S10:$HK10,csv!$L10:$HD10)),NA(),LOOKUP(RV$1,$S10:$HK10,csv!$L10:$HD10))</f>
        <v>0</v>
      </c>
      <c r="RW10" s="5">
        <f>IF(ISERROR(LOOKUP(RW$1,$S10:$HK10,csv!$L10:$HD10)),NA(),LOOKUP(RW$1,$S10:$HK10,csv!$L10:$HD10))</f>
        <v>0</v>
      </c>
      <c r="RX10" s="5">
        <f>IF(ISERROR(LOOKUP(RX$1,$S10:$HK10,csv!$L10:$HD10)),NA(),LOOKUP(RX$1,$S10:$HK10,csv!$L10:$HD10))</f>
        <v>0</v>
      </c>
      <c r="RY10" s="5">
        <f>IF(ISERROR(LOOKUP(RY$1,$S10:$HK10,csv!$L10:$HD10)),NA(),LOOKUP(RY$1,$S10:$HK10,csv!$L10:$HD10))</f>
        <v>0</v>
      </c>
      <c r="RZ10" s="5">
        <f>IF(ISERROR(LOOKUP(RZ$1,$S10:$HK10,csv!$L10:$HD10)),NA(),LOOKUP(RZ$1,$S10:$HK10,csv!$L10:$HD10))</f>
        <v>0</v>
      </c>
      <c r="SA10" s="5">
        <f>IF(ISERROR(LOOKUP(SA$1,$S10:$HK10,csv!$L10:$HD10)),NA(),LOOKUP(SA$1,$S10:$HK10,csv!$L10:$HD10))</f>
        <v>0</v>
      </c>
      <c r="SB10" s="5">
        <f>IF(ISERROR(LOOKUP(SB$1,$S10:$HK10,csv!$L10:$HD10)),NA(),LOOKUP(SB$1,$S10:$HK10,csv!$L10:$HD10))</f>
        <v>0</v>
      </c>
      <c r="SC10" s="5">
        <f>IF(ISERROR(LOOKUP(SC$1,$S10:$HK10,csv!$L10:$HD10)),NA(),LOOKUP(SC$1,$S10:$HK10,csv!$L10:$HD10))</f>
        <v>0</v>
      </c>
      <c r="SD10" s="5">
        <f>IF(ISERROR(LOOKUP(SD$1,$S10:$HK10,csv!$L10:$HD10)),NA(),LOOKUP(SD$1,$S10:$HK10,csv!$L10:$HD10))</f>
        <v>0</v>
      </c>
      <c r="SE10" s="5">
        <f>IF(ISERROR(LOOKUP(SE$1,$S10:$HK10,csv!$L10:$HD10)),NA(),LOOKUP(SE$1,$S10:$HK10,csv!$L10:$HD10))</f>
        <v>0</v>
      </c>
      <c r="SF10" s="5">
        <f>IF(ISERROR(LOOKUP(SF$1,$S10:$HK10,csv!$L10:$HD10)),NA(),LOOKUP(SF$1,$S10:$HK10,csv!$L10:$HD10))</f>
        <v>0</v>
      </c>
      <c r="SG10" s="5">
        <f>IF(ISERROR(LOOKUP(SG$1,$S10:$HK10,csv!$L10:$HD10)),NA(),LOOKUP(SG$1,$S10:$HK10,csv!$L10:$HD10))</f>
        <v>0</v>
      </c>
      <c r="SH10" s="5">
        <f>IF(ISERROR(LOOKUP(SH$1,$S10:$HK10,csv!$L10:$HD10)),NA(),LOOKUP(SH$1,$S10:$HK10,csv!$L10:$HD10))</f>
        <v>0</v>
      </c>
      <c r="SI10" s="5">
        <f>IF(ISERROR(LOOKUP(SI$1,$S10:$HK10,csv!$L10:$HD10)),NA(),LOOKUP(SI$1,$S10:$HK10,csv!$L10:$HD10))</f>
        <v>0</v>
      </c>
      <c r="SJ10" s="5">
        <f>IF(ISERROR(LOOKUP(SJ$1,$S10:$HK10,csv!$L10:$HD10)),NA(),LOOKUP(SJ$1,$S10:$HK10,csv!$L10:$HD10))</f>
        <v>0</v>
      </c>
      <c r="SK10" s="5">
        <f>IF(ISERROR(LOOKUP(SK$1,$S10:$HK10,csv!$L10:$HD10)),NA(),LOOKUP(SK$1,$S10:$HK10,csv!$L10:$HD10))</f>
        <v>0</v>
      </c>
      <c r="SL10" s="5">
        <f>IF(ISERROR(LOOKUP(SL$1,$S10:$HK10,csv!$L10:$HD10)),NA(),LOOKUP(SL$1,$S10:$HK10,csv!$L10:$HD10))</f>
        <v>0</v>
      </c>
      <c r="SM10" s="5">
        <f>IF(ISERROR(LOOKUP(SM$1,$S10:$HK10,csv!$L10:$HD10)),NA(),LOOKUP(SM$1,$S10:$HK10,csv!$L10:$HD10))</f>
        <v>0</v>
      </c>
      <c r="SN10" s="5">
        <f>IF(ISERROR(LOOKUP(SN$1,$S10:$HK10,csv!$L10:$HD10)),NA(),LOOKUP(SN$1,$S10:$HK10,csv!$L10:$HD10))</f>
        <v>0</v>
      </c>
      <c r="SO10" s="5">
        <f>IF(ISERROR(LOOKUP(SO$1,$S10:$HK10,csv!$L10:$HD10)),NA(),LOOKUP(SO$1,$S10:$HK10,csv!$L10:$HD10))</f>
        <v>0</v>
      </c>
      <c r="SP10" s="5">
        <f>IF(ISERROR(LOOKUP(SP$1,$S10:$HK10,csv!$L10:$HD10)),NA(),LOOKUP(SP$1,$S10:$HK10,csv!$L10:$HD10))</f>
        <v>0</v>
      </c>
      <c r="SQ10" s="5">
        <f>IF(ISERROR(LOOKUP(SQ$1,$S10:$HK10,csv!$L10:$HD10)),NA(),LOOKUP(SQ$1,$S10:$HK10,csv!$L10:$HD10))</f>
        <v>0</v>
      </c>
      <c r="SR10" s="5">
        <f>IF(ISERROR(LOOKUP(SR$1,$S10:$HK10,csv!$L10:$HD10)),NA(),LOOKUP(SR$1,$S10:$HK10,csv!$L10:$HD10))</f>
        <v>0</v>
      </c>
      <c r="SS10" s="5">
        <f>IF(ISERROR(LOOKUP(SS$1,$S10:$HK10,csv!$L10:$HD10)),NA(),LOOKUP(SS$1,$S10:$HK10,csv!$L10:$HD10))</f>
        <v>0</v>
      </c>
      <c r="ST10" s="5">
        <f>IF(ISERROR(LOOKUP(ST$1,$S10:$HK10,csv!$L10:$HD10)),NA(),LOOKUP(ST$1,$S10:$HK10,csv!$L10:$HD10))</f>
        <v>0</v>
      </c>
      <c r="SU10" s="5">
        <f>IF(ISERROR(LOOKUP(SU$1,$S10:$HK10,csv!$L10:$HD10)),NA(),LOOKUP(SU$1,$S10:$HK10,csv!$L10:$HD10))</f>
        <v>0</v>
      </c>
      <c r="SV10" s="5">
        <f>IF(ISERROR(LOOKUP(SV$1,$S10:$HK10,csv!$L10:$HD10)),NA(),LOOKUP(SV$1,$S10:$HK10,csv!$L10:$HD10))</f>
        <v>0</v>
      </c>
      <c r="SW10" s="5">
        <f>IF(ISERROR(LOOKUP(SW$1,$S10:$HK10,csv!$L10:$HD10)),NA(),LOOKUP(SW$1,$S10:$HK10,csv!$L10:$HD10))</f>
        <v>0</v>
      </c>
      <c r="SX10" s="5">
        <f>IF(ISERROR(LOOKUP(SX$1,$S10:$HK10,csv!$L10:$HD10)),NA(),LOOKUP(SX$1,$S10:$HK10,csv!$L10:$HD10))</f>
        <v>0</v>
      </c>
      <c r="SY10" s="5">
        <f>IF(ISERROR(LOOKUP(SY$1,$S10:$HK10,csv!$L10:$HD10)),NA(),LOOKUP(SY$1,$S10:$HK10,csv!$L10:$HD10))</f>
        <v>0</v>
      </c>
      <c r="SZ10" s="5">
        <f>IF(ISERROR(LOOKUP(SZ$1,$S10:$HK10,csv!$L10:$HD10)),NA(),LOOKUP(SZ$1,$S10:$HK10,csv!$L10:$HD10))</f>
        <v>0</v>
      </c>
      <c r="TA10" s="5">
        <f>IF(ISERROR(LOOKUP(TA$1,$S10:$HK10,csv!$L10:$HD10)),NA(),LOOKUP(TA$1,$S10:$HK10,csv!$L10:$HD10))</f>
        <v>0</v>
      </c>
      <c r="TB10" s="5">
        <f>IF(ISERROR(LOOKUP(TB$1,$S10:$HK10,csv!$L10:$HD10)),NA(),LOOKUP(TB$1,$S10:$HK10,csv!$L10:$HD10))</f>
        <v>0</v>
      </c>
      <c r="TD10">
        <f>csv!HG10/10</f>
        <v>0</v>
      </c>
    </row>
    <row r="11" spans="1:524" x14ac:dyDescent="0.15">
      <c r="C11" s="32" t="str">
        <f>TEXT(csv!B11&amp;"/"&amp;csv!C11&amp;"-"&amp;csv!E11&amp;"/"&amp;csv!F11,"mm/dd")</f>
        <v>/-/</v>
      </c>
      <c r="D11">
        <f>csv!A11*10000+csv!B11*100+csv!C11</f>
        <v>0</v>
      </c>
      <c r="E11">
        <f>(IF(csv!HG11&lt;-1000,NA(),csv!HG11)+csv!K11)/10</f>
        <v>0</v>
      </c>
      <c r="F11">
        <f>(IF(csv!HG24&lt;-1000,NA(),csv!HG24)+csv!K24)/10</f>
        <v>0</v>
      </c>
      <c r="G11">
        <f>(IF(csv!HG37&lt;-1000,NA(),csv!HG37)+csv!K37)/10</f>
        <v>0</v>
      </c>
      <c r="H11">
        <f>IF(csv!HG11&lt;-1000,NA(),csv!HG11/10)</f>
        <v>0</v>
      </c>
      <c r="I11">
        <f>IF(csv!HG24&lt;-1000,NA(),csv!HG24/10)</f>
        <v>0</v>
      </c>
      <c r="J11">
        <f>IF(csv!HG37&lt;-1000,NA(),csv!HG37/10)</f>
        <v>0</v>
      </c>
      <c r="K11">
        <f>IF(csv!HF11&lt;-1000,NA(),csv!HF11/10)</f>
        <v>0</v>
      </c>
      <c r="L11">
        <f>IF(csv!HF24&lt;-1000,NA(),csv!HF24/10)</f>
        <v>0</v>
      </c>
      <c r="M11">
        <f>IF(csv!HF37&lt;-1000,NA(),csv!HF37/10)</f>
        <v>0</v>
      </c>
      <c r="N11">
        <f>IF(csv!HE11&lt;-1000,NA(),csv!HE11/10)</f>
        <v>0</v>
      </c>
      <c r="O11">
        <f>IF(csv!HE24&lt;-1000,NA(),csv!HE24/10)</f>
        <v>0</v>
      </c>
      <c r="P11">
        <f>IF(csv!HE37&lt;-1000,NA(),csv!HE37/10)</f>
        <v>0</v>
      </c>
      <c r="S11" s="4">
        <f>ROUND((csv!$HG11/10+calc!S$1),1)</f>
        <v>-10</v>
      </c>
      <c r="T11" s="4">
        <f>ROUND((csv!$HG11/10+calc!T$1),1)</f>
        <v>-9.9</v>
      </c>
      <c r="U11" s="4">
        <f>ROUND((csv!$HG11/10+calc!U$1),1)</f>
        <v>-9.8000000000000007</v>
      </c>
      <c r="V11" s="4">
        <f>ROUND((csv!$HG11/10+calc!V$1),1)</f>
        <v>-9.6999999999999993</v>
      </c>
      <c r="W11" s="4">
        <f>ROUND((csv!$HG11/10+calc!W$1),1)</f>
        <v>-9.6</v>
      </c>
      <c r="X11" s="4">
        <f>ROUND((csv!$HG11/10+calc!X$1),1)</f>
        <v>-9.5</v>
      </c>
      <c r="Y11" s="4">
        <f>ROUND((csv!$HG11/10+calc!Y$1),1)</f>
        <v>-9.4</v>
      </c>
      <c r="Z11" s="4">
        <f>ROUND((csv!$HG11/10+calc!Z$1),1)</f>
        <v>-9.3000000000000007</v>
      </c>
      <c r="AA11" s="4">
        <f>ROUND((csv!$HG11/10+calc!AA$1),1)</f>
        <v>-9.1999999999999993</v>
      </c>
      <c r="AB11" s="4">
        <f>ROUND((csv!$HG11/10+calc!AB$1),1)</f>
        <v>-9.1</v>
      </c>
      <c r="AC11" s="4">
        <f>ROUND((csv!$HG11/10+calc!AC$1),1)</f>
        <v>-9</v>
      </c>
      <c r="AD11" s="4">
        <f>ROUND((csv!$HG11/10+calc!AD$1),1)</f>
        <v>-8.9</v>
      </c>
      <c r="AE11" s="4">
        <f>ROUND((csv!$HG11/10+calc!AE$1),1)</f>
        <v>-8.8000000000000007</v>
      </c>
      <c r="AF11" s="4">
        <f>ROUND((csv!$HG11/10+calc!AF$1),1)</f>
        <v>-8.6999999999999993</v>
      </c>
      <c r="AG11" s="4">
        <f>ROUND((csv!$HG11/10+calc!AG$1),1)</f>
        <v>-8.6</v>
      </c>
      <c r="AH11" s="4">
        <f>ROUND((csv!$HG11/10+calc!AH$1),1)</f>
        <v>-8.5</v>
      </c>
      <c r="AI11" s="4">
        <f>ROUND((csv!$HG11/10+calc!AI$1),1)</f>
        <v>-8.4</v>
      </c>
      <c r="AJ11" s="4">
        <f>ROUND((csv!$HG11/10+calc!AJ$1),1)</f>
        <v>-8.3000000000000007</v>
      </c>
      <c r="AK11" s="4">
        <f>ROUND((csv!$HG11/10+calc!AK$1),1)</f>
        <v>-8.1999999999999993</v>
      </c>
      <c r="AL11" s="4">
        <f>ROUND((csv!$HG11/10+calc!AL$1),1)</f>
        <v>-8.1</v>
      </c>
      <c r="AM11" s="4">
        <f>ROUND((csv!$HG11/10+calc!AM$1),1)</f>
        <v>-8</v>
      </c>
      <c r="AN11" s="4">
        <f>ROUND((csv!$HG11/10+calc!AN$1),1)</f>
        <v>-7.9</v>
      </c>
      <c r="AO11" s="4">
        <f>ROUND((csv!$HG11/10+calc!AO$1),1)</f>
        <v>-7.8</v>
      </c>
      <c r="AP11" s="4">
        <f>ROUND((csv!$HG11/10+calc!AP$1),1)</f>
        <v>-7.7</v>
      </c>
      <c r="AQ11" s="4">
        <f>ROUND((csv!$HG11/10+calc!AQ$1),1)</f>
        <v>-7.6</v>
      </c>
      <c r="AR11" s="4">
        <f>ROUND((csv!$HG11/10+calc!AR$1),1)</f>
        <v>-7.5</v>
      </c>
      <c r="AS11" s="4">
        <f>ROUND((csv!$HG11/10+calc!AS$1),1)</f>
        <v>-7.4</v>
      </c>
      <c r="AT11" s="4">
        <f>ROUND((csv!$HG11/10+calc!AT$1),1)</f>
        <v>-7.3</v>
      </c>
      <c r="AU11" s="4">
        <f>ROUND((csv!$HG11/10+calc!AU$1),1)</f>
        <v>-7.2</v>
      </c>
      <c r="AV11" s="4">
        <f>ROUND((csv!$HG11/10+calc!AV$1),1)</f>
        <v>-7.1</v>
      </c>
      <c r="AW11" s="4">
        <f>ROUND((csv!$HG11/10+calc!AW$1),1)</f>
        <v>-7</v>
      </c>
      <c r="AX11" s="4">
        <f>ROUND((csv!$HG11/10+calc!AX$1),1)</f>
        <v>-6.9</v>
      </c>
      <c r="AY11" s="4">
        <f>ROUND((csv!$HG11/10+calc!AY$1),1)</f>
        <v>-6.8</v>
      </c>
      <c r="AZ11" s="4">
        <f>ROUND((csv!$HG11/10+calc!AZ$1),1)</f>
        <v>-6.7</v>
      </c>
      <c r="BA11" s="4">
        <f>ROUND((csv!$HG11/10+calc!BA$1),1)</f>
        <v>-6.6</v>
      </c>
      <c r="BB11" s="4">
        <f>ROUND((csv!$HG11/10+calc!BB$1),1)</f>
        <v>-6.5</v>
      </c>
      <c r="BC11" s="4">
        <f>ROUND((csv!$HG11/10+calc!BC$1),1)</f>
        <v>-6.4</v>
      </c>
      <c r="BD11" s="4">
        <f>ROUND((csv!$HG11/10+calc!BD$1),1)</f>
        <v>-6.3</v>
      </c>
      <c r="BE11" s="4">
        <f>ROUND((csv!$HG11/10+calc!BE$1),1)</f>
        <v>-6.2</v>
      </c>
      <c r="BF11" s="4">
        <f>ROUND((csv!$HG11/10+calc!BF$1),1)</f>
        <v>-6.1</v>
      </c>
      <c r="BG11" s="4">
        <f>ROUND((csv!$HG11/10+calc!BG$1),1)</f>
        <v>-6</v>
      </c>
      <c r="BH11" s="4">
        <f>ROUND((csv!$HG11/10+calc!BH$1),1)</f>
        <v>-5.9</v>
      </c>
      <c r="BI11" s="4">
        <f>ROUND((csv!$HG11/10+calc!BI$1),1)</f>
        <v>-5.8</v>
      </c>
      <c r="BJ11" s="4">
        <f>ROUND((csv!$HG11/10+calc!BJ$1),1)</f>
        <v>-5.7</v>
      </c>
      <c r="BK11" s="4">
        <f>ROUND((csv!$HG11/10+calc!BK$1),1)</f>
        <v>-5.6</v>
      </c>
      <c r="BL11" s="4">
        <f>ROUND((csv!$HG11/10+calc!BL$1),1)</f>
        <v>-5.5</v>
      </c>
      <c r="BM11" s="4">
        <f>ROUND((csv!$HG11/10+calc!BM$1),1)</f>
        <v>-5.4</v>
      </c>
      <c r="BN11" s="4">
        <f>ROUND((csv!$HG11/10+calc!BN$1),1)</f>
        <v>-5.3</v>
      </c>
      <c r="BO11" s="4">
        <f>ROUND((csv!$HG11/10+calc!BO$1),1)</f>
        <v>-5.2</v>
      </c>
      <c r="BP11" s="4">
        <f>ROUND((csv!$HG11/10+calc!BP$1),1)</f>
        <v>-5.0999999999999996</v>
      </c>
      <c r="BQ11" s="4">
        <f>ROUND((csv!$HG11/10+calc!BQ$1),1)</f>
        <v>-5</v>
      </c>
      <c r="BR11" s="4">
        <f>ROUND((csv!$HG11/10+calc!BR$1),1)</f>
        <v>-4.9000000000000004</v>
      </c>
      <c r="BS11" s="4">
        <f>ROUND((csv!$HG11/10+calc!BS$1),1)</f>
        <v>-4.8</v>
      </c>
      <c r="BT11" s="4">
        <f>ROUND((csv!$HG11/10+calc!BT$1),1)</f>
        <v>-4.7</v>
      </c>
      <c r="BU11" s="4">
        <f>ROUND((csv!$HG11/10+calc!BU$1),1)</f>
        <v>-4.5999999999999996</v>
      </c>
      <c r="BV11" s="4">
        <f>ROUND((csv!$HG11/10+calc!BV$1),1)</f>
        <v>-4.5</v>
      </c>
      <c r="BW11" s="4">
        <f>ROUND((csv!$HG11/10+calc!BW$1),1)</f>
        <v>-4.4000000000000004</v>
      </c>
      <c r="BX11" s="4">
        <f>ROUND((csv!$HG11/10+calc!BX$1),1)</f>
        <v>-4.3</v>
      </c>
      <c r="BY11" s="4">
        <f>ROUND((csv!$HG11/10+calc!BY$1),1)</f>
        <v>-4.2</v>
      </c>
      <c r="BZ11" s="4">
        <f>ROUND((csv!$HG11/10+calc!BZ$1),1)</f>
        <v>-4.0999999999999996</v>
      </c>
      <c r="CA11" s="4">
        <f>ROUND((csv!$HG11/10+calc!CA$1),1)</f>
        <v>-4</v>
      </c>
      <c r="CB11" s="4">
        <f>ROUND((csv!$HG11/10+calc!CB$1),1)</f>
        <v>-3.9</v>
      </c>
      <c r="CC11" s="4">
        <f>ROUND((csv!$HG11/10+calc!CC$1),1)</f>
        <v>-3.8</v>
      </c>
      <c r="CD11" s="4">
        <f>ROUND((csv!$HG11/10+calc!CD$1),1)</f>
        <v>-3.7</v>
      </c>
      <c r="CE11" s="4">
        <f>ROUND((csv!$HG11/10+calc!CE$1),1)</f>
        <v>-3.6</v>
      </c>
      <c r="CF11" s="4">
        <f>ROUND((csv!$HG11/10+calc!CF$1),1)</f>
        <v>-3.5</v>
      </c>
      <c r="CG11" s="4">
        <f>ROUND((csv!$HG11/10+calc!CG$1),1)</f>
        <v>-3.4</v>
      </c>
      <c r="CH11" s="4">
        <f>ROUND((csv!$HG11/10+calc!CH$1),1)</f>
        <v>-3.3</v>
      </c>
      <c r="CI11" s="4">
        <f>ROUND((csv!$HG11/10+calc!CI$1),1)</f>
        <v>-3.2</v>
      </c>
      <c r="CJ11" s="4">
        <f>ROUND((csv!$HG11/10+calc!CJ$1),1)</f>
        <v>-3.1</v>
      </c>
      <c r="CK11" s="4">
        <f>ROUND((csv!$HG11/10+calc!CK$1),1)</f>
        <v>-3</v>
      </c>
      <c r="CL11" s="4">
        <f>ROUND((csv!$HG11/10+calc!CL$1),1)</f>
        <v>-2.9</v>
      </c>
      <c r="CM11" s="4">
        <f>ROUND((csv!$HG11/10+calc!CM$1),1)</f>
        <v>-2.8</v>
      </c>
      <c r="CN11" s="4">
        <f>ROUND((csv!$HG11/10+calc!CN$1),1)</f>
        <v>-2.7</v>
      </c>
      <c r="CO11" s="4">
        <f>ROUND((csv!$HG11/10+calc!CO$1),1)</f>
        <v>-2.6</v>
      </c>
      <c r="CP11" s="4">
        <f>ROUND((csv!$HG11/10+calc!CP$1),1)</f>
        <v>-2.5</v>
      </c>
      <c r="CQ11" s="4">
        <f>ROUND((csv!$HG11/10+calc!CQ$1),1)</f>
        <v>-2.4</v>
      </c>
      <c r="CR11" s="4">
        <f>ROUND((csv!$HG11/10+calc!CR$1),1)</f>
        <v>-2.2999999999999998</v>
      </c>
      <c r="CS11" s="4">
        <f>ROUND((csv!$HG11/10+calc!CS$1),1)</f>
        <v>-2.2000000000000002</v>
      </c>
      <c r="CT11" s="4">
        <f>ROUND((csv!$HG11/10+calc!CT$1),1)</f>
        <v>-2.1</v>
      </c>
      <c r="CU11" s="4">
        <f>ROUND((csv!$HG11/10+calc!CU$1),1)</f>
        <v>-2</v>
      </c>
      <c r="CV11" s="4">
        <f>ROUND((csv!$HG11/10+calc!CV$1),1)</f>
        <v>-1.9</v>
      </c>
      <c r="CW11" s="4">
        <f>ROUND((csv!$HG11/10+calc!CW$1),1)</f>
        <v>-1.8</v>
      </c>
      <c r="CX11" s="4">
        <f>ROUND((csv!$HG11/10+calc!CX$1),1)</f>
        <v>-1.7</v>
      </c>
      <c r="CY11" s="4">
        <f>ROUND((csv!$HG11/10+calc!CY$1),1)</f>
        <v>-1.6</v>
      </c>
      <c r="CZ11" s="4">
        <f>ROUND((csv!$HG11/10+calc!CZ$1),1)</f>
        <v>-1.5</v>
      </c>
      <c r="DA11" s="4">
        <f>ROUND((csv!$HG11/10+calc!DA$1),1)</f>
        <v>-1.4</v>
      </c>
      <c r="DB11" s="4">
        <f>ROUND((csv!$HG11/10+calc!DB$1),1)</f>
        <v>-1.3</v>
      </c>
      <c r="DC11" s="4">
        <f>ROUND((csv!$HG11/10+calc!DC$1),1)</f>
        <v>-1.2</v>
      </c>
      <c r="DD11" s="4">
        <f>ROUND((csv!$HG11/10+calc!DD$1),1)</f>
        <v>-1.1000000000000001</v>
      </c>
      <c r="DE11" s="4">
        <f>ROUND((csv!$HG11/10+calc!DE$1),1)</f>
        <v>-1</v>
      </c>
      <c r="DF11" s="4">
        <f>ROUND((csv!$HG11/10+calc!DF$1),1)</f>
        <v>-0.9</v>
      </c>
      <c r="DG11" s="4">
        <f>ROUND((csv!$HG11/10+calc!DG$1),1)</f>
        <v>-0.8</v>
      </c>
      <c r="DH11" s="4">
        <f>ROUND((csv!$HG11/10+calc!DH$1),1)</f>
        <v>-0.7</v>
      </c>
      <c r="DI11" s="4">
        <f>ROUND((csv!$HG11/10+calc!DI$1),1)</f>
        <v>-0.6</v>
      </c>
      <c r="DJ11" s="4">
        <f>ROUND((csv!$HG11/10+calc!DJ$1),1)</f>
        <v>-0.5</v>
      </c>
      <c r="DK11" s="4">
        <f>ROUND((csv!$HG11/10+calc!DK$1),1)</f>
        <v>-0.4</v>
      </c>
      <c r="DL11" s="4">
        <f>ROUND((csv!$HG11/10+calc!DL$1),1)</f>
        <v>-0.3</v>
      </c>
      <c r="DM11" s="4">
        <f>ROUND((csv!$HG11/10+calc!DM$1),1)</f>
        <v>-0.2</v>
      </c>
      <c r="DN11" s="4">
        <f>ROUND((csv!$HG11/10+calc!DN$1),1)</f>
        <v>-0.1</v>
      </c>
      <c r="DO11" s="4">
        <f>ROUND((csv!$HG11/10+calc!DO$1),1)</f>
        <v>0</v>
      </c>
      <c r="DP11" s="4">
        <f>ROUND((csv!$HG11/10+calc!DP$1),1)</f>
        <v>0.1</v>
      </c>
      <c r="DQ11" s="4">
        <f>ROUND((csv!$HG11/10+calc!DQ$1),1)</f>
        <v>0.2</v>
      </c>
      <c r="DR11" s="4">
        <f>ROUND((csv!$HG11/10+calc!DR$1),1)</f>
        <v>0.3</v>
      </c>
      <c r="DS11" s="4">
        <f>ROUND((csv!$HG11/10+calc!DS$1),1)</f>
        <v>0.4</v>
      </c>
      <c r="DT11" s="4">
        <f>ROUND((csv!$HG11/10+calc!DT$1),1)</f>
        <v>0.5</v>
      </c>
      <c r="DU11" s="4">
        <f>ROUND((csv!$HG11/10+calc!DU$1),1)</f>
        <v>0.6</v>
      </c>
      <c r="DV11" s="4">
        <f>ROUND((csv!$HG11/10+calc!DV$1),1)</f>
        <v>0.7</v>
      </c>
      <c r="DW11" s="4">
        <f>ROUND((csv!$HG11/10+calc!DW$1),1)</f>
        <v>0.8</v>
      </c>
      <c r="DX11" s="4">
        <f>ROUND((csv!$HG11/10+calc!DX$1),1)</f>
        <v>0.9</v>
      </c>
      <c r="DY11" s="4">
        <f>ROUND((csv!$HG11/10+calc!DY$1),1)</f>
        <v>1</v>
      </c>
      <c r="DZ11" s="4">
        <f>ROUND((csv!$HG11/10+calc!DZ$1),1)</f>
        <v>1.1000000000000001</v>
      </c>
      <c r="EA11" s="4">
        <f>ROUND((csv!$HG11/10+calc!EA$1),1)</f>
        <v>1.2</v>
      </c>
      <c r="EB11" s="4">
        <f>ROUND((csv!$HG11/10+calc!EB$1),1)</f>
        <v>1.3</v>
      </c>
      <c r="EC11" s="4">
        <f>ROUND((csv!$HG11/10+calc!EC$1),1)</f>
        <v>1.4</v>
      </c>
      <c r="ED11" s="4">
        <f>ROUND((csv!$HG11/10+calc!ED$1),1)</f>
        <v>1.5</v>
      </c>
      <c r="EE11" s="4">
        <f>ROUND((csv!$HG11/10+calc!EE$1),1)</f>
        <v>1.6</v>
      </c>
      <c r="EF11" s="4">
        <f>ROUND((csv!$HG11/10+calc!EF$1),1)</f>
        <v>1.7</v>
      </c>
      <c r="EG11" s="4">
        <f>ROUND((csv!$HG11/10+calc!EG$1),1)</f>
        <v>1.8</v>
      </c>
      <c r="EH11" s="4">
        <f>ROUND((csv!$HG11/10+calc!EH$1),1)</f>
        <v>1.9</v>
      </c>
      <c r="EI11" s="4">
        <f>ROUND((csv!$HG11/10+calc!EI$1),1)</f>
        <v>2</v>
      </c>
      <c r="EJ11" s="4">
        <f>ROUND((csv!$HG11/10+calc!EJ$1),1)</f>
        <v>2.1</v>
      </c>
      <c r="EK11" s="4">
        <f>ROUND((csv!$HG11/10+calc!EK$1),1)</f>
        <v>2.2000000000000002</v>
      </c>
      <c r="EL11" s="4">
        <f>ROUND((csv!$HG11/10+calc!EL$1),1)</f>
        <v>2.2999999999999998</v>
      </c>
      <c r="EM11" s="4">
        <f>ROUND((csv!$HG11/10+calc!EM$1),1)</f>
        <v>2.4</v>
      </c>
      <c r="EN11" s="4">
        <f>ROUND((csv!$HG11/10+calc!EN$1),1)</f>
        <v>2.5</v>
      </c>
      <c r="EO11" s="4">
        <f>ROUND((csv!$HG11/10+calc!EO$1),1)</f>
        <v>2.6</v>
      </c>
      <c r="EP11" s="4">
        <f>ROUND((csv!$HG11/10+calc!EP$1),1)</f>
        <v>2.7</v>
      </c>
      <c r="EQ11" s="4">
        <f>ROUND((csv!$HG11/10+calc!EQ$1),1)</f>
        <v>2.8</v>
      </c>
      <c r="ER11" s="4">
        <f>ROUND((csv!$HG11/10+calc!ER$1),1)</f>
        <v>2.9</v>
      </c>
      <c r="ES11" s="4">
        <f>ROUND((csv!$HG11/10+calc!ES$1),1)</f>
        <v>3</v>
      </c>
      <c r="ET11" s="4">
        <f>ROUND((csv!$HG11/10+calc!ET$1),1)</f>
        <v>3.1</v>
      </c>
      <c r="EU11" s="4">
        <f>ROUND((csv!$HG11/10+calc!EU$1),1)</f>
        <v>3.2</v>
      </c>
      <c r="EV11" s="4">
        <f>ROUND((csv!$HG11/10+calc!EV$1),1)</f>
        <v>3.3</v>
      </c>
      <c r="EW11" s="4">
        <f>ROUND((csv!$HG11/10+calc!EW$1),1)</f>
        <v>3.4</v>
      </c>
      <c r="EX11" s="4">
        <f>ROUND((csv!$HG11/10+calc!EX$1),1)</f>
        <v>3.5</v>
      </c>
      <c r="EY11" s="4">
        <f>ROUND((csv!$HG11/10+calc!EY$1),1)</f>
        <v>3.6</v>
      </c>
      <c r="EZ11" s="4">
        <f>ROUND((csv!$HG11/10+calc!EZ$1),1)</f>
        <v>3.7</v>
      </c>
      <c r="FA11" s="4">
        <f>ROUND((csv!$HG11/10+calc!FA$1),1)</f>
        <v>3.8</v>
      </c>
      <c r="FB11" s="4">
        <f>ROUND((csv!$HG11/10+calc!FB$1),1)</f>
        <v>3.9</v>
      </c>
      <c r="FC11" s="4">
        <f>ROUND((csv!$HG11/10+calc!FC$1),1)</f>
        <v>4</v>
      </c>
      <c r="FD11" s="4">
        <f>ROUND((csv!$HG11/10+calc!FD$1),1)</f>
        <v>4.0999999999999996</v>
      </c>
      <c r="FE11" s="4">
        <f>ROUND((csv!$HG11/10+calc!FE$1),1)</f>
        <v>4.2</v>
      </c>
      <c r="FF11" s="4">
        <f>ROUND((csv!$HG11/10+calc!FF$1),1)</f>
        <v>4.3</v>
      </c>
      <c r="FG11" s="4">
        <f>ROUND((csv!$HG11/10+calc!FG$1),1)</f>
        <v>4.4000000000000004</v>
      </c>
      <c r="FH11" s="4">
        <f>ROUND((csv!$HG11/10+calc!FH$1),1)</f>
        <v>4.5</v>
      </c>
      <c r="FI11" s="4">
        <f>ROUND((csv!$HG11/10+calc!FI$1),1)</f>
        <v>4.5999999999999996</v>
      </c>
      <c r="FJ11" s="4">
        <f>ROUND((csv!$HG11/10+calc!FJ$1),1)</f>
        <v>4.7</v>
      </c>
      <c r="FK11" s="4">
        <f>ROUND((csv!$HG11/10+calc!FK$1),1)</f>
        <v>4.8</v>
      </c>
      <c r="FL11" s="4">
        <f>ROUND((csv!$HG11/10+calc!FL$1),1)</f>
        <v>4.9000000000000004</v>
      </c>
      <c r="FM11" s="4">
        <f>ROUND((csv!$HG11/10+calc!FM$1),1)</f>
        <v>5</v>
      </c>
      <c r="FN11" s="4">
        <f>ROUND((csv!$HG11/10+calc!FN$1),1)</f>
        <v>5.0999999999999996</v>
      </c>
      <c r="FO11" s="4">
        <f>ROUND((csv!$HG11/10+calc!FO$1),1)</f>
        <v>5.2</v>
      </c>
      <c r="FP11" s="4">
        <f>ROUND((csv!$HG11/10+calc!FP$1),1)</f>
        <v>5.3</v>
      </c>
      <c r="FQ11" s="4">
        <f>ROUND((csv!$HG11/10+calc!FQ$1),1)</f>
        <v>5.4</v>
      </c>
      <c r="FR11" s="4">
        <f>ROUND((csv!$HG11/10+calc!FR$1),1)</f>
        <v>5.5</v>
      </c>
      <c r="FS11" s="4">
        <f>ROUND((csv!$HG11/10+calc!FS$1),1)</f>
        <v>5.6</v>
      </c>
      <c r="FT11" s="4">
        <f>ROUND((csv!$HG11/10+calc!FT$1),1)</f>
        <v>5.7</v>
      </c>
      <c r="FU11" s="4">
        <f>ROUND((csv!$HG11/10+calc!FU$1),1)</f>
        <v>5.8</v>
      </c>
      <c r="FV11" s="4">
        <f>ROUND((csv!$HG11/10+calc!FV$1),1)</f>
        <v>5.9</v>
      </c>
      <c r="FW11" s="4">
        <f>ROUND((csv!$HG11/10+calc!FW$1),1)</f>
        <v>6</v>
      </c>
      <c r="FX11" s="4">
        <f>ROUND((csv!$HG11/10+calc!FX$1),1)</f>
        <v>6.1</v>
      </c>
      <c r="FY11" s="4">
        <f>ROUND((csv!$HG11/10+calc!FY$1),1)</f>
        <v>6.2</v>
      </c>
      <c r="FZ11" s="4">
        <f>ROUND((csv!$HG11/10+calc!FZ$1),1)</f>
        <v>6.3</v>
      </c>
      <c r="GA11" s="4">
        <f>ROUND((csv!$HG11/10+calc!GA$1),1)</f>
        <v>6.4</v>
      </c>
      <c r="GB11" s="4">
        <f>ROUND((csv!$HG11/10+calc!GB$1),1)</f>
        <v>6.5</v>
      </c>
      <c r="GC11" s="4">
        <f>ROUND((csv!$HG11/10+calc!GC$1),1)</f>
        <v>6.6</v>
      </c>
      <c r="GD11" s="4">
        <f>ROUND((csv!$HG11/10+calc!GD$1),1)</f>
        <v>6.7</v>
      </c>
      <c r="GE11" s="4">
        <f>ROUND((csv!$HG11/10+calc!GE$1),1)</f>
        <v>6.8</v>
      </c>
      <c r="GF11" s="4">
        <f>ROUND((csv!$HG11/10+calc!GF$1),1)</f>
        <v>6.9</v>
      </c>
      <c r="GG11" s="4">
        <f>ROUND((csv!$HG11/10+calc!GG$1),1)</f>
        <v>7</v>
      </c>
      <c r="GH11" s="4">
        <f>ROUND((csv!$HG11/10+calc!GH$1),1)</f>
        <v>7.1</v>
      </c>
      <c r="GI11" s="4">
        <f>ROUND((csv!$HG11/10+calc!GI$1),1)</f>
        <v>7.2</v>
      </c>
      <c r="GJ11" s="4">
        <f>ROUND((csv!$HG11/10+calc!GJ$1),1)</f>
        <v>7.3</v>
      </c>
      <c r="GK11" s="4">
        <f>ROUND((csv!$HG11/10+calc!GK$1),1)</f>
        <v>7.4</v>
      </c>
      <c r="GL11" s="4">
        <f>ROUND((csv!$HG11/10+calc!GL$1),1)</f>
        <v>7.5</v>
      </c>
      <c r="GM11" s="4">
        <f>ROUND((csv!$HG11/10+calc!GM$1),1)</f>
        <v>7.6</v>
      </c>
      <c r="GN11" s="4">
        <f>ROUND((csv!$HG11/10+calc!GN$1),1)</f>
        <v>7.7</v>
      </c>
      <c r="GO11" s="4">
        <f>ROUND((csv!$HG11/10+calc!GO$1),1)</f>
        <v>7.8</v>
      </c>
      <c r="GP11" s="4">
        <f>ROUND((csv!$HG11/10+calc!GP$1),1)</f>
        <v>7.9</v>
      </c>
      <c r="GQ11" s="4">
        <f>ROUND((csv!$HG11/10+calc!GQ$1),1)</f>
        <v>8</v>
      </c>
      <c r="GR11" s="4">
        <f>ROUND((csv!$HG11/10+calc!GR$1),1)</f>
        <v>8.1</v>
      </c>
      <c r="GS11" s="4">
        <f>ROUND((csv!$HG11/10+calc!GS$1),1)</f>
        <v>8.1999999999999993</v>
      </c>
      <c r="GT11" s="4">
        <f>ROUND((csv!$HG11/10+calc!GT$1),1)</f>
        <v>8.3000000000000007</v>
      </c>
      <c r="GU11" s="4">
        <f>ROUND((csv!$HG11/10+calc!GU$1),1)</f>
        <v>8.4</v>
      </c>
      <c r="GV11" s="4">
        <f>ROUND((csv!$HG11/10+calc!GV$1),1)</f>
        <v>8.5</v>
      </c>
      <c r="GW11" s="4">
        <f>ROUND((csv!$HG11/10+calc!GW$1),1)</f>
        <v>8.6</v>
      </c>
      <c r="GX11" s="4">
        <f>ROUND((csv!$HG11/10+calc!GX$1),1)</f>
        <v>8.6999999999999993</v>
      </c>
      <c r="GY11" s="4">
        <f>ROUND((csv!$HG11/10+calc!GY$1),1)</f>
        <v>8.8000000000000007</v>
      </c>
      <c r="GZ11" s="4">
        <f>ROUND((csv!$HG11/10+calc!GZ$1),1)</f>
        <v>8.9</v>
      </c>
      <c r="HA11" s="4">
        <f>ROUND((csv!$HG11/10+calc!HA$1),1)</f>
        <v>9</v>
      </c>
      <c r="HB11" s="4">
        <f>ROUND((csv!$HG11/10+calc!HB$1),1)</f>
        <v>9.1</v>
      </c>
      <c r="HC11" s="4">
        <f>ROUND((csv!$HG11/10+calc!HC$1),1)</f>
        <v>9.1999999999999993</v>
      </c>
      <c r="HD11" s="4">
        <f>ROUND((csv!$HG11/10+calc!HD$1),1)</f>
        <v>9.3000000000000007</v>
      </c>
      <c r="HE11" s="4">
        <f>ROUND((csv!$HG11/10+calc!HE$1),1)</f>
        <v>9.4</v>
      </c>
      <c r="HF11" s="4">
        <f>ROUND((csv!$HG11/10+calc!HF$1),1)</f>
        <v>9.5</v>
      </c>
      <c r="HG11" s="4">
        <f>ROUND((csv!$HG11/10+calc!HG$1),1)</f>
        <v>9.6</v>
      </c>
      <c r="HH11" s="4">
        <f>ROUND((csv!$HG11/10+calc!HH$1),1)</f>
        <v>9.6999999999999993</v>
      </c>
      <c r="HI11" s="4">
        <f>ROUND((csv!$HG11/10+calc!HI$1),1)</f>
        <v>9.8000000000000007</v>
      </c>
      <c r="HJ11" s="4">
        <f>ROUND((csv!$HG11/10+calc!HJ$1),1)</f>
        <v>9.9</v>
      </c>
      <c r="HK11" s="4">
        <f>ROUND((csv!$HG11/10+calc!HK$1),1)</f>
        <v>10</v>
      </c>
      <c r="HM11" s="2">
        <f>csv!A11*10000+csv!B11*100+csv!C11</f>
        <v>0</v>
      </c>
      <c r="HN11" s="5">
        <f>IF(ISERROR(LOOKUP(HN$1,$S11:$HK11,csv!$L11:$HD11)),NA(),LOOKUP(HN$1,$S11:$HK11,csv!$L11:$HD11))</f>
        <v>0</v>
      </c>
      <c r="HO11" s="5">
        <f>IF(ISERROR(LOOKUP(HO$1,$S11:$HK11,csv!$L11:$HD11)),NA(),LOOKUP(HO$1,$S11:$HK11,csv!$L11:$HD11))</f>
        <v>0</v>
      </c>
      <c r="HP11" s="5">
        <f>IF(ISERROR(LOOKUP(HP$1,$S11:$HK11,csv!$L11:$HD11)),NA(),LOOKUP(HP$1,$S11:$HK11,csv!$L11:$HD11))</f>
        <v>0</v>
      </c>
      <c r="HQ11" s="5">
        <f>IF(ISERROR(LOOKUP(HQ$1,$S11:$HK11,csv!$L11:$HD11)),NA(),LOOKUP(HQ$1,$S11:$HK11,csv!$L11:$HD11))</f>
        <v>0</v>
      </c>
      <c r="HR11" s="5">
        <f>IF(ISERROR(LOOKUP(HR$1,$S11:$HK11,csv!$L11:$HD11)),NA(),LOOKUP(HR$1,$S11:$HK11,csv!$L11:$HD11))</f>
        <v>0</v>
      </c>
      <c r="HS11" s="5">
        <f>IF(ISERROR(LOOKUP(HS$1,$S11:$HK11,csv!$L11:$HD11)),NA(),LOOKUP(HS$1,$S11:$HK11,csv!$L11:$HD11))</f>
        <v>0</v>
      </c>
      <c r="HT11" s="5">
        <f>IF(ISERROR(LOOKUP(HT$1,$S11:$HK11,csv!$L11:$HD11)),NA(),LOOKUP(HT$1,$S11:$HK11,csv!$L11:$HD11))</f>
        <v>0</v>
      </c>
      <c r="HU11" s="5">
        <f>IF(ISERROR(LOOKUP(HU$1,$S11:$HK11,csv!$L11:$HD11)),NA(),LOOKUP(HU$1,$S11:$HK11,csv!$L11:$HD11))</f>
        <v>0</v>
      </c>
      <c r="HV11" s="5">
        <f>IF(ISERROR(LOOKUP(HV$1,$S11:$HK11,csv!$L11:$HD11)),NA(),LOOKUP(HV$1,$S11:$HK11,csv!$L11:$HD11))</f>
        <v>0</v>
      </c>
      <c r="HW11" s="5">
        <f>IF(ISERROR(LOOKUP(HW$1,$S11:$HK11,csv!$L11:$HD11)),NA(),LOOKUP(HW$1,$S11:$HK11,csv!$L11:$HD11))</f>
        <v>0</v>
      </c>
      <c r="HX11" s="5">
        <f>IF(ISERROR(LOOKUP(HX$1,$S11:$HK11,csv!$L11:$HD11)),NA(),LOOKUP(HX$1,$S11:$HK11,csv!$L11:$HD11))</f>
        <v>0</v>
      </c>
      <c r="HY11" s="5">
        <f>IF(ISERROR(LOOKUP(HY$1,$S11:$HK11,csv!$L11:$HD11)),NA(),LOOKUP(HY$1,$S11:$HK11,csv!$L11:$HD11))</f>
        <v>0</v>
      </c>
      <c r="HZ11" s="5">
        <f>IF(ISERROR(LOOKUP(HZ$1,$S11:$HK11,csv!$L11:$HD11)),NA(),LOOKUP(HZ$1,$S11:$HK11,csv!$L11:$HD11))</f>
        <v>0</v>
      </c>
      <c r="IA11" s="5">
        <f>IF(ISERROR(LOOKUP(IA$1,$S11:$HK11,csv!$L11:$HD11)),NA(),LOOKUP(IA$1,$S11:$HK11,csv!$L11:$HD11))</f>
        <v>0</v>
      </c>
      <c r="IB11" s="5">
        <f>IF(ISERROR(LOOKUP(IB$1,$S11:$HK11,csv!$L11:$HD11)),NA(),LOOKUP(IB$1,$S11:$HK11,csv!$L11:$HD11))</f>
        <v>0</v>
      </c>
      <c r="IC11" s="5">
        <f>IF(ISERROR(LOOKUP(IC$1,$S11:$HK11,csv!$L11:$HD11)),NA(),LOOKUP(IC$1,$S11:$HK11,csv!$L11:$HD11))</f>
        <v>0</v>
      </c>
      <c r="ID11" s="5">
        <f>IF(ISERROR(LOOKUP(ID$1,$S11:$HK11,csv!$L11:$HD11)),NA(),LOOKUP(ID$1,$S11:$HK11,csv!$L11:$HD11))</f>
        <v>0</v>
      </c>
      <c r="IE11" s="5">
        <f>IF(ISERROR(LOOKUP(IE$1,$S11:$HK11,csv!$L11:$HD11)),NA(),LOOKUP(IE$1,$S11:$HK11,csv!$L11:$HD11))</f>
        <v>0</v>
      </c>
      <c r="IF11" s="5">
        <f>IF(ISERROR(LOOKUP(IF$1,$S11:$HK11,csv!$L11:$HD11)),NA(),LOOKUP(IF$1,$S11:$HK11,csv!$L11:$HD11))</f>
        <v>0</v>
      </c>
      <c r="IG11" s="5">
        <f>IF(ISERROR(LOOKUP(IG$1,$S11:$HK11,csv!$L11:$HD11)),NA(),LOOKUP(IG$1,$S11:$HK11,csv!$L11:$HD11))</f>
        <v>0</v>
      </c>
      <c r="IH11" s="5">
        <f>IF(ISERROR(LOOKUP(IH$1,$S11:$HK11,csv!$L11:$HD11)),NA(),LOOKUP(IH$1,$S11:$HK11,csv!$L11:$HD11))</f>
        <v>0</v>
      </c>
      <c r="II11" s="5">
        <f>IF(ISERROR(LOOKUP(II$1,$S11:$HK11,csv!$L11:$HD11)),NA(),LOOKUP(II$1,$S11:$HK11,csv!$L11:$HD11))</f>
        <v>0</v>
      </c>
      <c r="IJ11" s="5">
        <f>IF(ISERROR(LOOKUP(IJ$1,$S11:$HK11,csv!$L11:$HD11)),NA(),LOOKUP(IJ$1,$S11:$HK11,csv!$L11:$HD11))</f>
        <v>0</v>
      </c>
      <c r="IK11" s="5">
        <f>IF(ISERROR(LOOKUP(IK$1,$S11:$HK11,csv!$L11:$HD11)),NA(),LOOKUP(IK$1,$S11:$HK11,csv!$L11:$HD11))</f>
        <v>0</v>
      </c>
      <c r="IL11" s="5">
        <f>IF(ISERROR(LOOKUP(IL$1,$S11:$HK11,csv!$L11:$HD11)),NA(),LOOKUP(IL$1,$S11:$HK11,csv!$L11:$HD11))</f>
        <v>0</v>
      </c>
      <c r="IM11" s="5">
        <f>IF(ISERROR(LOOKUP(IM$1,$S11:$HK11,csv!$L11:$HD11)),NA(),LOOKUP(IM$1,$S11:$HK11,csv!$L11:$HD11))</f>
        <v>0</v>
      </c>
      <c r="IN11" s="5">
        <f>IF(ISERROR(LOOKUP(IN$1,$S11:$HK11,csv!$L11:$HD11)),NA(),LOOKUP(IN$1,$S11:$HK11,csv!$L11:$HD11))</f>
        <v>0</v>
      </c>
      <c r="IO11" s="5">
        <f>IF(ISERROR(LOOKUP(IO$1,$S11:$HK11,csv!$L11:$HD11)),NA(),LOOKUP(IO$1,$S11:$HK11,csv!$L11:$HD11))</f>
        <v>0</v>
      </c>
      <c r="IP11" s="5">
        <f>IF(ISERROR(LOOKUP(IP$1,$S11:$HK11,csv!$L11:$HD11)),NA(),LOOKUP(IP$1,$S11:$HK11,csv!$L11:$HD11))</f>
        <v>0</v>
      </c>
      <c r="IQ11" s="5">
        <f>IF(ISERROR(LOOKUP(IQ$1,$S11:$HK11,csv!$L11:$HD11)),NA(),LOOKUP(IQ$1,$S11:$HK11,csv!$L11:$HD11))</f>
        <v>0</v>
      </c>
      <c r="IR11" s="5">
        <f>IF(ISERROR(LOOKUP(IR$1,$S11:$HK11,csv!$L11:$HD11)),NA(),LOOKUP(IR$1,$S11:$HK11,csv!$L11:$HD11))</f>
        <v>0</v>
      </c>
      <c r="IS11" s="5">
        <f>IF(ISERROR(LOOKUP(IS$1,$S11:$HK11,csv!$L11:$HD11)),NA(),LOOKUP(IS$1,$S11:$HK11,csv!$L11:$HD11))</f>
        <v>0</v>
      </c>
      <c r="IT11" s="5">
        <f>IF(ISERROR(LOOKUP(IT$1,$S11:$HK11,csv!$L11:$HD11)),NA(),LOOKUP(IT$1,$S11:$HK11,csv!$L11:$HD11))</f>
        <v>0</v>
      </c>
      <c r="IU11" s="5">
        <f>IF(ISERROR(LOOKUP(IU$1,$S11:$HK11,csv!$L11:$HD11)),NA(),LOOKUP(IU$1,$S11:$HK11,csv!$L11:$HD11))</f>
        <v>0</v>
      </c>
      <c r="IV11" s="5">
        <f>IF(ISERROR(LOOKUP(IV$1,$S11:$HK11,csv!$L11:$HD11)),NA(),LOOKUP(IV$1,$S11:$HK11,csv!$L11:$HD11))</f>
        <v>0</v>
      </c>
      <c r="IW11" s="5">
        <f>IF(ISERROR(LOOKUP(IW$1,$S11:$HK11,csv!$L11:$HD11)),NA(),LOOKUP(IW$1,$S11:$HK11,csv!$L11:$HD11))</f>
        <v>0</v>
      </c>
      <c r="IX11" s="5">
        <f>IF(ISERROR(LOOKUP(IX$1,$S11:$HK11,csv!$L11:$HD11)),NA(),LOOKUP(IX$1,$S11:$HK11,csv!$L11:$HD11))</f>
        <v>0</v>
      </c>
      <c r="IY11" s="5">
        <f>IF(ISERROR(LOOKUP(IY$1,$S11:$HK11,csv!$L11:$HD11)),NA(),LOOKUP(IY$1,$S11:$HK11,csv!$L11:$HD11))</f>
        <v>0</v>
      </c>
      <c r="IZ11" s="5">
        <f>IF(ISERROR(LOOKUP(IZ$1,$S11:$HK11,csv!$L11:$HD11)),NA(),LOOKUP(IZ$1,$S11:$HK11,csv!$L11:$HD11))</f>
        <v>0</v>
      </c>
      <c r="JA11" s="5">
        <f>IF(ISERROR(LOOKUP(JA$1,$S11:$HK11,csv!$L11:$HD11)),NA(),LOOKUP(JA$1,$S11:$HK11,csv!$L11:$HD11))</f>
        <v>0</v>
      </c>
      <c r="JB11" s="5">
        <f>IF(ISERROR(LOOKUP(JB$1,$S11:$HK11,csv!$L11:$HD11)),NA(),LOOKUP(JB$1,$S11:$HK11,csv!$L11:$HD11))</f>
        <v>0</v>
      </c>
      <c r="JC11" s="5">
        <f>IF(ISERROR(LOOKUP(JC$1,$S11:$HK11,csv!$L11:$HD11)),NA(),LOOKUP(JC$1,$S11:$HK11,csv!$L11:$HD11))</f>
        <v>0</v>
      </c>
      <c r="JD11" s="5">
        <f>IF(ISERROR(LOOKUP(JD$1,$S11:$HK11,csv!$L11:$HD11)),NA(),LOOKUP(JD$1,$S11:$HK11,csv!$L11:$HD11))</f>
        <v>0</v>
      </c>
      <c r="JE11" s="5">
        <f>IF(ISERROR(LOOKUP(JE$1,$S11:$HK11,csv!$L11:$HD11)),NA(),LOOKUP(JE$1,$S11:$HK11,csv!$L11:$HD11))</f>
        <v>0</v>
      </c>
      <c r="JF11" s="5">
        <f>IF(ISERROR(LOOKUP(JF$1,$S11:$HK11,csv!$L11:$HD11)),NA(),LOOKUP(JF$1,$S11:$HK11,csv!$L11:$HD11))</f>
        <v>0</v>
      </c>
      <c r="JG11" s="5">
        <f>IF(ISERROR(LOOKUP(JG$1,$S11:$HK11,csv!$L11:$HD11)),NA(),LOOKUP(JG$1,$S11:$HK11,csv!$L11:$HD11))</f>
        <v>0</v>
      </c>
      <c r="JH11" s="5">
        <f>IF(ISERROR(LOOKUP(JH$1,$S11:$HK11,csv!$L11:$HD11)),NA(),LOOKUP(JH$1,$S11:$HK11,csv!$L11:$HD11))</f>
        <v>0</v>
      </c>
      <c r="JI11" s="5">
        <f>IF(ISERROR(LOOKUP(JI$1,$S11:$HK11,csv!$L11:$HD11)),NA(),LOOKUP(JI$1,$S11:$HK11,csv!$L11:$HD11))</f>
        <v>0</v>
      </c>
      <c r="JJ11" s="5">
        <f>IF(ISERROR(LOOKUP(JJ$1,$S11:$HK11,csv!$L11:$HD11)),NA(),LOOKUP(JJ$1,$S11:$HK11,csv!$L11:$HD11))</f>
        <v>0</v>
      </c>
      <c r="JK11" s="5">
        <f>IF(ISERROR(LOOKUP(JK$1,$S11:$HK11,csv!$L11:$HD11)),NA(),LOOKUP(JK$1,$S11:$HK11,csv!$L11:$HD11))</f>
        <v>0</v>
      </c>
      <c r="JL11" s="5">
        <f>IF(ISERROR(LOOKUP(JL$1,$S11:$HK11,csv!$L11:$HD11)),NA(),LOOKUP(JL$1,$S11:$HK11,csv!$L11:$HD11))</f>
        <v>0</v>
      </c>
      <c r="JM11" s="5">
        <f>IF(ISERROR(LOOKUP(JM$1,$S11:$HK11,csv!$L11:$HD11)),NA(),LOOKUP(JM$1,$S11:$HK11,csv!$L11:$HD11))</f>
        <v>0</v>
      </c>
      <c r="JN11" s="5">
        <f>IF(ISERROR(LOOKUP(JN$1,$S11:$HK11,csv!$L11:$HD11)),NA(),LOOKUP(JN$1,$S11:$HK11,csv!$L11:$HD11))</f>
        <v>0</v>
      </c>
      <c r="JO11" s="5">
        <f>IF(ISERROR(LOOKUP(JO$1,$S11:$HK11,csv!$L11:$HD11)),NA(),LOOKUP(JO$1,$S11:$HK11,csv!$L11:$HD11))</f>
        <v>0</v>
      </c>
      <c r="JP11" s="5">
        <f>IF(ISERROR(LOOKUP(JP$1,$S11:$HK11,csv!$L11:$HD11)),NA(),LOOKUP(JP$1,$S11:$HK11,csv!$L11:$HD11))</f>
        <v>0</v>
      </c>
      <c r="JQ11" s="5">
        <f>IF(ISERROR(LOOKUP(JQ$1,$S11:$HK11,csv!$L11:$HD11)),NA(),LOOKUP(JQ$1,$S11:$HK11,csv!$L11:$HD11))</f>
        <v>0</v>
      </c>
      <c r="JR11" s="5">
        <f>IF(ISERROR(LOOKUP(JR$1,$S11:$HK11,csv!$L11:$HD11)),NA(),LOOKUP(JR$1,$S11:$HK11,csv!$L11:$HD11))</f>
        <v>0</v>
      </c>
      <c r="JS11" s="5">
        <f>IF(ISERROR(LOOKUP(JS$1,$S11:$HK11,csv!$L11:$HD11)),NA(),LOOKUP(JS$1,$S11:$HK11,csv!$L11:$HD11))</f>
        <v>0</v>
      </c>
      <c r="JT11" s="5">
        <f>IF(ISERROR(LOOKUP(JT$1,$S11:$HK11,csv!$L11:$HD11)),NA(),LOOKUP(JT$1,$S11:$HK11,csv!$L11:$HD11))</f>
        <v>0</v>
      </c>
      <c r="JU11" s="5">
        <f>IF(ISERROR(LOOKUP(JU$1,$S11:$HK11,csv!$L11:$HD11)),NA(),LOOKUP(JU$1,$S11:$HK11,csv!$L11:$HD11))</f>
        <v>0</v>
      </c>
      <c r="JV11" s="5">
        <f>IF(ISERROR(LOOKUP(JV$1,$S11:$HK11,csv!$L11:$HD11)),NA(),LOOKUP(JV$1,$S11:$HK11,csv!$L11:$HD11))</f>
        <v>0</v>
      </c>
      <c r="JW11" s="5">
        <f>IF(ISERROR(LOOKUP(JW$1,$S11:$HK11,csv!$L11:$HD11)),NA(),LOOKUP(JW$1,$S11:$HK11,csv!$L11:$HD11))</f>
        <v>0</v>
      </c>
      <c r="JX11" s="5">
        <f>IF(ISERROR(LOOKUP(JX$1,$S11:$HK11,csv!$L11:$HD11)),NA(),LOOKUP(JX$1,$S11:$HK11,csv!$L11:$HD11))</f>
        <v>0</v>
      </c>
      <c r="JY11" s="5">
        <f>IF(ISERROR(LOOKUP(JY$1,$S11:$HK11,csv!$L11:$HD11)),NA(),LOOKUP(JY$1,$S11:$HK11,csv!$L11:$HD11))</f>
        <v>0</v>
      </c>
      <c r="JZ11" s="5">
        <f>IF(ISERROR(LOOKUP(JZ$1,$S11:$HK11,csv!$L11:$HD11)),NA(),LOOKUP(JZ$1,$S11:$HK11,csv!$L11:$HD11))</f>
        <v>0</v>
      </c>
      <c r="KA11" s="5">
        <f>IF(ISERROR(LOOKUP(KA$1,$S11:$HK11,csv!$L11:$HD11)),NA(),LOOKUP(KA$1,$S11:$HK11,csv!$L11:$HD11))</f>
        <v>0</v>
      </c>
      <c r="KB11" s="5">
        <f>IF(ISERROR(LOOKUP(KB$1,$S11:$HK11,csv!$L11:$HD11)),NA(),LOOKUP(KB$1,$S11:$HK11,csv!$L11:$HD11))</f>
        <v>0</v>
      </c>
      <c r="KC11" s="5">
        <f>IF(ISERROR(LOOKUP(KC$1,$S11:$HK11,csv!$L11:$HD11)),NA(),LOOKUP(KC$1,$S11:$HK11,csv!$L11:$HD11))</f>
        <v>0</v>
      </c>
      <c r="KD11" s="5">
        <f>IF(ISERROR(LOOKUP(KD$1,$S11:$HK11,csv!$L11:$HD11)),NA(),LOOKUP(KD$1,$S11:$HK11,csv!$L11:$HD11))</f>
        <v>0</v>
      </c>
      <c r="KE11" s="5">
        <f>IF(ISERROR(LOOKUP(KE$1,$S11:$HK11,csv!$L11:$HD11)),NA(),LOOKUP(KE$1,$S11:$HK11,csv!$L11:$HD11))</f>
        <v>0</v>
      </c>
      <c r="KF11" s="5">
        <f>IF(ISERROR(LOOKUP(KF$1,$S11:$HK11,csv!$L11:$HD11)),NA(),LOOKUP(KF$1,$S11:$HK11,csv!$L11:$HD11))</f>
        <v>0</v>
      </c>
      <c r="KG11" s="5">
        <f>IF(ISERROR(LOOKUP(KG$1,$S11:$HK11,csv!$L11:$HD11)),NA(),LOOKUP(KG$1,$S11:$HK11,csv!$L11:$HD11))</f>
        <v>0</v>
      </c>
      <c r="KH11" s="5">
        <f>IF(ISERROR(LOOKUP(KH$1,$S11:$HK11,csv!$L11:$HD11)),NA(),LOOKUP(KH$1,$S11:$HK11,csv!$L11:$HD11))</f>
        <v>0</v>
      </c>
      <c r="KI11" s="5">
        <f>IF(ISERROR(LOOKUP(KI$1,$S11:$HK11,csv!$L11:$HD11)),NA(),LOOKUP(KI$1,$S11:$HK11,csv!$L11:$HD11))</f>
        <v>0</v>
      </c>
      <c r="KJ11" s="5">
        <f>IF(ISERROR(LOOKUP(KJ$1,$S11:$HK11,csv!$L11:$HD11)),NA(),LOOKUP(KJ$1,$S11:$HK11,csv!$L11:$HD11))</f>
        <v>0</v>
      </c>
      <c r="KK11" s="5">
        <f>IF(ISERROR(LOOKUP(KK$1,$S11:$HK11,csv!$L11:$HD11)),NA(),LOOKUP(KK$1,$S11:$HK11,csv!$L11:$HD11))</f>
        <v>0</v>
      </c>
      <c r="KL11" s="5">
        <f>IF(ISERROR(LOOKUP(KL$1,$S11:$HK11,csv!$L11:$HD11)),NA(),LOOKUP(KL$1,$S11:$HK11,csv!$L11:$HD11))</f>
        <v>0</v>
      </c>
      <c r="KM11" s="5">
        <f>IF(ISERROR(LOOKUP(KM$1,$S11:$HK11,csv!$L11:$HD11)),NA(),LOOKUP(KM$1,$S11:$HK11,csv!$L11:$HD11))</f>
        <v>0</v>
      </c>
      <c r="KN11" s="5">
        <f>IF(ISERROR(LOOKUP(KN$1,$S11:$HK11,csv!$L11:$HD11)),NA(),LOOKUP(KN$1,$S11:$HK11,csv!$L11:$HD11))</f>
        <v>0</v>
      </c>
      <c r="KO11" s="5">
        <f>IF(ISERROR(LOOKUP(KO$1,$S11:$HK11,csv!$L11:$HD11)),NA(),LOOKUP(KO$1,$S11:$HK11,csv!$L11:$HD11))</f>
        <v>0</v>
      </c>
      <c r="KP11" s="5">
        <f>IF(ISERROR(LOOKUP(KP$1,$S11:$HK11,csv!$L11:$HD11)),NA(),LOOKUP(KP$1,$S11:$HK11,csv!$L11:$HD11))</f>
        <v>0</v>
      </c>
      <c r="KQ11" s="5">
        <f>IF(ISERROR(LOOKUP(KQ$1,$S11:$HK11,csv!$L11:$HD11)),NA(),LOOKUP(KQ$1,$S11:$HK11,csv!$L11:$HD11))</f>
        <v>0</v>
      </c>
      <c r="KR11" s="5">
        <f>IF(ISERROR(LOOKUP(KR$1,$S11:$HK11,csv!$L11:$HD11)),NA(),LOOKUP(KR$1,$S11:$HK11,csv!$L11:$HD11))</f>
        <v>0</v>
      </c>
      <c r="KS11" s="5">
        <f>IF(ISERROR(LOOKUP(KS$1,$S11:$HK11,csv!$L11:$HD11)),NA(),LOOKUP(KS$1,$S11:$HK11,csv!$L11:$HD11))</f>
        <v>0</v>
      </c>
      <c r="KT11" s="5">
        <f>IF(ISERROR(LOOKUP(KT$1,$S11:$HK11,csv!$L11:$HD11)),NA(),LOOKUP(KT$1,$S11:$HK11,csv!$L11:$HD11))</f>
        <v>0</v>
      </c>
      <c r="KU11" s="5">
        <f>IF(ISERROR(LOOKUP(KU$1,$S11:$HK11,csv!$L11:$HD11)),NA(),LOOKUP(KU$1,$S11:$HK11,csv!$L11:$HD11))</f>
        <v>0</v>
      </c>
      <c r="KV11" s="5">
        <f>IF(ISERROR(LOOKUP(KV$1,$S11:$HK11,csv!$L11:$HD11)),NA(),LOOKUP(KV$1,$S11:$HK11,csv!$L11:$HD11))</f>
        <v>0</v>
      </c>
      <c r="KW11" s="5">
        <f>IF(ISERROR(LOOKUP(KW$1,$S11:$HK11,csv!$L11:$HD11)),NA(),LOOKUP(KW$1,$S11:$HK11,csv!$L11:$HD11))</f>
        <v>0</v>
      </c>
      <c r="KX11" s="5">
        <f>IF(ISERROR(LOOKUP(KX$1,$S11:$HK11,csv!$L11:$HD11)),NA(),LOOKUP(KX$1,$S11:$HK11,csv!$L11:$HD11))</f>
        <v>0</v>
      </c>
      <c r="KY11" s="5">
        <f>IF(ISERROR(LOOKUP(KY$1,$S11:$HK11,csv!$L11:$HD11)),NA(),LOOKUP(KY$1,$S11:$HK11,csv!$L11:$HD11))</f>
        <v>0</v>
      </c>
      <c r="KZ11" s="5">
        <f>IF(ISERROR(LOOKUP(KZ$1,$S11:$HK11,csv!$L11:$HD11)),NA(),LOOKUP(KZ$1,$S11:$HK11,csv!$L11:$HD11))</f>
        <v>0</v>
      </c>
      <c r="LA11" s="5">
        <f>IF(ISERROR(LOOKUP(LA$1,$S11:$HK11,csv!$L11:$HD11)),NA(),LOOKUP(LA$1,$S11:$HK11,csv!$L11:$HD11))</f>
        <v>0</v>
      </c>
      <c r="LB11" s="5">
        <f>IF(ISERROR(LOOKUP(LB$1,$S11:$HK11,csv!$L11:$HD11)),NA(),LOOKUP(LB$1,$S11:$HK11,csv!$L11:$HD11))</f>
        <v>0</v>
      </c>
      <c r="LC11" s="5">
        <f>IF(ISERROR(LOOKUP(LC$1,$S11:$HK11,csv!$L11:$HD11)),NA(),LOOKUP(LC$1,$S11:$HK11,csv!$L11:$HD11))</f>
        <v>0</v>
      </c>
      <c r="LD11" s="5">
        <f>IF(ISERROR(LOOKUP(LD$1,$S11:$HK11,csv!$L11:$HD11)),NA(),LOOKUP(LD$1,$S11:$HK11,csv!$L11:$HD11))</f>
        <v>0</v>
      </c>
      <c r="LE11" s="5">
        <f>IF(ISERROR(LOOKUP(LE$1,$S11:$HK11,csv!$L11:$HD11)),NA(),LOOKUP(LE$1,$S11:$HK11,csv!$L11:$HD11))</f>
        <v>0</v>
      </c>
      <c r="LF11" s="5">
        <f>IF(ISERROR(LOOKUP(LF$1,$S11:$HK11,csv!$L11:$HD11)),NA(),LOOKUP(LF$1,$S11:$HK11,csv!$L11:$HD11))</f>
        <v>0</v>
      </c>
      <c r="LG11" s="5">
        <f>IF(ISERROR(LOOKUP(LG$1,$S11:$HK11,csv!$L11:$HD11)),NA(),LOOKUP(LG$1,$S11:$HK11,csv!$L11:$HD11))</f>
        <v>0</v>
      </c>
      <c r="LH11" s="5">
        <f>IF(ISERROR(LOOKUP(LH$1,$S11:$HK11,csv!$L11:$HD11)),NA(),LOOKUP(LH$1,$S11:$HK11,csv!$L11:$HD11))</f>
        <v>0</v>
      </c>
      <c r="LI11" s="5">
        <f>IF(ISERROR(LOOKUP(LI$1,$S11:$HK11,csv!$L11:$HD11)),NA(),LOOKUP(LI$1,$S11:$HK11,csv!$L11:$HD11))</f>
        <v>0</v>
      </c>
      <c r="LJ11" s="5">
        <f>IF(ISERROR(LOOKUP(LJ$1,$S11:$HK11,csv!$L11:$HD11)),NA(),LOOKUP(LJ$1,$S11:$HK11,csv!$L11:$HD11))</f>
        <v>0</v>
      </c>
      <c r="LK11" s="5">
        <f>IF(ISERROR(LOOKUP(LK$1,$S11:$HK11,csv!$L11:$HD11)),NA(),LOOKUP(LK$1,$S11:$HK11,csv!$L11:$HD11))</f>
        <v>0</v>
      </c>
      <c r="LL11" s="5">
        <f>IF(ISERROR(LOOKUP(LL$1,$S11:$HK11,csv!$L11:$HD11)),NA(),LOOKUP(LL$1,$S11:$HK11,csv!$L11:$HD11))</f>
        <v>0</v>
      </c>
      <c r="LM11" s="5">
        <f>IF(ISERROR(LOOKUP(LM$1,$S11:$HK11,csv!$L11:$HD11)),NA(),LOOKUP(LM$1,$S11:$HK11,csv!$L11:$HD11))</f>
        <v>0</v>
      </c>
      <c r="LN11" s="5">
        <f>IF(ISERROR(LOOKUP(LN$1,$S11:$HK11,csv!$L11:$HD11)),NA(),LOOKUP(LN$1,$S11:$HK11,csv!$L11:$HD11))</f>
        <v>0</v>
      </c>
      <c r="LO11" s="5">
        <f>IF(ISERROR(LOOKUP(LO$1,$S11:$HK11,csv!$L11:$HD11)),NA(),LOOKUP(LO$1,$S11:$HK11,csv!$L11:$HD11))</f>
        <v>0</v>
      </c>
      <c r="LP11" s="5">
        <f>IF(ISERROR(LOOKUP(LP$1,$S11:$HK11,csv!$L11:$HD11)),NA(),LOOKUP(LP$1,$S11:$HK11,csv!$L11:$HD11))</f>
        <v>0</v>
      </c>
      <c r="LQ11" s="5">
        <f>IF(ISERROR(LOOKUP(LQ$1,$S11:$HK11,csv!$L11:$HD11)),NA(),LOOKUP(LQ$1,$S11:$HK11,csv!$L11:$HD11))</f>
        <v>0</v>
      </c>
      <c r="LR11" s="5">
        <f>IF(ISERROR(LOOKUP(LR$1,$S11:$HK11,csv!$L11:$HD11)),NA(),LOOKUP(LR$1,$S11:$HK11,csv!$L11:$HD11))</f>
        <v>0</v>
      </c>
      <c r="LS11" s="5">
        <f>IF(ISERROR(LOOKUP(LS$1,$S11:$HK11,csv!$L11:$HD11)),NA(),LOOKUP(LS$1,$S11:$HK11,csv!$L11:$HD11))</f>
        <v>0</v>
      </c>
      <c r="LT11" s="5">
        <f>IF(ISERROR(LOOKUP(LT$1,$S11:$HK11,csv!$L11:$HD11)),NA(),LOOKUP(LT$1,$S11:$HK11,csv!$L11:$HD11))</f>
        <v>0</v>
      </c>
      <c r="LU11" s="5">
        <f>IF(ISERROR(LOOKUP(LU$1,$S11:$HK11,csv!$L11:$HD11)),NA(),LOOKUP(LU$1,$S11:$HK11,csv!$L11:$HD11))</f>
        <v>0</v>
      </c>
      <c r="LV11" s="5">
        <f>IF(ISERROR(LOOKUP(LV$1,$S11:$HK11,csv!$L11:$HD11)),NA(),LOOKUP(LV$1,$S11:$HK11,csv!$L11:$HD11))</f>
        <v>0</v>
      </c>
      <c r="LW11" s="5">
        <f>IF(ISERROR(LOOKUP(LW$1,$S11:$HK11,csv!$L11:$HD11)),NA(),LOOKUP(LW$1,$S11:$HK11,csv!$L11:$HD11))</f>
        <v>0</v>
      </c>
      <c r="LX11" s="5">
        <f>IF(ISERROR(LOOKUP(LX$1,$S11:$HK11,csv!$L11:$HD11)),NA(),LOOKUP(LX$1,$S11:$HK11,csv!$L11:$HD11))</f>
        <v>0</v>
      </c>
      <c r="LY11" s="5">
        <f>IF(ISERROR(LOOKUP(LY$1,$S11:$HK11,csv!$L11:$HD11)),NA(),LOOKUP(LY$1,$S11:$HK11,csv!$L11:$HD11))</f>
        <v>0</v>
      </c>
      <c r="LZ11" s="5">
        <f>IF(ISERROR(LOOKUP(LZ$1,$S11:$HK11,csv!$L11:$HD11)),NA(),LOOKUP(LZ$1,$S11:$HK11,csv!$L11:$HD11))</f>
        <v>0</v>
      </c>
      <c r="MA11" s="5">
        <f>IF(ISERROR(LOOKUP(MA$1,$S11:$HK11,csv!$L11:$HD11)),NA(),LOOKUP(MA$1,$S11:$HK11,csv!$L11:$HD11))</f>
        <v>0</v>
      </c>
      <c r="MB11" s="5">
        <f>IF(ISERROR(LOOKUP(MB$1,$S11:$HK11,csv!$L11:$HD11)),NA(),LOOKUP(MB$1,$S11:$HK11,csv!$L11:$HD11))</f>
        <v>0</v>
      </c>
      <c r="MC11" s="5">
        <f>IF(ISERROR(LOOKUP(MC$1,$S11:$HK11,csv!$L11:$HD11)),NA(),LOOKUP(MC$1,$S11:$HK11,csv!$L11:$HD11))</f>
        <v>0</v>
      </c>
      <c r="MD11" s="5">
        <f>IF(ISERROR(LOOKUP(MD$1,$S11:$HK11,csv!$L11:$HD11)),NA(),LOOKUP(MD$1,$S11:$HK11,csv!$L11:$HD11))</f>
        <v>0</v>
      </c>
      <c r="ME11" s="5">
        <f>IF(ISERROR(LOOKUP(ME$1,$S11:$HK11,csv!$L11:$HD11)),NA(),LOOKUP(ME$1,$S11:$HK11,csv!$L11:$HD11))</f>
        <v>0</v>
      </c>
      <c r="MF11" s="5">
        <f>IF(ISERROR(LOOKUP(MF$1,$S11:$HK11,csv!$L11:$HD11)),NA(),LOOKUP(MF$1,$S11:$HK11,csv!$L11:$HD11))</f>
        <v>0</v>
      </c>
      <c r="MG11" s="5">
        <f>IF(ISERROR(LOOKUP(MG$1,$S11:$HK11,csv!$L11:$HD11)),NA(),LOOKUP(MG$1,$S11:$HK11,csv!$L11:$HD11))</f>
        <v>0</v>
      </c>
      <c r="MH11" s="5">
        <f>IF(ISERROR(LOOKUP(MH$1,$S11:$HK11,csv!$L11:$HD11)),NA(),LOOKUP(MH$1,$S11:$HK11,csv!$L11:$HD11))</f>
        <v>0</v>
      </c>
      <c r="MI11" s="5">
        <f>IF(ISERROR(LOOKUP(MI$1,$S11:$HK11,csv!$L11:$HD11)),NA(),LOOKUP(MI$1,$S11:$HK11,csv!$L11:$HD11))</f>
        <v>0</v>
      </c>
      <c r="MJ11" s="5">
        <f>IF(ISERROR(LOOKUP(MJ$1,$S11:$HK11,csv!$L11:$HD11)),NA(),LOOKUP(MJ$1,$S11:$HK11,csv!$L11:$HD11))</f>
        <v>0</v>
      </c>
      <c r="MK11" s="5">
        <f>IF(ISERROR(LOOKUP(MK$1,$S11:$HK11,csv!$L11:$HD11)),NA(),LOOKUP(MK$1,$S11:$HK11,csv!$L11:$HD11))</f>
        <v>0</v>
      </c>
      <c r="ML11" s="5">
        <f>IF(ISERROR(LOOKUP(ML$1,$S11:$HK11,csv!$L11:$HD11)),NA(),LOOKUP(ML$1,$S11:$HK11,csv!$L11:$HD11))</f>
        <v>0</v>
      </c>
      <c r="MM11" s="5">
        <f>IF(ISERROR(LOOKUP(MM$1,$S11:$HK11,csv!$L11:$HD11)),NA(),LOOKUP(MM$1,$S11:$HK11,csv!$L11:$HD11))</f>
        <v>0</v>
      </c>
      <c r="MN11" s="5">
        <f>IF(ISERROR(LOOKUP(MN$1,$S11:$HK11,csv!$L11:$HD11)),NA(),LOOKUP(MN$1,$S11:$HK11,csv!$L11:$HD11))</f>
        <v>0</v>
      </c>
      <c r="MO11" s="5">
        <f>IF(ISERROR(LOOKUP(MO$1,$S11:$HK11,csv!$L11:$HD11)),NA(),LOOKUP(MO$1,$S11:$HK11,csv!$L11:$HD11))</f>
        <v>0</v>
      </c>
      <c r="MP11" s="5">
        <f>IF(ISERROR(LOOKUP(MP$1,$S11:$HK11,csv!$L11:$HD11)),NA(),LOOKUP(MP$1,$S11:$HK11,csv!$L11:$HD11))</f>
        <v>0</v>
      </c>
      <c r="MQ11" s="5">
        <f>IF(ISERROR(LOOKUP(MQ$1,$S11:$HK11,csv!$L11:$HD11)),NA(),LOOKUP(MQ$1,$S11:$HK11,csv!$L11:$HD11))</f>
        <v>0</v>
      </c>
      <c r="MR11" s="5">
        <f>IF(ISERROR(LOOKUP(MR$1,$S11:$HK11,csv!$L11:$HD11)),NA(),LOOKUP(MR$1,$S11:$HK11,csv!$L11:$HD11))</f>
        <v>0</v>
      </c>
      <c r="MS11" s="5">
        <f>IF(ISERROR(LOOKUP(MS$1,$S11:$HK11,csv!$L11:$HD11)),NA(),LOOKUP(MS$1,$S11:$HK11,csv!$L11:$HD11))</f>
        <v>0</v>
      </c>
      <c r="MT11" s="5">
        <f>IF(ISERROR(LOOKUP(MT$1,$S11:$HK11,csv!$L11:$HD11)),NA(),LOOKUP(MT$1,$S11:$HK11,csv!$L11:$HD11))</f>
        <v>0</v>
      </c>
      <c r="MU11" s="5">
        <f>IF(ISERROR(LOOKUP(MU$1,$S11:$HK11,csv!$L11:$HD11)),NA(),LOOKUP(MU$1,$S11:$HK11,csv!$L11:$HD11))</f>
        <v>0</v>
      </c>
      <c r="MV11" s="5">
        <f>IF(ISERROR(LOOKUP(MV$1,$S11:$HK11,csv!$L11:$HD11)),NA(),LOOKUP(MV$1,$S11:$HK11,csv!$L11:$HD11))</f>
        <v>0</v>
      </c>
      <c r="MW11" s="5">
        <f>IF(ISERROR(LOOKUP(MW$1,$S11:$HK11,csv!$L11:$HD11)),NA(),LOOKUP(MW$1,$S11:$HK11,csv!$L11:$HD11))</f>
        <v>0</v>
      </c>
      <c r="MX11" s="5">
        <f>IF(ISERROR(LOOKUP(MX$1,$S11:$HK11,csv!$L11:$HD11)),NA(),LOOKUP(MX$1,$S11:$HK11,csv!$L11:$HD11))</f>
        <v>0</v>
      </c>
      <c r="MY11" s="5">
        <f>IF(ISERROR(LOOKUP(MY$1,$S11:$HK11,csv!$L11:$HD11)),NA(),LOOKUP(MY$1,$S11:$HK11,csv!$L11:$HD11))</f>
        <v>0</v>
      </c>
      <c r="MZ11" s="5">
        <f>IF(ISERROR(LOOKUP(MZ$1,$S11:$HK11,csv!$L11:$HD11)),NA(),LOOKUP(MZ$1,$S11:$HK11,csv!$L11:$HD11))</f>
        <v>0</v>
      </c>
      <c r="NA11" s="5">
        <f>IF(ISERROR(LOOKUP(NA$1,$S11:$HK11,csv!$L11:$HD11)),NA(),LOOKUP(NA$1,$S11:$HK11,csv!$L11:$HD11))</f>
        <v>0</v>
      </c>
      <c r="NB11" s="5">
        <f>IF(ISERROR(LOOKUP(NB$1,$S11:$HK11,csv!$L11:$HD11)),NA(),LOOKUP(NB$1,$S11:$HK11,csv!$L11:$HD11))</f>
        <v>0</v>
      </c>
      <c r="NC11" s="5">
        <f>IF(ISERROR(LOOKUP(NC$1,$S11:$HK11,csv!$L11:$HD11)),NA(),LOOKUP(NC$1,$S11:$HK11,csv!$L11:$HD11))</f>
        <v>0</v>
      </c>
      <c r="ND11" s="5">
        <f>IF(ISERROR(LOOKUP(ND$1,$S11:$HK11,csv!$L11:$HD11)),NA(),LOOKUP(ND$1,$S11:$HK11,csv!$L11:$HD11))</f>
        <v>0</v>
      </c>
      <c r="NE11" s="5">
        <f>IF(ISERROR(LOOKUP(NE$1,$S11:$HK11,csv!$L11:$HD11)),NA(),LOOKUP(NE$1,$S11:$HK11,csv!$L11:$HD11))</f>
        <v>0</v>
      </c>
      <c r="NF11" s="5">
        <f>IF(ISERROR(LOOKUP(NF$1,$S11:$HK11,csv!$L11:$HD11)),NA(),LOOKUP(NF$1,$S11:$HK11,csv!$L11:$HD11))</f>
        <v>0</v>
      </c>
      <c r="NG11" s="5">
        <f>IF(ISERROR(LOOKUP(NG$1,$S11:$HK11,csv!$L11:$HD11)),NA(),LOOKUP(NG$1,$S11:$HK11,csv!$L11:$HD11))</f>
        <v>0</v>
      </c>
      <c r="NH11" s="5">
        <f>IF(ISERROR(LOOKUP(NH$1,$S11:$HK11,csv!$L11:$HD11)),NA(),LOOKUP(NH$1,$S11:$HK11,csv!$L11:$HD11))</f>
        <v>0</v>
      </c>
      <c r="NI11" s="5">
        <f>IF(ISERROR(LOOKUP(NI$1,$S11:$HK11,csv!$L11:$HD11)),NA(),LOOKUP(NI$1,$S11:$HK11,csv!$L11:$HD11))</f>
        <v>0</v>
      </c>
      <c r="NJ11" s="5">
        <f>IF(ISERROR(LOOKUP(NJ$1,$S11:$HK11,csv!$L11:$HD11)),NA(),LOOKUP(NJ$1,$S11:$HK11,csv!$L11:$HD11))</f>
        <v>0</v>
      </c>
      <c r="NK11" s="5">
        <f>IF(ISERROR(LOOKUP(NK$1,$S11:$HK11,csv!$L11:$HD11)),NA(),LOOKUP(NK$1,$S11:$HK11,csv!$L11:$HD11))</f>
        <v>0</v>
      </c>
      <c r="NL11" s="5">
        <f>IF(ISERROR(LOOKUP(NL$1,$S11:$HK11,csv!$L11:$HD11)),NA(),LOOKUP(NL$1,$S11:$HK11,csv!$L11:$HD11))</f>
        <v>0</v>
      </c>
      <c r="NM11" s="5">
        <f>IF(ISERROR(LOOKUP(NM$1,$S11:$HK11,csv!$L11:$HD11)),NA(),LOOKUP(NM$1,$S11:$HK11,csv!$L11:$HD11))</f>
        <v>0</v>
      </c>
      <c r="NN11" s="5">
        <f>IF(ISERROR(LOOKUP(NN$1,$S11:$HK11,csv!$L11:$HD11)),NA(),LOOKUP(NN$1,$S11:$HK11,csv!$L11:$HD11))</f>
        <v>0</v>
      </c>
      <c r="NO11" s="5">
        <f>IF(ISERROR(LOOKUP(NO$1,$S11:$HK11,csv!$L11:$HD11)),NA(),LOOKUP(NO$1,$S11:$HK11,csv!$L11:$HD11))</f>
        <v>0</v>
      </c>
      <c r="NP11" s="5">
        <f>IF(ISERROR(LOOKUP(NP$1,$S11:$HK11,csv!$L11:$HD11)),NA(),LOOKUP(NP$1,$S11:$HK11,csv!$L11:$HD11))</f>
        <v>0</v>
      </c>
      <c r="NQ11" s="5">
        <f>IF(ISERROR(LOOKUP(NQ$1,$S11:$HK11,csv!$L11:$HD11)),NA(),LOOKUP(NQ$1,$S11:$HK11,csv!$L11:$HD11))</f>
        <v>0</v>
      </c>
      <c r="NR11" s="5">
        <f>IF(ISERROR(LOOKUP(NR$1,$S11:$HK11,csv!$L11:$HD11)),NA(),LOOKUP(NR$1,$S11:$HK11,csv!$L11:$HD11))</f>
        <v>0</v>
      </c>
      <c r="NS11" s="5">
        <f>IF(ISERROR(LOOKUP(NS$1,$S11:$HK11,csv!$L11:$HD11)),NA(),LOOKUP(NS$1,$S11:$HK11,csv!$L11:$HD11))</f>
        <v>0</v>
      </c>
      <c r="NT11" s="5">
        <f>IF(ISERROR(LOOKUP(NT$1,$S11:$HK11,csv!$L11:$HD11)),NA(),LOOKUP(NT$1,$S11:$HK11,csv!$L11:$HD11))</f>
        <v>0</v>
      </c>
      <c r="NU11" s="5">
        <f>IF(ISERROR(LOOKUP(NU$1,$S11:$HK11,csv!$L11:$HD11)),NA(),LOOKUP(NU$1,$S11:$HK11,csv!$L11:$HD11))</f>
        <v>0</v>
      </c>
      <c r="NV11" s="5">
        <f>IF(ISERROR(LOOKUP(NV$1,$S11:$HK11,csv!$L11:$HD11)),NA(),LOOKUP(NV$1,$S11:$HK11,csv!$L11:$HD11))</f>
        <v>0</v>
      </c>
      <c r="NW11" s="5">
        <f>IF(ISERROR(LOOKUP(NW$1,$S11:$HK11,csv!$L11:$HD11)),NA(),LOOKUP(NW$1,$S11:$HK11,csv!$L11:$HD11))</f>
        <v>0</v>
      </c>
      <c r="NX11" s="5">
        <f>IF(ISERROR(LOOKUP(NX$1,$S11:$HK11,csv!$L11:$HD11)),NA(),LOOKUP(NX$1,$S11:$HK11,csv!$L11:$HD11))</f>
        <v>0</v>
      </c>
      <c r="NY11" s="5">
        <f>IF(ISERROR(LOOKUP(NY$1,$S11:$HK11,csv!$L11:$HD11)),NA(),LOOKUP(NY$1,$S11:$HK11,csv!$L11:$HD11))</f>
        <v>0</v>
      </c>
      <c r="NZ11" s="5">
        <f>IF(ISERROR(LOOKUP(NZ$1,$S11:$HK11,csv!$L11:$HD11)),NA(),LOOKUP(NZ$1,$S11:$HK11,csv!$L11:$HD11))</f>
        <v>0</v>
      </c>
      <c r="OA11" s="5">
        <f>IF(ISERROR(LOOKUP(OA$1,$S11:$HK11,csv!$L11:$HD11)),NA(),LOOKUP(OA$1,$S11:$HK11,csv!$L11:$HD11))</f>
        <v>0</v>
      </c>
      <c r="OB11" s="5">
        <f>IF(ISERROR(LOOKUP(OB$1,$S11:$HK11,csv!$L11:$HD11)),NA(),LOOKUP(OB$1,$S11:$HK11,csv!$L11:$HD11))</f>
        <v>0</v>
      </c>
      <c r="OC11" s="5">
        <f>IF(ISERROR(LOOKUP(OC$1,$S11:$HK11,csv!$L11:$HD11)),NA(),LOOKUP(OC$1,$S11:$HK11,csv!$L11:$HD11))</f>
        <v>0</v>
      </c>
      <c r="OD11" s="5">
        <f>IF(ISERROR(LOOKUP(OD$1,$S11:$HK11,csv!$L11:$HD11)),NA(),LOOKUP(OD$1,$S11:$HK11,csv!$L11:$HD11))</f>
        <v>0</v>
      </c>
      <c r="OE11" s="5">
        <f>IF(ISERROR(LOOKUP(OE$1,$S11:$HK11,csv!$L11:$HD11)),NA(),LOOKUP(OE$1,$S11:$HK11,csv!$L11:$HD11))</f>
        <v>0</v>
      </c>
      <c r="OF11" s="5">
        <f>IF(ISERROR(LOOKUP(OF$1,$S11:$HK11,csv!$L11:$HD11)),NA(),LOOKUP(OF$1,$S11:$HK11,csv!$L11:$HD11))</f>
        <v>0</v>
      </c>
      <c r="OG11" s="5">
        <f>IF(ISERROR(LOOKUP(OG$1,$S11:$HK11,csv!$L11:$HD11)),NA(),LOOKUP(OG$1,$S11:$HK11,csv!$L11:$HD11))</f>
        <v>0</v>
      </c>
      <c r="OH11" s="5">
        <f>IF(ISERROR(LOOKUP(OH$1,$S11:$HK11,csv!$L11:$HD11)),NA(),LOOKUP(OH$1,$S11:$HK11,csv!$L11:$HD11))</f>
        <v>0</v>
      </c>
      <c r="OI11" s="5">
        <f>IF(ISERROR(LOOKUP(OI$1,$S11:$HK11,csv!$L11:$HD11)),NA(),LOOKUP(OI$1,$S11:$HK11,csv!$L11:$HD11))</f>
        <v>0</v>
      </c>
      <c r="OJ11" s="5">
        <f>IF(ISERROR(LOOKUP(OJ$1,$S11:$HK11,csv!$L11:$HD11)),NA(),LOOKUP(OJ$1,$S11:$HK11,csv!$L11:$HD11))</f>
        <v>0</v>
      </c>
      <c r="OK11" s="5">
        <f>IF(ISERROR(LOOKUP(OK$1,$S11:$HK11,csv!$L11:$HD11)),NA(),LOOKUP(OK$1,$S11:$HK11,csv!$L11:$HD11))</f>
        <v>0</v>
      </c>
      <c r="OL11" s="5">
        <f>IF(ISERROR(LOOKUP(OL$1,$S11:$HK11,csv!$L11:$HD11)),NA(),LOOKUP(OL$1,$S11:$HK11,csv!$L11:$HD11))</f>
        <v>0</v>
      </c>
      <c r="OM11" s="5">
        <f>IF(ISERROR(LOOKUP(OM$1,$S11:$HK11,csv!$L11:$HD11)),NA(),LOOKUP(OM$1,$S11:$HK11,csv!$L11:$HD11))</f>
        <v>0</v>
      </c>
      <c r="ON11" s="5">
        <f>IF(ISERROR(LOOKUP(ON$1,$S11:$HK11,csv!$L11:$HD11)),NA(),LOOKUP(ON$1,$S11:$HK11,csv!$L11:$HD11))</f>
        <v>0</v>
      </c>
      <c r="OO11" s="5">
        <f>IF(ISERROR(LOOKUP(OO$1,$S11:$HK11,csv!$L11:$HD11)),NA(),LOOKUP(OO$1,$S11:$HK11,csv!$L11:$HD11))</f>
        <v>0</v>
      </c>
      <c r="OP11" s="5">
        <f>IF(ISERROR(LOOKUP(OP$1,$S11:$HK11,csv!$L11:$HD11)),NA(),LOOKUP(OP$1,$S11:$HK11,csv!$L11:$HD11))</f>
        <v>0</v>
      </c>
      <c r="OQ11" s="5">
        <f>IF(ISERROR(LOOKUP(OQ$1,$S11:$HK11,csv!$L11:$HD11)),NA(),LOOKUP(OQ$1,$S11:$HK11,csv!$L11:$HD11))</f>
        <v>0</v>
      </c>
      <c r="OR11" s="5">
        <f>IF(ISERROR(LOOKUP(OR$1,$S11:$HK11,csv!$L11:$HD11)),NA(),LOOKUP(OR$1,$S11:$HK11,csv!$L11:$HD11))</f>
        <v>0</v>
      </c>
      <c r="OS11" s="5">
        <f>IF(ISERROR(LOOKUP(OS$1,$S11:$HK11,csv!$L11:$HD11)),NA(),LOOKUP(OS$1,$S11:$HK11,csv!$L11:$HD11))</f>
        <v>0</v>
      </c>
      <c r="OT11" s="5">
        <f>IF(ISERROR(LOOKUP(OT$1,$S11:$HK11,csv!$L11:$HD11)),NA(),LOOKUP(OT$1,$S11:$HK11,csv!$L11:$HD11))</f>
        <v>0</v>
      </c>
      <c r="OU11" s="5">
        <f>IF(ISERROR(LOOKUP(OU$1,$S11:$HK11,csv!$L11:$HD11)),NA(),LOOKUP(OU$1,$S11:$HK11,csv!$L11:$HD11))</f>
        <v>0</v>
      </c>
      <c r="OV11" s="5">
        <f>IF(ISERROR(LOOKUP(OV$1,$S11:$HK11,csv!$L11:$HD11)),NA(),LOOKUP(OV$1,$S11:$HK11,csv!$L11:$HD11))</f>
        <v>0</v>
      </c>
      <c r="OW11" s="5">
        <f>IF(ISERROR(LOOKUP(OW$1,$S11:$HK11,csv!$L11:$HD11)),NA(),LOOKUP(OW$1,$S11:$HK11,csv!$L11:$HD11))</f>
        <v>0</v>
      </c>
      <c r="OX11" s="5">
        <f>IF(ISERROR(LOOKUP(OX$1,$S11:$HK11,csv!$L11:$HD11)),NA(),LOOKUP(OX$1,$S11:$HK11,csv!$L11:$HD11))</f>
        <v>0</v>
      </c>
      <c r="OY11" s="5">
        <f>IF(ISERROR(LOOKUP(OY$1,$S11:$HK11,csv!$L11:$HD11)),NA(),LOOKUP(OY$1,$S11:$HK11,csv!$L11:$HD11))</f>
        <v>0</v>
      </c>
      <c r="OZ11" s="5">
        <f>IF(ISERROR(LOOKUP(OZ$1,$S11:$HK11,csv!$L11:$HD11)),NA(),LOOKUP(OZ$1,$S11:$HK11,csv!$L11:$HD11))</f>
        <v>0</v>
      </c>
      <c r="PA11" s="5">
        <f>IF(ISERROR(LOOKUP(PA$1,$S11:$HK11,csv!$L11:$HD11)),NA(),LOOKUP(PA$1,$S11:$HK11,csv!$L11:$HD11))</f>
        <v>0</v>
      </c>
      <c r="PB11" s="5">
        <f>IF(ISERROR(LOOKUP(PB$1,$S11:$HK11,csv!$L11:$HD11)),NA(),LOOKUP(PB$1,$S11:$HK11,csv!$L11:$HD11))</f>
        <v>0</v>
      </c>
      <c r="PC11" s="5">
        <f>IF(ISERROR(LOOKUP(PC$1,$S11:$HK11,csv!$L11:$HD11)),NA(),LOOKUP(PC$1,$S11:$HK11,csv!$L11:$HD11))</f>
        <v>0</v>
      </c>
      <c r="PD11" s="5">
        <f>IF(ISERROR(LOOKUP(PD$1,$S11:$HK11,csv!$L11:$HD11)),NA(),LOOKUP(PD$1,$S11:$HK11,csv!$L11:$HD11))</f>
        <v>0</v>
      </c>
      <c r="PE11" s="5">
        <f>IF(ISERROR(LOOKUP(PE$1,$S11:$HK11,csv!$L11:$HD11)),NA(),LOOKUP(PE$1,$S11:$HK11,csv!$L11:$HD11))</f>
        <v>0</v>
      </c>
      <c r="PF11" s="5">
        <f>IF(ISERROR(LOOKUP(PF$1,$S11:$HK11,csv!$L11:$HD11)),NA(),LOOKUP(PF$1,$S11:$HK11,csv!$L11:$HD11))</f>
        <v>0</v>
      </c>
      <c r="PG11" s="5">
        <f>IF(ISERROR(LOOKUP(PG$1,$S11:$HK11,csv!$L11:$HD11)),NA(),LOOKUP(PG$1,$S11:$HK11,csv!$L11:$HD11))</f>
        <v>0</v>
      </c>
      <c r="PH11" s="5">
        <f>IF(ISERROR(LOOKUP(PH$1,$S11:$HK11,csv!$L11:$HD11)),NA(),LOOKUP(PH$1,$S11:$HK11,csv!$L11:$HD11))</f>
        <v>0</v>
      </c>
      <c r="PI11" s="5">
        <f>IF(ISERROR(LOOKUP(PI$1,$S11:$HK11,csv!$L11:$HD11)),NA(),LOOKUP(PI$1,$S11:$HK11,csv!$L11:$HD11))</f>
        <v>0</v>
      </c>
      <c r="PJ11" s="5">
        <f>IF(ISERROR(LOOKUP(PJ$1,$S11:$HK11,csv!$L11:$HD11)),NA(),LOOKUP(PJ$1,$S11:$HK11,csv!$L11:$HD11))</f>
        <v>0</v>
      </c>
      <c r="PK11" s="5">
        <f>IF(ISERROR(LOOKUP(PK$1,$S11:$HK11,csv!$L11:$HD11)),NA(),LOOKUP(PK$1,$S11:$HK11,csv!$L11:$HD11))</f>
        <v>0</v>
      </c>
      <c r="PL11" s="5">
        <f>IF(ISERROR(LOOKUP(PL$1,$S11:$HK11,csv!$L11:$HD11)),NA(),LOOKUP(PL$1,$S11:$HK11,csv!$L11:$HD11))</f>
        <v>0</v>
      </c>
      <c r="PM11" s="5">
        <f>IF(ISERROR(LOOKUP(PM$1,$S11:$HK11,csv!$L11:$HD11)),NA(),LOOKUP(PM$1,$S11:$HK11,csv!$L11:$HD11))</f>
        <v>0</v>
      </c>
      <c r="PN11" s="5">
        <f>IF(ISERROR(LOOKUP(PN$1,$S11:$HK11,csv!$L11:$HD11)),NA(),LOOKUP(PN$1,$S11:$HK11,csv!$L11:$HD11))</f>
        <v>0</v>
      </c>
      <c r="PO11" s="5">
        <f>IF(ISERROR(LOOKUP(PO$1,$S11:$HK11,csv!$L11:$HD11)),NA(),LOOKUP(PO$1,$S11:$HK11,csv!$L11:$HD11))</f>
        <v>0</v>
      </c>
      <c r="PP11" s="5">
        <f>IF(ISERROR(LOOKUP(PP$1,$S11:$HK11,csv!$L11:$HD11)),NA(),LOOKUP(PP$1,$S11:$HK11,csv!$L11:$HD11))</f>
        <v>0</v>
      </c>
      <c r="PQ11" s="5">
        <f>IF(ISERROR(LOOKUP(PQ$1,$S11:$HK11,csv!$L11:$HD11)),NA(),LOOKUP(PQ$1,$S11:$HK11,csv!$L11:$HD11))</f>
        <v>0</v>
      </c>
      <c r="PR11" s="5">
        <f>IF(ISERROR(LOOKUP(PR$1,$S11:$HK11,csv!$L11:$HD11)),NA(),LOOKUP(PR$1,$S11:$HK11,csv!$L11:$HD11))</f>
        <v>0</v>
      </c>
      <c r="PS11" s="5">
        <f>IF(ISERROR(LOOKUP(PS$1,$S11:$HK11,csv!$L11:$HD11)),NA(),LOOKUP(PS$1,$S11:$HK11,csv!$L11:$HD11))</f>
        <v>0</v>
      </c>
      <c r="PT11" s="5">
        <f>IF(ISERROR(LOOKUP(PT$1,$S11:$HK11,csv!$L11:$HD11)),NA(),LOOKUP(PT$1,$S11:$HK11,csv!$L11:$HD11))</f>
        <v>0</v>
      </c>
      <c r="PU11" s="5">
        <f>IF(ISERROR(LOOKUP(PU$1,$S11:$HK11,csv!$L11:$HD11)),NA(),LOOKUP(PU$1,$S11:$HK11,csv!$L11:$HD11))</f>
        <v>0</v>
      </c>
      <c r="PV11" s="5">
        <f>IF(ISERROR(LOOKUP(PV$1,$S11:$HK11,csv!$L11:$HD11)),NA(),LOOKUP(PV$1,$S11:$HK11,csv!$L11:$HD11))</f>
        <v>0</v>
      </c>
      <c r="PW11" s="5">
        <f>IF(ISERROR(LOOKUP(PW$1,$S11:$HK11,csv!$L11:$HD11)),NA(),LOOKUP(PW$1,$S11:$HK11,csv!$L11:$HD11))</f>
        <v>0</v>
      </c>
      <c r="PX11" s="5">
        <f>IF(ISERROR(LOOKUP(PX$1,$S11:$HK11,csv!$L11:$HD11)),NA(),LOOKUP(PX$1,$S11:$HK11,csv!$L11:$HD11))</f>
        <v>0</v>
      </c>
      <c r="PY11" s="5">
        <f>IF(ISERROR(LOOKUP(PY$1,$S11:$HK11,csv!$L11:$HD11)),NA(),LOOKUP(PY$1,$S11:$HK11,csv!$L11:$HD11))</f>
        <v>0</v>
      </c>
      <c r="PZ11" s="5">
        <f>IF(ISERROR(LOOKUP(PZ$1,$S11:$HK11,csv!$L11:$HD11)),NA(),LOOKUP(PZ$1,$S11:$HK11,csv!$L11:$HD11))</f>
        <v>0</v>
      </c>
      <c r="QA11" s="5">
        <f>IF(ISERROR(LOOKUP(QA$1,$S11:$HK11,csv!$L11:$HD11)),NA(),LOOKUP(QA$1,$S11:$HK11,csv!$L11:$HD11))</f>
        <v>0</v>
      </c>
      <c r="QB11" s="5">
        <f>IF(ISERROR(LOOKUP(QB$1,$S11:$HK11,csv!$L11:$HD11)),NA(),LOOKUP(QB$1,$S11:$HK11,csv!$L11:$HD11))</f>
        <v>0</v>
      </c>
      <c r="QC11" s="5">
        <f>IF(ISERROR(LOOKUP(QC$1,$S11:$HK11,csv!$L11:$HD11)),NA(),LOOKUP(QC$1,$S11:$HK11,csv!$L11:$HD11))</f>
        <v>0</v>
      </c>
      <c r="QD11" s="5">
        <f>IF(ISERROR(LOOKUP(QD$1,$S11:$HK11,csv!$L11:$HD11)),NA(),LOOKUP(QD$1,$S11:$HK11,csv!$L11:$HD11))</f>
        <v>0</v>
      </c>
      <c r="QE11" s="5">
        <f>IF(ISERROR(LOOKUP(QE$1,$S11:$HK11,csv!$L11:$HD11)),NA(),LOOKUP(QE$1,$S11:$HK11,csv!$L11:$HD11))</f>
        <v>0</v>
      </c>
      <c r="QF11" s="5">
        <f>IF(ISERROR(LOOKUP(QF$1,$S11:$HK11,csv!$L11:$HD11)),NA(),LOOKUP(QF$1,$S11:$HK11,csv!$L11:$HD11))</f>
        <v>0</v>
      </c>
      <c r="QG11" s="5">
        <f>IF(ISERROR(LOOKUP(QG$1,$S11:$HK11,csv!$L11:$HD11)),NA(),LOOKUP(QG$1,$S11:$HK11,csv!$L11:$HD11))</f>
        <v>0</v>
      </c>
      <c r="QH11" s="5">
        <f>IF(ISERROR(LOOKUP(QH$1,$S11:$HK11,csv!$L11:$HD11)),NA(),LOOKUP(QH$1,$S11:$HK11,csv!$L11:$HD11))</f>
        <v>0</v>
      </c>
      <c r="QI11" s="5">
        <f>IF(ISERROR(LOOKUP(QI$1,$S11:$HK11,csv!$L11:$HD11)),NA(),LOOKUP(QI$1,$S11:$HK11,csv!$L11:$HD11))</f>
        <v>0</v>
      </c>
      <c r="QJ11" s="5">
        <f>IF(ISERROR(LOOKUP(QJ$1,$S11:$HK11,csv!$L11:$HD11)),NA(),LOOKUP(QJ$1,$S11:$HK11,csv!$L11:$HD11))</f>
        <v>0</v>
      </c>
      <c r="QK11" s="5">
        <f>IF(ISERROR(LOOKUP(QK$1,$S11:$HK11,csv!$L11:$HD11)),NA(),LOOKUP(QK$1,$S11:$HK11,csv!$L11:$HD11))</f>
        <v>0</v>
      </c>
      <c r="QL11" s="5">
        <f>IF(ISERROR(LOOKUP(QL$1,$S11:$HK11,csv!$L11:$HD11)),NA(),LOOKUP(QL$1,$S11:$HK11,csv!$L11:$HD11))</f>
        <v>0</v>
      </c>
      <c r="QM11" s="5">
        <f>IF(ISERROR(LOOKUP(QM$1,$S11:$HK11,csv!$L11:$HD11)),NA(),LOOKUP(QM$1,$S11:$HK11,csv!$L11:$HD11))</f>
        <v>0</v>
      </c>
      <c r="QN11" s="5">
        <f>IF(ISERROR(LOOKUP(QN$1,$S11:$HK11,csv!$L11:$HD11)),NA(),LOOKUP(QN$1,$S11:$HK11,csv!$L11:$HD11))</f>
        <v>0</v>
      </c>
      <c r="QO11" s="5">
        <f>IF(ISERROR(LOOKUP(QO$1,$S11:$HK11,csv!$L11:$HD11)),NA(),LOOKUP(QO$1,$S11:$HK11,csv!$L11:$HD11))</f>
        <v>0</v>
      </c>
      <c r="QP11" s="5">
        <f>IF(ISERROR(LOOKUP(QP$1,$S11:$HK11,csv!$L11:$HD11)),NA(),LOOKUP(QP$1,$S11:$HK11,csv!$L11:$HD11))</f>
        <v>0</v>
      </c>
      <c r="QQ11" s="5">
        <f>IF(ISERROR(LOOKUP(QQ$1,$S11:$HK11,csv!$L11:$HD11)),NA(),LOOKUP(QQ$1,$S11:$HK11,csv!$L11:$HD11))</f>
        <v>0</v>
      </c>
      <c r="QR11" s="5">
        <f>IF(ISERROR(LOOKUP(QR$1,$S11:$HK11,csv!$L11:$HD11)),NA(),LOOKUP(QR$1,$S11:$HK11,csv!$L11:$HD11))</f>
        <v>0</v>
      </c>
      <c r="QS11" s="5">
        <f>IF(ISERROR(LOOKUP(QS$1,$S11:$HK11,csv!$L11:$HD11)),NA(),LOOKUP(QS$1,$S11:$HK11,csv!$L11:$HD11))</f>
        <v>0</v>
      </c>
      <c r="QT11" s="5">
        <f>IF(ISERROR(LOOKUP(QT$1,$S11:$HK11,csv!$L11:$HD11)),NA(),LOOKUP(QT$1,$S11:$HK11,csv!$L11:$HD11))</f>
        <v>0</v>
      </c>
      <c r="QU11" s="5">
        <f>IF(ISERROR(LOOKUP(QU$1,$S11:$HK11,csv!$L11:$HD11)),NA(),LOOKUP(QU$1,$S11:$HK11,csv!$L11:$HD11))</f>
        <v>0</v>
      </c>
      <c r="QV11" s="5">
        <f>IF(ISERROR(LOOKUP(QV$1,$S11:$HK11,csv!$L11:$HD11)),NA(),LOOKUP(QV$1,$S11:$HK11,csv!$L11:$HD11))</f>
        <v>0</v>
      </c>
      <c r="QW11" s="5">
        <f>IF(ISERROR(LOOKUP(QW$1,$S11:$HK11,csv!$L11:$HD11)),NA(),LOOKUP(QW$1,$S11:$HK11,csv!$L11:$HD11))</f>
        <v>0</v>
      </c>
      <c r="QX11" s="5">
        <f>IF(ISERROR(LOOKUP(QX$1,$S11:$HK11,csv!$L11:$HD11)),NA(),LOOKUP(QX$1,$S11:$HK11,csv!$L11:$HD11))</f>
        <v>0</v>
      </c>
      <c r="QY11" s="5">
        <f>IF(ISERROR(LOOKUP(QY$1,$S11:$HK11,csv!$L11:$HD11)),NA(),LOOKUP(QY$1,$S11:$HK11,csv!$L11:$HD11))</f>
        <v>0</v>
      </c>
      <c r="QZ11" s="5">
        <f>IF(ISERROR(LOOKUP(QZ$1,$S11:$HK11,csv!$L11:$HD11)),NA(),LOOKUP(QZ$1,$S11:$HK11,csv!$L11:$HD11))</f>
        <v>0</v>
      </c>
      <c r="RA11" s="5">
        <f>IF(ISERROR(LOOKUP(RA$1,$S11:$HK11,csv!$L11:$HD11)),NA(),LOOKUP(RA$1,$S11:$HK11,csv!$L11:$HD11))</f>
        <v>0</v>
      </c>
      <c r="RB11" s="5">
        <f>IF(ISERROR(LOOKUP(RB$1,$S11:$HK11,csv!$L11:$HD11)),NA(),LOOKUP(RB$1,$S11:$HK11,csv!$L11:$HD11))</f>
        <v>0</v>
      </c>
      <c r="RC11" s="5">
        <f>IF(ISERROR(LOOKUP(RC$1,$S11:$HK11,csv!$L11:$HD11)),NA(),LOOKUP(RC$1,$S11:$HK11,csv!$L11:$HD11))</f>
        <v>0</v>
      </c>
      <c r="RD11" s="5">
        <f>IF(ISERROR(LOOKUP(RD$1,$S11:$HK11,csv!$L11:$HD11)),NA(),LOOKUP(RD$1,$S11:$HK11,csv!$L11:$HD11))</f>
        <v>0</v>
      </c>
      <c r="RE11" s="5">
        <f>IF(ISERROR(LOOKUP(RE$1,$S11:$HK11,csv!$L11:$HD11)),NA(),LOOKUP(RE$1,$S11:$HK11,csv!$L11:$HD11))</f>
        <v>0</v>
      </c>
      <c r="RF11" s="5">
        <f>IF(ISERROR(LOOKUP(RF$1,$S11:$HK11,csv!$L11:$HD11)),NA(),LOOKUP(RF$1,$S11:$HK11,csv!$L11:$HD11))</f>
        <v>0</v>
      </c>
      <c r="RG11" s="5">
        <f>IF(ISERROR(LOOKUP(RG$1,$S11:$HK11,csv!$L11:$HD11)),NA(),LOOKUP(RG$1,$S11:$HK11,csv!$L11:$HD11))</f>
        <v>0</v>
      </c>
      <c r="RH11" s="5">
        <f>IF(ISERROR(LOOKUP(RH$1,$S11:$HK11,csv!$L11:$HD11)),NA(),LOOKUP(RH$1,$S11:$HK11,csv!$L11:$HD11))</f>
        <v>0</v>
      </c>
      <c r="RI11" s="5">
        <f>IF(ISERROR(LOOKUP(RI$1,$S11:$HK11,csv!$L11:$HD11)),NA(),LOOKUP(RI$1,$S11:$HK11,csv!$L11:$HD11))</f>
        <v>0</v>
      </c>
      <c r="RJ11" s="5">
        <f>IF(ISERROR(LOOKUP(RJ$1,$S11:$HK11,csv!$L11:$HD11)),NA(),LOOKUP(RJ$1,$S11:$HK11,csv!$L11:$HD11))</f>
        <v>0</v>
      </c>
      <c r="RK11" s="5">
        <f>IF(ISERROR(LOOKUP(RK$1,$S11:$HK11,csv!$L11:$HD11)),NA(),LOOKUP(RK$1,$S11:$HK11,csv!$L11:$HD11))</f>
        <v>0</v>
      </c>
      <c r="RL11" s="5">
        <f>IF(ISERROR(LOOKUP(RL$1,$S11:$HK11,csv!$L11:$HD11)),NA(),LOOKUP(RL$1,$S11:$HK11,csv!$L11:$HD11))</f>
        <v>0</v>
      </c>
      <c r="RM11" s="5">
        <f>IF(ISERROR(LOOKUP(RM$1,$S11:$HK11,csv!$L11:$HD11)),NA(),LOOKUP(RM$1,$S11:$HK11,csv!$L11:$HD11))</f>
        <v>0</v>
      </c>
      <c r="RN11" s="5">
        <f>IF(ISERROR(LOOKUP(RN$1,$S11:$HK11,csv!$L11:$HD11)),NA(),LOOKUP(RN$1,$S11:$HK11,csv!$L11:$HD11))</f>
        <v>0</v>
      </c>
      <c r="RO11" s="5">
        <f>IF(ISERROR(LOOKUP(RO$1,$S11:$HK11,csv!$L11:$HD11)),NA(),LOOKUP(RO$1,$S11:$HK11,csv!$L11:$HD11))</f>
        <v>0</v>
      </c>
      <c r="RP11" s="5">
        <f>IF(ISERROR(LOOKUP(RP$1,$S11:$HK11,csv!$L11:$HD11)),NA(),LOOKUP(RP$1,$S11:$HK11,csv!$L11:$HD11))</f>
        <v>0</v>
      </c>
      <c r="RQ11" s="5">
        <f>IF(ISERROR(LOOKUP(RQ$1,$S11:$HK11,csv!$L11:$HD11)),NA(),LOOKUP(RQ$1,$S11:$HK11,csv!$L11:$HD11))</f>
        <v>0</v>
      </c>
      <c r="RR11" s="5">
        <f>IF(ISERROR(LOOKUP(RR$1,$S11:$HK11,csv!$L11:$HD11)),NA(),LOOKUP(RR$1,$S11:$HK11,csv!$L11:$HD11))</f>
        <v>0</v>
      </c>
      <c r="RS11" s="5">
        <f>IF(ISERROR(LOOKUP(RS$1,$S11:$HK11,csv!$L11:$HD11)),NA(),LOOKUP(RS$1,$S11:$HK11,csv!$L11:$HD11))</f>
        <v>0</v>
      </c>
      <c r="RT11" s="5">
        <f>IF(ISERROR(LOOKUP(RT$1,$S11:$HK11,csv!$L11:$HD11)),NA(),LOOKUP(RT$1,$S11:$HK11,csv!$L11:$HD11))</f>
        <v>0</v>
      </c>
      <c r="RU11" s="5">
        <f>IF(ISERROR(LOOKUP(RU$1,$S11:$HK11,csv!$L11:$HD11)),NA(),LOOKUP(RU$1,$S11:$HK11,csv!$L11:$HD11))</f>
        <v>0</v>
      </c>
      <c r="RV11" s="5">
        <f>IF(ISERROR(LOOKUP(RV$1,$S11:$HK11,csv!$L11:$HD11)),NA(),LOOKUP(RV$1,$S11:$HK11,csv!$L11:$HD11))</f>
        <v>0</v>
      </c>
      <c r="RW11" s="5">
        <f>IF(ISERROR(LOOKUP(RW$1,$S11:$HK11,csv!$L11:$HD11)),NA(),LOOKUP(RW$1,$S11:$HK11,csv!$L11:$HD11))</f>
        <v>0</v>
      </c>
      <c r="RX11" s="5">
        <f>IF(ISERROR(LOOKUP(RX$1,$S11:$HK11,csv!$L11:$HD11)),NA(),LOOKUP(RX$1,$S11:$HK11,csv!$L11:$HD11))</f>
        <v>0</v>
      </c>
      <c r="RY11" s="5">
        <f>IF(ISERROR(LOOKUP(RY$1,$S11:$HK11,csv!$L11:$HD11)),NA(),LOOKUP(RY$1,$S11:$HK11,csv!$L11:$HD11))</f>
        <v>0</v>
      </c>
      <c r="RZ11" s="5">
        <f>IF(ISERROR(LOOKUP(RZ$1,$S11:$HK11,csv!$L11:$HD11)),NA(),LOOKUP(RZ$1,$S11:$HK11,csv!$L11:$HD11))</f>
        <v>0</v>
      </c>
      <c r="SA11" s="5">
        <f>IF(ISERROR(LOOKUP(SA$1,$S11:$HK11,csv!$L11:$HD11)),NA(),LOOKUP(SA$1,$S11:$HK11,csv!$L11:$HD11))</f>
        <v>0</v>
      </c>
      <c r="SB11" s="5">
        <f>IF(ISERROR(LOOKUP(SB$1,$S11:$HK11,csv!$L11:$HD11)),NA(),LOOKUP(SB$1,$S11:$HK11,csv!$L11:$HD11))</f>
        <v>0</v>
      </c>
      <c r="SC11" s="5">
        <f>IF(ISERROR(LOOKUP(SC$1,$S11:$HK11,csv!$L11:$HD11)),NA(),LOOKUP(SC$1,$S11:$HK11,csv!$L11:$HD11))</f>
        <v>0</v>
      </c>
      <c r="SD11" s="5">
        <f>IF(ISERROR(LOOKUP(SD$1,$S11:$HK11,csv!$L11:$HD11)),NA(),LOOKUP(SD$1,$S11:$HK11,csv!$L11:$HD11))</f>
        <v>0</v>
      </c>
      <c r="SE11" s="5">
        <f>IF(ISERROR(LOOKUP(SE$1,$S11:$HK11,csv!$L11:$HD11)),NA(),LOOKUP(SE$1,$S11:$HK11,csv!$L11:$HD11))</f>
        <v>0</v>
      </c>
      <c r="SF11" s="5">
        <f>IF(ISERROR(LOOKUP(SF$1,$S11:$HK11,csv!$L11:$HD11)),NA(),LOOKUP(SF$1,$S11:$HK11,csv!$L11:$HD11))</f>
        <v>0</v>
      </c>
      <c r="SG11" s="5">
        <f>IF(ISERROR(LOOKUP(SG$1,$S11:$HK11,csv!$L11:$HD11)),NA(),LOOKUP(SG$1,$S11:$HK11,csv!$L11:$HD11))</f>
        <v>0</v>
      </c>
      <c r="SH11" s="5">
        <f>IF(ISERROR(LOOKUP(SH$1,$S11:$HK11,csv!$L11:$HD11)),NA(),LOOKUP(SH$1,$S11:$HK11,csv!$L11:$HD11))</f>
        <v>0</v>
      </c>
      <c r="SI11" s="5">
        <f>IF(ISERROR(LOOKUP(SI$1,$S11:$HK11,csv!$L11:$HD11)),NA(),LOOKUP(SI$1,$S11:$HK11,csv!$L11:$HD11))</f>
        <v>0</v>
      </c>
      <c r="SJ11" s="5">
        <f>IF(ISERROR(LOOKUP(SJ$1,$S11:$HK11,csv!$L11:$HD11)),NA(),LOOKUP(SJ$1,$S11:$HK11,csv!$L11:$HD11))</f>
        <v>0</v>
      </c>
      <c r="SK11" s="5">
        <f>IF(ISERROR(LOOKUP(SK$1,$S11:$HK11,csv!$L11:$HD11)),NA(),LOOKUP(SK$1,$S11:$HK11,csv!$L11:$HD11))</f>
        <v>0</v>
      </c>
      <c r="SL11" s="5">
        <f>IF(ISERROR(LOOKUP(SL$1,$S11:$HK11,csv!$L11:$HD11)),NA(),LOOKUP(SL$1,$S11:$HK11,csv!$L11:$HD11))</f>
        <v>0</v>
      </c>
      <c r="SM11" s="5">
        <f>IF(ISERROR(LOOKUP(SM$1,$S11:$HK11,csv!$L11:$HD11)),NA(),LOOKUP(SM$1,$S11:$HK11,csv!$L11:$HD11))</f>
        <v>0</v>
      </c>
      <c r="SN11" s="5">
        <f>IF(ISERROR(LOOKUP(SN$1,$S11:$HK11,csv!$L11:$HD11)),NA(),LOOKUP(SN$1,$S11:$HK11,csv!$L11:$HD11))</f>
        <v>0</v>
      </c>
      <c r="SO11" s="5">
        <f>IF(ISERROR(LOOKUP(SO$1,$S11:$HK11,csv!$L11:$HD11)),NA(),LOOKUP(SO$1,$S11:$HK11,csv!$L11:$HD11))</f>
        <v>0</v>
      </c>
      <c r="SP11" s="5">
        <f>IF(ISERROR(LOOKUP(SP$1,$S11:$HK11,csv!$L11:$HD11)),NA(),LOOKUP(SP$1,$S11:$HK11,csv!$L11:$HD11))</f>
        <v>0</v>
      </c>
      <c r="SQ11" s="5">
        <f>IF(ISERROR(LOOKUP(SQ$1,$S11:$HK11,csv!$L11:$HD11)),NA(),LOOKUP(SQ$1,$S11:$HK11,csv!$L11:$HD11))</f>
        <v>0</v>
      </c>
      <c r="SR11" s="5">
        <f>IF(ISERROR(LOOKUP(SR$1,$S11:$HK11,csv!$L11:$HD11)),NA(),LOOKUP(SR$1,$S11:$HK11,csv!$L11:$HD11))</f>
        <v>0</v>
      </c>
      <c r="SS11" s="5">
        <f>IF(ISERROR(LOOKUP(SS$1,$S11:$HK11,csv!$L11:$HD11)),NA(),LOOKUP(SS$1,$S11:$HK11,csv!$L11:$HD11))</f>
        <v>0</v>
      </c>
      <c r="ST11" s="5">
        <f>IF(ISERROR(LOOKUP(ST$1,$S11:$HK11,csv!$L11:$HD11)),NA(),LOOKUP(ST$1,$S11:$HK11,csv!$L11:$HD11))</f>
        <v>0</v>
      </c>
      <c r="SU11" s="5">
        <f>IF(ISERROR(LOOKUP(SU$1,$S11:$HK11,csv!$L11:$HD11)),NA(),LOOKUP(SU$1,$S11:$HK11,csv!$L11:$HD11))</f>
        <v>0</v>
      </c>
      <c r="SV11" s="5">
        <f>IF(ISERROR(LOOKUP(SV$1,$S11:$HK11,csv!$L11:$HD11)),NA(),LOOKUP(SV$1,$S11:$HK11,csv!$L11:$HD11))</f>
        <v>0</v>
      </c>
      <c r="SW11" s="5">
        <f>IF(ISERROR(LOOKUP(SW$1,$S11:$HK11,csv!$L11:$HD11)),NA(),LOOKUP(SW$1,$S11:$HK11,csv!$L11:$HD11))</f>
        <v>0</v>
      </c>
      <c r="SX11" s="5">
        <f>IF(ISERROR(LOOKUP(SX$1,$S11:$HK11,csv!$L11:$HD11)),NA(),LOOKUP(SX$1,$S11:$HK11,csv!$L11:$HD11))</f>
        <v>0</v>
      </c>
      <c r="SY11" s="5">
        <f>IF(ISERROR(LOOKUP(SY$1,$S11:$HK11,csv!$L11:$HD11)),NA(),LOOKUP(SY$1,$S11:$HK11,csv!$L11:$HD11))</f>
        <v>0</v>
      </c>
      <c r="SZ11" s="5">
        <f>IF(ISERROR(LOOKUP(SZ$1,$S11:$HK11,csv!$L11:$HD11)),NA(),LOOKUP(SZ$1,$S11:$HK11,csv!$L11:$HD11))</f>
        <v>0</v>
      </c>
      <c r="TA11" s="5">
        <f>IF(ISERROR(LOOKUP(TA$1,$S11:$HK11,csv!$L11:$HD11)),NA(),LOOKUP(TA$1,$S11:$HK11,csv!$L11:$HD11))</f>
        <v>0</v>
      </c>
      <c r="TB11" s="5">
        <f>IF(ISERROR(LOOKUP(TB$1,$S11:$HK11,csv!$L11:$HD11)),NA(),LOOKUP(TB$1,$S11:$HK11,csv!$L11:$HD11))</f>
        <v>0</v>
      </c>
      <c r="TD11">
        <f>csv!HG11/10</f>
        <v>0</v>
      </c>
    </row>
    <row r="12" spans="1:524" x14ac:dyDescent="0.15">
      <c r="C12" s="32" t="str">
        <f>TEXT(csv!B12&amp;"/"&amp;csv!C12&amp;"-"&amp;csv!E12&amp;"/"&amp;csv!F12,"mm/dd")</f>
        <v>/-/</v>
      </c>
      <c r="D12">
        <f>csv!A12*10000+csv!B12*100+csv!C12</f>
        <v>0</v>
      </c>
      <c r="E12">
        <f>(IF(csv!HG12&lt;-1000,NA(),csv!HG12)+csv!K12)/10</f>
        <v>0</v>
      </c>
      <c r="F12">
        <f>(IF(csv!HG25&lt;-1000,NA(),csv!HG25)+csv!K25)/10</f>
        <v>0</v>
      </c>
      <c r="G12">
        <f>(IF(csv!HG38&lt;-1000,NA(),csv!HG38)+csv!K38)/10</f>
        <v>0</v>
      </c>
      <c r="H12">
        <f>IF(csv!HG12&lt;-1000,NA(),csv!HG12/10)</f>
        <v>0</v>
      </c>
      <c r="I12">
        <f>IF(csv!HG25&lt;-1000,NA(),csv!HG25/10)</f>
        <v>0</v>
      </c>
      <c r="J12">
        <f>IF(csv!HG38&lt;-1000,NA(),csv!HG38/10)</f>
        <v>0</v>
      </c>
      <c r="K12">
        <f>IF(csv!HF12&lt;-1000,NA(),csv!HF12/10)</f>
        <v>0</v>
      </c>
      <c r="L12">
        <f>IF(csv!HF25&lt;-1000,NA(),csv!HF25/10)</f>
        <v>0</v>
      </c>
      <c r="M12">
        <f>IF(csv!HF38&lt;-1000,NA(),csv!HF38/10)</f>
        <v>0</v>
      </c>
      <c r="N12">
        <f>IF(csv!HE12&lt;-1000,NA(),csv!HE12/10)</f>
        <v>0</v>
      </c>
      <c r="O12">
        <f>IF(csv!HE25&lt;-1000,NA(),csv!HE25/10)</f>
        <v>0</v>
      </c>
      <c r="P12">
        <f>IF(csv!HE38&lt;-1000,NA(),csv!HE38/10)</f>
        <v>0</v>
      </c>
      <c r="S12" s="4">
        <f>ROUND((csv!$HG12/10+calc!S$1),1)</f>
        <v>-10</v>
      </c>
      <c r="T12" s="4">
        <f>ROUND((csv!$HG12/10+calc!T$1),1)</f>
        <v>-9.9</v>
      </c>
      <c r="U12" s="4">
        <f>ROUND((csv!$HG12/10+calc!U$1),1)</f>
        <v>-9.8000000000000007</v>
      </c>
      <c r="V12" s="4">
        <f>ROUND((csv!$HG12/10+calc!V$1),1)</f>
        <v>-9.6999999999999993</v>
      </c>
      <c r="W12" s="4">
        <f>ROUND((csv!$HG12/10+calc!W$1),1)</f>
        <v>-9.6</v>
      </c>
      <c r="X12" s="4">
        <f>ROUND((csv!$HG12/10+calc!X$1),1)</f>
        <v>-9.5</v>
      </c>
      <c r="Y12" s="4">
        <f>ROUND((csv!$HG12/10+calc!Y$1),1)</f>
        <v>-9.4</v>
      </c>
      <c r="Z12" s="4">
        <f>ROUND((csv!$HG12/10+calc!Z$1),1)</f>
        <v>-9.3000000000000007</v>
      </c>
      <c r="AA12" s="4">
        <f>ROUND((csv!$HG12/10+calc!AA$1),1)</f>
        <v>-9.1999999999999993</v>
      </c>
      <c r="AB12" s="4">
        <f>ROUND((csv!$HG12/10+calc!AB$1),1)</f>
        <v>-9.1</v>
      </c>
      <c r="AC12" s="4">
        <f>ROUND((csv!$HG12/10+calc!AC$1),1)</f>
        <v>-9</v>
      </c>
      <c r="AD12" s="4">
        <f>ROUND((csv!$HG12/10+calc!AD$1),1)</f>
        <v>-8.9</v>
      </c>
      <c r="AE12" s="4">
        <f>ROUND((csv!$HG12/10+calc!AE$1),1)</f>
        <v>-8.8000000000000007</v>
      </c>
      <c r="AF12" s="4">
        <f>ROUND((csv!$HG12/10+calc!AF$1),1)</f>
        <v>-8.6999999999999993</v>
      </c>
      <c r="AG12" s="4">
        <f>ROUND((csv!$HG12/10+calc!AG$1),1)</f>
        <v>-8.6</v>
      </c>
      <c r="AH12" s="4">
        <f>ROUND((csv!$HG12/10+calc!AH$1),1)</f>
        <v>-8.5</v>
      </c>
      <c r="AI12" s="4">
        <f>ROUND((csv!$HG12/10+calc!AI$1),1)</f>
        <v>-8.4</v>
      </c>
      <c r="AJ12" s="4">
        <f>ROUND((csv!$HG12/10+calc!AJ$1),1)</f>
        <v>-8.3000000000000007</v>
      </c>
      <c r="AK12" s="4">
        <f>ROUND((csv!$HG12/10+calc!AK$1),1)</f>
        <v>-8.1999999999999993</v>
      </c>
      <c r="AL12" s="4">
        <f>ROUND((csv!$HG12/10+calc!AL$1),1)</f>
        <v>-8.1</v>
      </c>
      <c r="AM12" s="4">
        <f>ROUND((csv!$HG12/10+calc!AM$1),1)</f>
        <v>-8</v>
      </c>
      <c r="AN12" s="4">
        <f>ROUND((csv!$HG12/10+calc!AN$1),1)</f>
        <v>-7.9</v>
      </c>
      <c r="AO12" s="4">
        <f>ROUND((csv!$HG12/10+calc!AO$1),1)</f>
        <v>-7.8</v>
      </c>
      <c r="AP12" s="4">
        <f>ROUND((csv!$HG12/10+calc!AP$1),1)</f>
        <v>-7.7</v>
      </c>
      <c r="AQ12" s="4">
        <f>ROUND((csv!$HG12/10+calc!AQ$1),1)</f>
        <v>-7.6</v>
      </c>
      <c r="AR12" s="4">
        <f>ROUND((csv!$HG12/10+calc!AR$1),1)</f>
        <v>-7.5</v>
      </c>
      <c r="AS12" s="4">
        <f>ROUND((csv!$HG12/10+calc!AS$1),1)</f>
        <v>-7.4</v>
      </c>
      <c r="AT12" s="4">
        <f>ROUND((csv!$HG12/10+calc!AT$1),1)</f>
        <v>-7.3</v>
      </c>
      <c r="AU12" s="4">
        <f>ROUND((csv!$HG12/10+calc!AU$1),1)</f>
        <v>-7.2</v>
      </c>
      <c r="AV12" s="4">
        <f>ROUND((csv!$HG12/10+calc!AV$1),1)</f>
        <v>-7.1</v>
      </c>
      <c r="AW12" s="4">
        <f>ROUND((csv!$HG12/10+calc!AW$1),1)</f>
        <v>-7</v>
      </c>
      <c r="AX12" s="4">
        <f>ROUND((csv!$HG12/10+calc!AX$1),1)</f>
        <v>-6.9</v>
      </c>
      <c r="AY12" s="4">
        <f>ROUND((csv!$HG12/10+calc!AY$1),1)</f>
        <v>-6.8</v>
      </c>
      <c r="AZ12" s="4">
        <f>ROUND((csv!$HG12/10+calc!AZ$1),1)</f>
        <v>-6.7</v>
      </c>
      <c r="BA12" s="4">
        <f>ROUND((csv!$HG12/10+calc!BA$1),1)</f>
        <v>-6.6</v>
      </c>
      <c r="BB12" s="4">
        <f>ROUND((csv!$HG12/10+calc!BB$1),1)</f>
        <v>-6.5</v>
      </c>
      <c r="BC12" s="4">
        <f>ROUND((csv!$HG12/10+calc!BC$1),1)</f>
        <v>-6.4</v>
      </c>
      <c r="BD12" s="4">
        <f>ROUND((csv!$HG12/10+calc!BD$1),1)</f>
        <v>-6.3</v>
      </c>
      <c r="BE12" s="4">
        <f>ROUND((csv!$HG12/10+calc!BE$1),1)</f>
        <v>-6.2</v>
      </c>
      <c r="BF12" s="4">
        <f>ROUND((csv!$HG12/10+calc!BF$1),1)</f>
        <v>-6.1</v>
      </c>
      <c r="BG12" s="4">
        <f>ROUND((csv!$HG12/10+calc!BG$1),1)</f>
        <v>-6</v>
      </c>
      <c r="BH12" s="4">
        <f>ROUND((csv!$HG12/10+calc!BH$1),1)</f>
        <v>-5.9</v>
      </c>
      <c r="BI12" s="4">
        <f>ROUND((csv!$HG12/10+calc!BI$1),1)</f>
        <v>-5.8</v>
      </c>
      <c r="BJ12" s="4">
        <f>ROUND((csv!$HG12/10+calc!BJ$1),1)</f>
        <v>-5.7</v>
      </c>
      <c r="BK12" s="4">
        <f>ROUND((csv!$HG12/10+calc!BK$1),1)</f>
        <v>-5.6</v>
      </c>
      <c r="BL12" s="4">
        <f>ROUND((csv!$HG12/10+calc!BL$1),1)</f>
        <v>-5.5</v>
      </c>
      <c r="BM12" s="4">
        <f>ROUND((csv!$HG12/10+calc!BM$1),1)</f>
        <v>-5.4</v>
      </c>
      <c r="BN12" s="4">
        <f>ROUND((csv!$HG12/10+calc!BN$1),1)</f>
        <v>-5.3</v>
      </c>
      <c r="BO12" s="4">
        <f>ROUND((csv!$HG12/10+calc!BO$1),1)</f>
        <v>-5.2</v>
      </c>
      <c r="BP12" s="4">
        <f>ROUND((csv!$HG12/10+calc!BP$1),1)</f>
        <v>-5.0999999999999996</v>
      </c>
      <c r="BQ12" s="4">
        <f>ROUND((csv!$HG12/10+calc!BQ$1),1)</f>
        <v>-5</v>
      </c>
      <c r="BR12" s="4">
        <f>ROUND((csv!$HG12/10+calc!BR$1),1)</f>
        <v>-4.9000000000000004</v>
      </c>
      <c r="BS12" s="4">
        <f>ROUND((csv!$HG12/10+calc!BS$1),1)</f>
        <v>-4.8</v>
      </c>
      <c r="BT12" s="4">
        <f>ROUND((csv!$HG12/10+calc!BT$1),1)</f>
        <v>-4.7</v>
      </c>
      <c r="BU12" s="4">
        <f>ROUND((csv!$HG12/10+calc!BU$1),1)</f>
        <v>-4.5999999999999996</v>
      </c>
      <c r="BV12" s="4">
        <f>ROUND((csv!$HG12/10+calc!BV$1),1)</f>
        <v>-4.5</v>
      </c>
      <c r="BW12" s="4">
        <f>ROUND((csv!$HG12/10+calc!BW$1),1)</f>
        <v>-4.4000000000000004</v>
      </c>
      <c r="BX12" s="4">
        <f>ROUND((csv!$HG12/10+calc!BX$1),1)</f>
        <v>-4.3</v>
      </c>
      <c r="BY12" s="4">
        <f>ROUND((csv!$HG12/10+calc!BY$1),1)</f>
        <v>-4.2</v>
      </c>
      <c r="BZ12" s="4">
        <f>ROUND((csv!$HG12/10+calc!BZ$1),1)</f>
        <v>-4.0999999999999996</v>
      </c>
      <c r="CA12" s="4">
        <f>ROUND((csv!$HG12/10+calc!CA$1),1)</f>
        <v>-4</v>
      </c>
      <c r="CB12" s="4">
        <f>ROUND((csv!$HG12/10+calc!CB$1),1)</f>
        <v>-3.9</v>
      </c>
      <c r="CC12" s="4">
        <f>ROUND((csv!$HG12/10+calc!CC$1),1)</f>
        <v>-3.8</v>
      </c>
      <c r="CD12" s="4">
        <f>ROUND((csv!$HG12/10+calc!CD$1),1)</f>
        <v>-3.7</v>
      </c>
      <c r="CE12" s="4">
        <f>ROUND((csv!$HG12/10+calc!CE$1),1)</f>
        <v>-3.6</v>
      </c>
      <c r="CF12" s="4">
        <f>ROUND((csv!$HG12/10+calc!CF$1),1)</f>
        <v>-3.5</v>
      </c>
      <c r="CG12" s="4">
        <f>ROUND((csv!$HG12/10+calc!CG$1),1)</f>
        <v>-3.4</v>
      </c>
      <c r="CH12" s="4">
        <f>ROUND((csv!$HG12/10+calc!CH$1),1)</f>
        <v>-3.3</v>
      </c>
      <c r="CI12" s="4">
        <f>ROUND((csv!$HG12/10+calc!CI$1),1)</f>
        <v>-3.2</v>
      </c>
      <c r="CJ12" s="4">
        <f>ROUND((csv!$HG12/10+calc!CJ$1),1)</f>
        <v>-3.1</v>
      </c>
      <c r="CK12" s="4">
        <f>ROUND((csv!$HG12/10+calc!CK$1),1)</f>
        <v>-3</v>
      </c>
      <c r="CL12" s="4">
        <f>ROUND((csv!$HG12/10+calc!CL$1),1)</f>
        <v>-2.9</v>
      </c>
      <c r="CM12" s="4">
        <f>ROUND((csv!$HG12/10+calc!CM$1),1)</f>
        <v>-2.8</v>
      </c>
      <c r="CN12" s="4">
        <f>ROUND((csv!$HG12/10+calc!CN$1),1)</f>
        <v>-2.7</v>
      </c>
      <c r="CO12" s="4">
        <f>ROUND((csv!$HG12/10+calc!CO$1),1)</f>
        <v>-2.6</v>
      </c>
      <c r="CP12" s="4">
        <f>ROUND((csv!$HG12/10+calc!CP$1),1)</f>
        <v>-2.5</v>
      </c>
      <c r="CQ12" s="4">
        <f>ROUND((csv!$HG12/10+calc!CQ$1),1)</f>
        <v>-2.4</v>
      </c>
      <c r="CR12" s="4">
        <f>ROUND((csv!$HG12/10+calc!CR$1),1)</f>
        <v>-2.2999999999999998</v>
      </c>
      <c r="CS12" s="4">
        <f>ROUND((csv!$HG12/10+calc!CS$1),1)</f>
        <v>-2.2000000000000002</v>
      </c>
      <c r="CT12" s="4">
        <f>ROUND((csv!$HG12/10+calc!CT$1),1)</f>
        <v>-2.1</v>
      </c>
      <c r="CU12" s="4">
        <f>ROUND((csv!$HG12/10+calc!CU$1),1)</f>
        <v>-2</v>
      </c>
      <c r="CV12" s="4">
        <f>ROUND((csv!$HG12/10+calc!CV$1),1)</f>
        <v>-1.9</v>
      </c>
      <c r="CW12" s="4">
        <f>ROUND((csv!$HG12/10+calc!CW$1),1)</f>
        <v>-1.8</v>
      </c>
      <c r="CX12" s="4">
        <f>ROUND((csv!$HG12/10+calc!CX$1),1)</f>
        <v>-1.7</v>
      </c>
      <c r="CY12" s="4">
        <f>ROUND((csv!$HG12/10+calc!CY$1),1)</f>
        <v>-1.6</v>
      </c>
      <c r="CZ12" s="4">
        <f>ROUND((csv!$HG12/10+calc!CZ$1),1)</f>
        <v>-1.5</v>
      </c>
      <c r="DA12" s="4">
        <f>ROUND((csv!$HG12/10+calc!DA$1),1)</f>
        <v>-1.4</v>
      </c>
      <c r="DB12" s="4">
        <f>ROUND((csv!$HG12/10+calc!DB$1),1)</f>
        <v>-1.3</v>
      </c>
      <c r="DC12" s="4">
        <f>ROUND((csv!$HG12/10+calc!DC$1),1)</f>
        <v>-1.2</v>
      </c>
      <c r="DD12" s="4">
        <f>ROUND((csv!$HG12/10+calc!DD$1),1)</f>
        <v>-1.1000000000000001</v>
      </c>
      <c r="DE12" s="4">
        <f>ROUND((csv!$HG12/10+calc!DE$1),1)</f>
        <v>-1</v>
      </c>
      <c r="DF12" s="4">
        <f>ROUND((csv!$HG12/10+calc!DF$1),1)</f>
        <v>-0.9</v>
      </c>
      <c r="DG12" s="4">
        <f>ROUND((csv!$HG12/10+calc!DG$1),1)</f>
        <v>-0.8</v>
      </c>
      <c r="DH12" s="4">
        <f>ROUND((csv!$HG12/10+calc!DH$1),1)</f>
        <v>-0.7</v>
      </c>
      <c r="DI12" s="4">
        <f>ROUND((csv!$HG12/10+calc!DI$1),1)</f>
        <v>-0.6</v>
      </c>
      <c r="DJ12" s="4">
        <f>ROUND((csv!$HG12/10+calc!DJ$1),1)</f>
        <v>-0.5</v>
      </c>
      <c r="DK12" s="4">
        <f>ROUND((csv!$HG12/10+calc!DK$1),1)</f>
        <v>-0.4</v>
      </c>
      <c r="DL12" s="4">
        <f>ROUND((csv!$HG12/10+calc!DL$1),1)</f>
        <v>-0.3</v>
      </c>
      <c r="DM12" s="4">
        <f>ROUND((csv!$HG12/10+calc!DM$1),1)</f>
        <v>-0.2</v>
      </c>
      <c r="DN12" s="4">
        <f>ROUND((csv!$HG12/10+calc!DN$1),1)</f>
        <v>-0.1</v>
      </c>
      <c r="DO12" s="4">
        <f>ROUND((csv!$HG12/10+calc!DO$1),1)</f>
        <v>0</v>
      </c>
      <c r="DP12" s="4">
        <f>ROUND((csv!$HG12/10+calc!DP$1),1)</f>
        <v>0.1</v>
      </c>
      <c r="DQ12" s="4">
        <f>ROUND((csv!$HG12/10+calc!DQ$1),1)</f>
        <v>0.2</v>
      </c>
      <c r="DR12" s="4">
        <f>ROUND((csv!$HG12/10+calc!DR$1),1)</f>
        <v>0.3</v>
      </c>
      <c r="DS12" s="4">
        <f>ROUND((csv!$HG12/10+calc!DS$1),1)</f>
        <v>0.4</v>
      </c>
      <c r="DT12" s="4">
        <f>ROUND((csv!$HG12/10+calc!DT$1),1)</f>
        <v>0.5</v>
      </c>
      <c r="DU12" s="4">
        <f>ROUND((csv!$HG12/10+calc!DU$1),1)</f>
        <v>0.6</v>
      </c>
      <c r="DV12" s="4">
        <f>ROUND((csv!$HG12/10+calc!DV$1),1)</f>
        <v>0.7</v>
      </c>
      <c r="DW12" s="4">
        <f>ROUND((csv!$HG12/10+calc!DW$1),1)</f>
        <v>0.8</v>
      </c>
      <c r="DX12" s="4">
        <f>ROUND((csv!$HG12/10+calc!DX$1),1)</f>
        <v>0.9</v>
      </c>
      <c r="DY12" s="4">
        <f>ROUND((csv!$HG12/10+calc!DY$1),1)</f>
        <v>1</v>
      </c>
      <c r="DZ12" s="4">
        <f>ROUND((csv!$HG12/10+calc!DZ$1),1)</f>
        <v>1.1000000000000001</v>
      </c>
      <c r="EA12" s="4">
        <f>ROUND((csv!$HG12/10+calc!EA$1),1)</f>
        <v>1.2</v>
      </c>
      <c r="EB12" s="4">
        <f>ROUND((csv!$HG12/10+calc!EB$1),1)</f>
        <v>1.3</v>
      </c>
      <c r="EC12" s="4">
        <f>ROUND((csv!$HG12/10+calc!EC$1),1)</f>
        <v>1.4</v>
      </c>
      <c r="ED12" s="4">
        <f>ROUND((csv!$HG12/10+calc!ED$1),1)</f>
        <v>1.5</v>
      </c>
      <c r="EE12" s="4">
        <f>ROUND((csv!$HG12/10+calc!EE$1),1)</f>
        <v>1.6</v>
      </c>
      <c r="EF12" s="4">
        <f>ROUND((csv!$HG12/10+calc!EF$1),1)</f>
        <v>1.7</v>
      </c>
      <c r="EG12" s="4">
        <f>ROUND((csv!$HG12/10+calc!EG$1),1)</f>
        <v>1.8</v>
      </c>
      <c r="EH12" s="4">
        <f>ROUND((csv!$HG12/10+calc!EH$1),1)</f>
        <v>1.9</v>
      </c>
      <c r="EI12" s="4">
        <f>ROUND((csv!$HG12/10+calc!EI$1),1)</f>
        <v>2</v>
      </c>
      <c r="EJ12" s="4">
        <f>ROUND((csv!$HG12/10+calc!EJ$1),1)</f>
        <v>2.1</v>
      </c>
      <c r="EK12" s="4">
        <f>ROUND((csv!$HG12/10+calc!EK$1),1)</f>
        <v>2.2000000000000002</v>
      </c>
      <c r="EL12" s="4">
        <f>ROUND((csv!$HG12/10+calc!EL$1),1)</f>
        <v>2.2999999999999998</v>
      </c>
      <c r="EM12" s="4">
        <f>ROUND((csv!$HG12/10+calc!EM$1),1)</f>
        <v>2.4</v>
      </c>
      <c r="EN12" s="4">
        <f>ROUND((csv!$HG12/10+calc!EN$1),1)</f>
        <v>2.5</v>
      </c>
      <c r="EO12" s="4">
        <f>ROUND((csv!$HG12/10+calc!EO$1),1)</f>
        <v>2.6</v>
      </c>
      <c r="EP12" s="4">
        <f>ROUND((csv!$HG12/10+calc!EP$1),1)</f>
        <v>2.7</v>
      </c>
      <c r="EQ12" s="4">
        <f>ROUND((csv!$HG12/10+calc!EQ$1),1)</f>
        <v>2.8</v>
      </c>
      <c r="ER12" s="4">
        <f>ROUND((csv!$HG12/10+calc!ER$1),1)</f>
        <v>2.9</v>
      </c>
      <c r="ES12" s="4">
        <f>ROUND((csv!$HG12/10+calc!ES$1),1)</f>
        <v>3</v>
      </c>
      <c r="ET12" s="4">
        <f>ROUND((csv!$HG12/10+calc!ET$1),1)</f>
        <v>3.1</v>
      </c>
      <c r="EU12" s="4">
        <f>ROUND((csv!$HG12/10+calc!EU$1),1)</f>
        <v>3.2</v>
      </c>
      <c r="EV12" s="4">
        <f>ROUND((csv!$HG12/10+calc!EV$1),1)</f>
        <v>3.3</v>
      </c>
      <c r="EW12" s="4">
        <f>ROUND((csv!$HG12/10+calc!EW$1),1)</f>
        <v>3.4</v>
      </c>
      <c r="EX12" s="4">
        <f>ROUND((csv!$HG12/10+calc!EX$1),1)</f>
        <v>3.5</v>
      </c>
      <c r="EY12" s="4">
        <f>ROUND((csv!$HG12/10+calc!EY$1),1)</f>
        <v>3.6</v>
      </c>
      <c r="EZ12" s="4">
        <f>ROUND((csv!$HG12/10+calc!EZ$1),1)</f>
        <v>3.7</v>
      </c>
      <c r="FA12" s="4">
        <f>ROUND((csv!$HG12/10+calc!FA$1),1)</f>
        <v>3.8</v>
      </c>
      <c r="FB12" s="4">
        <f>ROUND((csv!$HG12/10+calc!FB$1),1)</f>
        <v>3.9</v>
      </c>
      <c r="FC12" s="4">
        <f>ROUND((csv!$HG12/10+calc!FC$1),1)</f>
        <v>4</v>
      </c>
      <c r="FD12" s="4">
        <f>ROUND((csv!$HG12/10+calc!FD$1),1)</f>
        <v>4.0999999999999996</v>
      </c>
      <c r="FE12" s="4">
        <f>ROUND((csv!$HG12/10+calc!FE$1),1)</f>
        <v>4.2</v>
      </c>
      <c r="FF12" s="4">
        <f>ROUND((csv!$HG12/10+calc!FF$1),1)</f>
        <v>4.3</v>
      </c>
      <c r="FG12" s="4">
        <f>ROUND((csv!$HG12/10+calc!FG$1),1)</f>
        <v>4.4000000000000004</v>
      </c>
      <c r="FH12" s="4">
        <f>ROUND((csv!$HG12/10+calc!FH$1),1)</f>
        <v>4.5</v>
      </c>
      <c r="FI12" s="4">
        <f>ROUND((csv!$HG12/10+calc!FI$1),1)</f>
        <v>4.5999999999999996</v>
      </c>
      <c r="FJ12" s="4">
        <f>ROUND((csv!$HG12/10+calc!FJ$1),1)</f>
        <v>4.7</v>
      </c>
      <c r="FK12" s="4">
        <f>ROUND((csv!$HG12/10+calc!FK$1),1)</f>
        <v>4.8</v>
      </c>
      <c r="FL12" s="4">
        <f>ROUND((csv!$HG12/10+calc!FL$1),1)</f>
        <v>4.9000000000000004</v>
      </c>
      <c r="FM12" s="4">
        <f>ROUND((csv!$HG12/10+calc!FM$1),1)</f>
        <v>5</v>
      </c>
      <c r="FN12" s="4">
        <f>ROUND((csv!$HG12/10+calc!FN$1),1)</f>
        <v>5.0999999999999996</v>
      </c>
      <c r="FO12" s="4">
        <f>ROUND((csv!$HG12/10+calc!FO$1),1)</f>
        <v>5.2</v>
      </c>
      <c r="FP12" s="4">
        <f>ROUND((csv!$HG12/10+calc!FP$1),1)</f>
        <v>5.3</v>
      </c>
      <c r="FQ12" s="4">
        <f>ROUND((csv!$HG12/10+calc!FQ$1),1)</f>
        <v>5.4</v>
      </c>
      <c r="FR12" s="4">
        <f>ROUND((csv!$HG12/10+calc!FR$1),1)</f>
        <v>5.5</v>
      </c>
      <c r="FS12" s="4">
        <f>ROUND((csv!$HG12/10+calc!FS$1),1)</f>
        <v>5.6</v>
      </c>
      <c r="FT12" s="4">
        <f>ROUND((csv!$HG12/10+calc!FT$1),1)</f>
        <v>5.7</v>
      </c>
      <c r="FU12" s="4">
        <f>ROUND((csv!$HG12/10+calc!FU$1),1)</f>
        <v>5.8</v>
      </c>
      <c r="FV12" s="4">
        <f>ROUND((csv!$HG12/10+calc!FV$1),1)</f>
        <v>5.9</v>
      </c>
      <c r="FW12" s="4">
        <f>ROUND((csv!$HG12/10+calc!FW$1),1)</f>
        <v>6</v>
      </c>
      <c r="FX12" s="4">
        <f>ROUND((csv!$HG12/10+calc!FX$1),1)</f>
        <v>6.1</v>
      </c>
      <c r="FY12" s="4">
        <f>ROUND((csv!$HG12/10+calc!FY$1),1)</f>
        <v>6.2</v>
      </c>
      <c r="FZ12" s="4">
        <f>ROUND((csv!$HG12/10+calc!FZ$1),1)</f>
        <v>6.3</v>
      </c>
      <c r="GA12" s="4">
        <f>ROUND((csv!$HG12/10+calc!GA$1),1)</f>
        <v>6.4</v>
      </c>
      <c r="GB12" s="4">
        <f>ROUND((csv!$HG12/10+calc!GB$1),1)</f>
        <v>6.5</v>
      </c>
      <c r="GC12" s="4">
        <f>ROUND((csv!$HG12/10+calc!GC$1),1)</f>
        <v>6.6</v>
      </c>
      <c r="GD12" s="4">
        <f>ROUND((csv!$HG12/10+calc!GD$1),1)</f>
        <v>6.7</v>
      </c>
      <c r="GE12" s="4">
        <f>ROUND((csv!$HG12/10+calc!GE$1),1)</f>
        <v>6.8</v>
      </c>
      <c r="GF12" s="4">
        <f>ROUND((csv!$HG12/10+calc!GF$1),1)</f>
        <v>6.9</v>
      </c>
      <c r="GG12" s="4">
        <f>ROUND((csv!$HG12/10+calc!GG$1),1)</f>
        <v>7</v>
      </c>
      <c r="GH12" s="4">
        <f>ROUND((csv!$HG12/10+calc!GH$1),1)</f>
        <v>7.1</v>
      </c>
      <c r="GI12" s="4">
        <f>ROUND((csv!$HG12/10+calc!GI$1),1)</f>
        <v>7.2</v>
      </c>
      <c r="GJ12" s="4">
        <f>ROUND((csv!$HG12/10+calc!GJ$1),1)</f>
        <v>7.3</v>
      </c>
      <c r="GK12" s="4">
        <f>ROUND((csv!$HG12/10+calc!GK$1),1)</f>
        <v>7.4</v>
      </c>
      <c r="GL12" s="4">
        <f>ROUND((csv!$HG12/10+calc!GL$1),1)</f>
        <v>7.5</v>
      </c>
      <c r="GM12" s="4">
        <f>ROUND((csv!$HG12/10+calc!GM$1),1)</f>
        <v>7.6</v>
      </c>
      <c r="GN12" s="4">
        <f>ROUND((csv!$HG12/10+calc!GN$1),1)</f>
        <v>7.7</v>
      </c>
      <c r="GO12" s="4">
        <f>ROUND((csv!$HG12/10+calc!GO$1),1)</f>
        <v>7.8</v>
      </c>
      <c r="GP12" s="4">
        <f>ROUND((csv!$HG12/10+calc!GP$1),1)</f>
        <v>7.9</v>
      </c>
      <c r="GQ12" s="4">
        <f>ROUND((csv!$HG12/10+calc!GQ$1),1)</f>
        <v>8</v>
      </c>
      <c r="GR12" s="4">
        <f>ROUND((csv!$HG12/10+calc!GR$1),1)</f>
        <v>8.1</v>
      </c>
      <c r="GS12" s="4">
        <f>ROUND((csv!$HG12/10+calc!GS$1),1)</f>
        <v>8.1999999999999993</v>
      </c>
      <c r="GT12" s="4">
        <f>ROUND((csv!$HG12/10+calc!GT$1),1)</f>
        <v>8.3000000000000007</v>
      </c>
      <c r="GU12" s="4">
        <f>ROUND((csv!$HG12/10+calc!GU$1),1)</f>
        <v>8.4</v>
      </c>
      <c r="GV12" s="4">
        <f>ROUND((csv!$HG12/10+calc!GV$1),1)</f>
        <v>8.5</v>
      </c>
      <c r="GW12" s="4">
        <f>ROUND((csv!$HG12/10+calc!GW$1),1)</f>
        <v>8.6</v>
      </c>
      <c r="GX12" s="4">
        <f>ROUND((csv!$HG12/10+calc!GX$1),1)</f>
        <v>8.6999999999999993</v>
      </c>
      <c r="GY12" s="4">
        <f>ROUND((csv!$HG12/10+calc!GY$1),1)</f>
        <v>8.8000000000000007</v>
      </c>
      <c r="GZ12" s="4">
        <f>ROUND((csv!$HG12/10+calc!GZ$1),1)</f>
        <v>8.9</v>
      </c>
      <c r="HA12" s="4">
        <f>ROUND((csv!$HG12/10+calc!HA$1),1)</f>
        <v>9</v>
      </c>
      <c r="HB12" s="4">
        <f>ROUND((csv!$HG12/10+calc!HB$1),1)</f>
        <v>9.1</v>
      </c>
      <c r="HC12" s="4">
        <f>ROUND((csv!$HG12/10+calc!HC$1),1)</f>
        <v>9.1999999999999993</v>
      </c>
      <c r="HD12" s="4">
        <f>ROUND((csv!$HG12/10+calc!HD$1),1)</f>
        <v>9.3000000000000007</v>
      </c>
      <c r="HE12" s="4">
        <f>ROUND((csv!$HG12/10+calc!HE$1),1)</f>
        <v>9.4</v>
      </c>
      <c r="HF12" s="4">
        <f>ROUND((csv!$HG12/10+calc!HF$1),1)</f>
        <v>9.5</v>
      </c>
      <c r="HG12" s="4">
        <f>ROUND((csv!$HG12/10+calc!HG$1),1)</f>
        <v>9.6</v>
      </c>
      <c r="HH12" s="4">
        <f>ROUND((csv!$HG12/10+calc!HH$1),1)</f>
        <v>9.6999999999999993</v>
      </c>
      <c r="HI12" s="4">
        <f>ROUND((csv!$HG12/10+calc!HI$1),1)</f>
        <v>9.8000000000000007</v>
      </c>
      <c r="HJ12" s="4">
        <f>ROUND((csv!$HG12/10+calc!HJ$1),1)</f>
        <v>9.9</v>
      </c>
      <c r="HK12" s="4">
        <f>ROUND((csv!$HG12/10+calc!HK$1),1)</f>
        <v>10</v>
      </c>
      <c r="HM12" s="2">
        <f>csv!A12*10000+csv!B12*100+csv!C12</f>
        <v>0</v>
      </c>
      <c r="HN12" s="5">
        <f>IF(ISERROR(LOOKUP(HN$1,$S12:$HK12,csv!$L12:$HD12)),NA(),LOOKUP(HN$1,$S12:$HK12,csv!$L12:$HD12))</f>
        <v>0</v>
      </c>
      <c r="HO12" s="5">
        <f>IF(ISERROR(LOOKUP(HO$1,$S12:$HK12,csv!$L12:$HD12)),NA(),LOOKUP(HO$1,$S12:$HK12,csv!$L12:$HD12))</f>
        <v>0</v>
      </c>
      <c r="HP12" s="5">
        <f>IF(ISERROR(LOOKUP(HP$1,$S12:$HK12,csv!$L12:$HD12)),NA(),LOOKUP(HP$1,$S12:$HK12,csv!$L12:$HD12))</f>
        <v>0</v>
      </c>
      <c r="HQ12" s="5">
        <f>IF(ISERROR(LOOKUP(HQ$1,$S12:$HK12,csv!$L12:$HD12)),NA(),LOOKUP(HQ$1,$S12:$HK12,csv!$L12:$HD12))</f>
        <v>0</v>
      </c>
      <c r="HR12" s="5">
        <f>IF(ISERROR(LOOKUP(HR$1,$S12:$HK12,csv!$L12:$HD12)),NA(),LOOKUP(HR$1,$S12:$HK12,csv!$L12:$HD12))</f>
        <v>0</v>
      </c>
      <c r="HS12" s="5">
        <f>IF(ISERROR(LOOKUP(HS$1,$S12:$HK12,csv!$L12:$HD12)),NA(),LOOKUP(HS$1,$S12:$HK12,csv!$L12:$HD12))</f>
        <v>0</v>
      </c>
      <c r="HT12" s="5">
        <f>IF(ISERROR(LOOKUP(HT$1,$S12:$HK12,csv!$L12:$HD12)),NA(),LOOKUP(HT$1,$S12:$HK12,csv!$L12:$HD12))</f>
        <v>0</v>
      </c>
      <c r="HU12" s="5">
        <f>IF(ISERROR(LOOKUP(HU$1,$S12:$HK12,csv!$L12:$HD12)),NA(),LOOKUP(HU$1,$S12:$HK12,csv!$L12:$HD12))</f>
        <v>0</v>
      </c>
      <c r="HV12" s="5">
        <f>IF(ISERROR(LOOKUP(HV$1,$S12:$HK12,csv!$L12:$HD12)),NA(),LOOKUP(HV$1,$S12:$HK12,csv!$L12:$HD12))</f>
        <v>0</v>
      </c>
      <c r="HW12" s="5">
        <f>IF(ISERROR(LOOKUP(HW$1,$S12:$HK12,csv!$L12:$HD12)),NA(),LOOKUP(HW$1,$S12:$HK12,csv!$L12:$HD12))</f>
        <v>0</v>
      </c>
      <c r="HX12" s="5">
        <f>IF(ISERROR(LOOKUP(HX$1,$S12:$HK12,csv!$L12:$HD12)),NA(),LOOKUP(HX$1,$S12:$HK12,csv!$L12:$HD12))</f>
        <v>0</v>
      </c>
      <c r="HY12" s="5">
        <f>IF(ISERROR(LOOKUP(HY$1,$S12:$HK12,csv!$L12:$HD12)),NA(),LOOKUP(HY$1,$S12:$HK12,csv!$L12:$HD12))</f>
        <v>0</v>
      </c>
      <c r="HZ12" s="5">
        <f>IF(ISERROR(LOOKUP(HZ$1,$S12:$HK12,csv!$L12:$HD12)),NA(),LOOKUP(HZ$1,$S12:$HK12,csv!$L12:$HD12))</f>
        <v>0</v>
      </c>
      <c r="IA12" s="5">
        <f>IF(ISERROR(LOOKUP(IA$1,$S12:$HK12,csv!$L12:$HD12)),NA(),LOOKUP(IA$1,$S12:$HK12,csv!$L12:$HD12))</f>
        <v>0</v>
      </c>
      <c r="IB12" s="5">
        <f>IF(ISERROR(LOOKUP(IB$1,$S12:$HK12,csv!$L12:$HD12)),NA(),LOOKUP(IB$1,$S12:$HK12,csv!$L12:$HD12))</f>
        <v>0</v>
      </c>
      <c r="IC12" s="5">
        <f>IF(ISERROR(LOOKUP(IC$1,$S12:$HK12,csv!$L12:$HD12)),NA(),LOOKUP(IC$1,$S12:$HK12,csv!$L12:$HD12))</f>
        <v>0</v>
      </c>
      <c r="ID12" s="5">
        <f>IF(ISERROR(LOOKUP(ID$1,$S12:$HK12,csv!$L12:$HD12)),NA(),LOOKUP(ID$1,$S12:$HK12,csv!$L12:$HD12))</f>
        <v>0</v>
      </c>
      <c r="IE12" s="5">
        <f>IF(ISERROR(LOOKUP(IE$1,$S12:$HK12,csv!$L12:$HD12)),NA(),LOOKUP(IE$1,$S12:$HK12,csv!$L12:$HD12))</f>
        <v>0</v>
      </c>
      <c r="IF12" s="5">
        <f>IF(ISERROR(LOOKUP(IF$1,$S12:$HK12,csv!$L12:$HD12)),NA(),LOOKUP(IF$1,$S12:$HK12,csv!$L12:$HD12))</f>
        <v>0</v>
      </c>
      <c r="IG12" s="5">
        <f>IF(ISERROR(LOOKUP(IG$1,$S12:$HK12,csv!$L12:$HD12)),NA(),LOOKUP(IG$1,$S12:$HK12,csv!$L12:$HD12))</f>
        <v>0</v>
      </c>
      <c r="IH12" s="5">
        <f>IF(ISERROR(LOOKUP(IH$1,$S12:$HK12,csv!$L12:$HD12)),NA(),LOOKUP(IH$1,$S12:$HK12,csv!$L12:$HD12))</f>
        <v>0</v>
      </c>
      <c r="II12" s="5">
        <f>IF(ISERROR(LOOKUP(II$1,$S12:$HK12,csv!$L12:$HD12)),NA(),LOOKUP(II$1,$S12:$HK12,csv!$L12:$HD12))</f>
        <v>0</v>
      </c>
      <c r="IJ12" s="5">
        <f>IF(ISERROR(LOOKUP(IJ$1,$S12:$HK12,csv!$L12:$HD12)),NA(),LOOKUP(IJ$1,$S12:$HK12,csv!$L12:$HD12))</f>
        <v>0</v>
      </c>
      <c r="IK12" s="5">
        <f>IF(ISERROR(LOOKUP(IK$1,$S12:$HK12,csv!$L12:$HD12)),NA(),LOOKUP(IK$1,$S12:$HK12,csv!$L12:$HD12))</f>
        <v>0</v>
      </c>
      <c r="IL12" s="5">
        <f>IF(ISERROR(LOOKUP(IL$1,$S12:$HK12,csv!$L12:$HD12)),NA(),LOOKUP(IL$1,$S12:$HK12,csv!$L12:$HD12))</f>
        <v>0</v>
      </c>
      <c r="IM12" s="5">
        <f>IF(ISERROR(LOOKUP(IM$1,$S12:$HK12,csv!$L12:$HD12)),NA(),LOOKUP(IM$1,$S12:$HK12,csv!$L12:$HD12))</f>
        <v>0</v>
      </c>
      <c r="IN12" s="5">
        <f>IF(ISERROR(LOOKUP(IN$1,$S12:$HK12,csv!$L12:$HD12)),NA(),LOOKUP(IN$1,$S12:$HK12,csv!$L12:$HD12))</f>
        <v>0</v>
      </c>
      <c r="IO12" s="5">
        <f>IF(ISERROR(LOOKUP(IO$1,$S12:$HK12,csv!$L12:$HD12)),NA(),LOOKUP(IO$1,$S12:$HK12,csv!$L12:$HD12))</f>
        <v>0</v>
      </c>
      <c r="IP12" s="5">
        <f>IF(ISERROR(LOOKUP(IP$1,$S12:$HK12,csv!$L12:$HD12)),NA(),LOOKUP(IP$1,$S12:$HK12,csv!$L12:$HD12))</f>
        <v>0</v>
      </c>
      <c r="IQ12" s="5">
        <f>IF(ISERROR(LOOKUP(IQ$1,$S12:$HK12,csv!$L12:$HD12)),NA(),LOOKUP(IQ$1,$S12:$HK12,csv!$L12:$HD12))</f>
        <v>0</v>
      </c>
      <c r="IR12" s="5">
        <f>IF(ISERROR(LOOKUP(IR$1,$S12:$HK12,csv!$L12:$HD12)),NA(),LOOKUP(IR$1,$S12:$HK12,csv!$L12:$HD12))</f>
        <v>0</v>
      </c>
      <c r="IS12" s="5">
        <f>IF(ISERROR(LOOKUP(IS$1,$S12:$HK12,csv!$L12:$HD12)),NA(),LOOKUP(IS$1,$S12:$HK12,csv!$L12:$HD12))</f>
        <v>0</v>
      </c>
      <c r="IT12" s="5">
        <f>IF(ISERROR(LOOKUP(IT$1,$S12:$HK12,csv!$L12:$HD12)),NA(),LOOKUP(IT$1,$S12:$HK12,csv!$L12:$HD12))</f>
        <v>0</v>
      </c>
      <c r="IU12" s="5">
        <f>IF(ISERROR(LOOKUP(IU$1,$S12:$HK12,csv!$L12:$HD12)),NA(),LOOKUP(IU$1,$S12:$HK12,csv!$L12:$HD12))</f>
        <v>0</v>
      </c>
      <c r="IV12" s="5">
        <f>IF(ISERROR(LOOKUP(IV$1,$S12:$HK12,csv!$L12:$HD12)),NA(),LOOKUP(IV$1,$S12:$HK12,csv!$L12:$HD12))</f>
        <v>0</v>
      </c>
      <c r="IW12" s="5">
        <f>IF(ISERROR(LOOKUP(IW$1,$S12:$HK12,csv!$L12:$HD12)),NA(),LOOKUP(IW$1,$S12:$HK12,csv!$L12:$HD12))</f>
        <v>0</v>
      </c>
      <c r="IX12" s="5">
        <f>IF(ISERROR(LOOKUP(IX$1,$S12:$HK12,csv!$L12:$HD12)),NA(),LOOKUP(IX$1,$S12:$HK12,csv!$L12:$HD12))</f>
        <v>0</v>
      </c>
      <c r="IY12" s="5">
        <f>IF(ISERROR(LOOKUP(IY$1,$S12:$HK12,csv!$L12:$HD12)),NA(),LOOKUP(IY$1,$S12:$HK12,csv!$L12:$HD12))</f>
        <v>0</v>
      </c>
      <c r="IZ12" s="5">
        <f>IF(ISERROR(LOOKUP(IZ$1,$S12:$HK12,csv!$L12:$HD12)),NA(),LOOKUP(IZ$1,$S12:$HK12,csv!$L12:$HD12))</f>
        <v>0</v>
      </c>
      <c r="JA12" s="5">
        <f>IF(ISERROR(LOOKUP(JA$1,$S12:$HK12,csv!$L12:$HD12)),NA(),LOOKUP(JA$1,$S12:$HK12,csv!$L12:$HD12))</f>
        <v>0</v>
      </c>
      <c r="JB12" s="5">
        <f>IF(ISERROR(LOOKUP(JB$1,$S12:$HK12,csv!$L12:$HD12)),NA(),LOOKUP(JB$1,$S12:$HK12,csv!$L12:$HD12))</f>
        <v>0</v>
      </c>
      <c r="JC12" s="5">
        <f>IF(ISERROR(LOOKUP(JC$1,$S12:$HK12,csv!$L12:$HD12)),NA(),LOOKUP(JC$1,$S12:$HK12,csv!$L12:$HD12))</f>
        <v>0</v>
      </c>
      <c r="JD12" s="5">
        <f>IF(ISERROR(LOOKUP(JD$1,$S12:$HK12,csv!$L12:$HD12)),NA(),LOOKUP(JD$1,$S12:$HK12,csv!$L12:$HD12))</f>
        <v>0</v>
      </c>
      <c r="JE12" s="5">
        <f>IF(ISERROR(LOOKUP(JE$1,$S12:$HK12,csv!$L12:$HD12)),NA(),LOOKUP(JE$1,$S12:$HK12,csv!$L12:$HD12))</f>
        <v>0</v>
      </c>
      <c r="JF12" s="5">
        <f>IF(ISERROR(LOOKUP(JF$1,$S12:$HK12,csv!$L12:$HD12)),NA(),LOOKUP(JF$1,$S12:$HK12,csv!$L12:$HD12))</f>
        <v>0</v>
      </c>
      <c r="JG12" s="5">
        <f>IF(ISERROR(LOOKUP(JG$1,$S12:$HK12,csv!$L12:$HD12)),NA(),LOOKUP(JG$1,$S12:$HK12,csv!$L12:$HD12))</f>
        <v>0</v>
      </c>
      <c r="JH12" s="5">
        <f>IF(ISERROR(LOOKUP(JH$1,$S12:$HK12,csv!$L12:$HD12)),NA(),LOOKUP(JH$1,$S12:$HK12,csv!$L12:$HD12))</f>
        <v>0</v>
      </c>
      <c r="JI12" s="5">
        <f>IF(ISERROR(LOOKUP(JI$1,$S12:$HK12,csv!$L12:$HD12)),NA(),LOOKUP(JI$1,$S12:$HK12,csv!$L12:$HD12))</f>
        <v>0</v>
      </c>
      <c r="JJ12" s="5">
        <f>IF(ISERROR(LOOKUP(JJ$1,$S12:$HK12,csv!$L12:$HD12)),NA(),LOOKUP(JJ$1,$S12:$HK12,csv!$L12:$HD12))</f>
        <v>0</v>
      </c>
      <c r="JK12" s="5">
        <f>IF(ISERROR(LOOKUP(JK$1,$S12:$HK12,csv!$L12:$HD12)),NA(),LOOKUP(JK$1,$S12:$HK12,csv!$L12:$HD12))</f>
        <v>0</v>
      </c>
      <c r="JL12" s="5">
        <f>IF(ISERROR(LOOKUP(JL$1,$S12:$HK12,csv!$L12:$HD12)),NA(),LOOKUP(JL$1,$S12:$HK12,csv!$L12:$HD12))</f>
        <v>0</v>
      </c>
      <c r="JM12" s="5">
        <f>IF(ISERROR(LOOKUP(JM$1,$S12:$HK12,csv!$L12:$HD12)),NA(),LOOKUP(JM$1,$S12:$HK12,csv!$L12:$HD12))</f>
        <v>0</v>
      </c>
      <c r="JN12" s="5">
        <f>IF(ISERROR(LOOKUP(JN$1,$S12:$HK12,csv!$L12:$HD12)),NA(),LOOKUP(JN$1,$S12:$HK12,csv!$L12:$HD12))</f>
        <v>0</v>
      </c>
      <c r="JO12" s="5">
        <f>IF(ISERROR(LOOKUP(JO$1,$S12:$HK12,csv!$L12:$HD12)),NA(),LOOKUP(JO$1,$S12:$HK12,csv!$L12:$HD12))</f>
        <v>0</v>
      </c>
      <c r="JP12" s="5">
        <f>IF(ISERROR(LOOKUP(JP$1,$S12:$HK12,csv!$L12:$HD12)),NA(),LOOKUP(JP$1,$S12:$HK12,csv!$L12:$HD12))</f>
        <v>0</v>
      </c>
      <c r="JQ12" s="5">
        <f>IF(ISERROR(LOOKUP(JQ$1,$S12:$HK12,csv!$L12:$HD12)),NA(),LOOKUP(JQ$1,$S12:$HK12,csv!$L12:$HD12))</f>
        <v>0</v>
      </c>
      <c r="JR12" s="5">
        <f>IF(ISERROR(LOOKUP(JR$1,$S12:$HK12,csv!$L12:$HD12)),NA(),LOOKUP(JR$1,$S12:$HK12,csv!$L12:$HD12))</f>
        <v>0</v>
      </c>
      <c r="JS12" s="5">
        <f>IF(ISERROR(LOOKUP(JS$1,$S12:$HK12,csv!$L12:$HD12)),NA(),LOOKUP(JS$1,$S12:$HK12,csv!$L12:$HD12))</f>
        <v>0</v>
      </c>
      <c r="JT12" s="5">
        <f>IF(ISERROR(LOOKUP(JT$1,$S12:$HK12,csv!$L12:$HD12)),NA(),LOOKUP(JT$1,$S12:$HK12,csv!$L12:$HD12))</f>
        <v>0</v>
      </c>
      <c r="JU12" s="5">
        <f>IF(ISERROR(LOOKUP(JU$1,$S12:$HK12,csv!$L12:$HD12)),NA(),LOOKUP(JU$1,$S12:$HK12,csv!$L12:$HD12))</f>
        <v>0</v>
      </c>
      <c r="JV12" s="5">
        <f>IF(ISERROR(LOOKUP(JV$1,$S12:$HK12,csv!$L12:$HD12)),NA(),LOOKUP(JV$1,$S12:$HK12,csv!$L12:$HD12))</f>
        <v>0</v>
      </c>
      <c r="JW12" s="5">
        <f>IF(ISERROR(LOOKUP(JW$1,$S12:$HK12,csv!$L12:$HD12)),NA(),LOOKUP(JW$1,$S12:$HK12,csv!$L12:$HD12))</f>
        <v>0</v>
      </c>
      <c r="JX12" s="5">
        <f>IF(ISERROR(LOOKUP(JX$1,$S12:$HK12,csv!$L12:$HD12)),NA(),LOOKUP(JX$1,$S12:$HK12,csv!$L12:$HD12))</f>
        <v>0</v>
      </c>
      <c r="JY12" s="5">
        <f>IF(ISERROR(LOOKUP(JY$1,$S12:$HK12,csv!$L12:$HD12)),NA(),LOOKUP(JY$1,$S12:$HK12,csv!$L12:$HD12))</f>
        <v>0</v>
      </c>
      <c r="JZ12" s="5">
        <f>IF(ISERROR(LOOKUP(JZ$1,$S12:$HK12,csv!$L12:$HD12)),NA(),LOOKUP(JZ$1,$S12:$HK12,csv!$L12:$HD12))</f>
        <v>0</v>
      </c>
      <c r="KA12" s="5">
        <f>IF(ISERROR(LOOKUP(KA$1,$S12:$HK12,csv!$L12:$HD12)),NA(),LOOKUP(KA$1,$S12:$HK12,csv!$L12:$HD12))</f>
        <v>0</v>
      </c>
      <c r="KB12" s="5">
        <f>IF(ISERROR(LOOKUP(KB$1,$S12:$HK12,csv!$L12:$HD12)),NA(),LOOKUP(KB$1,$S12:$HK12,csv!$L12:$HD12))</f>
        <v>0</v>
      </c>
      <c r="KC12" s="5">
        <f>IF(ISERROR(LOOKUP(KC$1,$S12:$HK12,csv!$L12:$HD12)),NA(),LOOKUP(KC$1,$S12:$HK12,csv!$L12:$HD12))</f>
        <v>0</v>
      </c>
      <c r="KD12" s="5">
        <f>IF(ISERROR(LOOKUP(KD$1,$S12:$HK12,csv!$L12:$HD12)),NA(),LOOKUP(KD$1,$S12:$HK12,csv!$L12:$HD12))</f>
        <v>0</v>
      </c>
      <c r="KE12" s="5">
        <f>IF(ISERROR(LOOKUP(KE$1,$S12:$HK12,csv!$L12:$HD12)),NA(),LOOKUP(KE$1,$S12:$HK12,csv!$L12:$HD12))</f>
        <v>0</v>
      </c>
      <c r="KF12" s="5">
        <f>IF(ISERROR(LOOKUP(KF$1,$S12:$HK12,csv!$L12:$HD12)),NA(),LOOKUP(KF$1,$S12:$HK12,csv!$L12:$HD12))</f>
        <v>0</v>
      </c>
      <c r="KG12" s="5">
        <f>IF(ISERROR(LOOKUP(KG$1,$S12:$HK12,csv!$L12:$HD12)),NA(),LOOKUP(KG$1,$S12:$HK12,csv!$L12:$HD12))</f>
        <v>0</v>
      </c>
      <c r="KH12" s="5">
        <f>IF(ISERROR(LOOKUP(KH$1,$S12:$HK12,csv!$L12:$HD12)),NA(),LOOKUP(KH$1,$S12:$HK12,csv!$L12:$HD12))</f>
        <v>0</v>
      </c>
      <c r="KI12" s="5">
        <f>IF(ISERROR(LOOKUP(KI$1,$S12:$HK12,csv!$L12:$HD12)),NA(),LOOKUP(KI$1,$S12:$HK12,csv!$L12:$HD12))</f>
        <v>0</v>
      </c>
      <c r="KJ12" s="5">
        <f>IF(ISERROR(LOOKUP(KJ$1,$S12:$HK12,csv!$L12:$HD12)),NA(),LOOKUP(KJ$1,$S12:$HK12,csv!$L12:$HD12))</f>
        <v>0</v>
      </c>
      <c r="KK12" s="5">
        <f>IF(ISERROR(LOOKUP(KK$1,$S12:$HK12,csv!$L12:$HD12)),NA(),LOOKUP(KK$1,$S12:$HK12,csv!$L12:$HD12))</f>
        <v>0</v>
      </c>
      <c r="KL12" s="5">
        <f>IF(ISERROR(LOOKUP(KL$1,$S12:$HK12,csv!$L12:$HD12)),NA(),LOOKUP(KL$1,$S12:$HK12,csv!$L12:$HD12))</f>
        <v>0</v>
      </c>
      <c r="KM12" s="5">
        <f>IF(ISERROR(LOOKUP(KM$1,$S12:$HK12,csv!$L12:$HD12)),NA(),LOOKUP(KM$1,$S12:$HK12,csv!$L12:$HD12))</f>
        <v>0</v>
      </c>
      <c r="KN12" s="5">
        <f>IF(ISERROR(LOOKUP(KN$1,$S12:$HK12,csv!$L12:$HD12)),NA(),LOOKUP(KN$1,$S12:$HK12,csv!$L12:$HD12))</f>
        <v>0</v>
      </c>
      <c r="KO12" s="5">
        <f>IF(ISERROR(LOOKUP(KO$1,$S12:$HK12,csv!$L12:$HD12)),NA(),LOOKUP(KO$1,$S12:$HK12,csv!$L12:$HD12))</f>
        <v>0</v>
      </c>
      <c r="KP12" s="5">
        <f>IF(ISERROR(LOOKUP(KP$1,$S12:$HK12,csv!$L12:$HD12)),NA(),LOOKUP(KP$1,$S12:$HK12,csv!$L12:$HD12))</f>
        <v>0</v>
      </c>
      <c r="KQ12" s="5">
        <f>IF(ISERROR(LOOKUP(KQ$1,$S12:$HK12,csv!$L12:$HD12)),NA(),LOOKUP(KQ$1,$S12:$HK12,csv!$L12:$HD12))</f>
        <v>0</v>
      </c>
      <c r="KR12" s="5">
        <f>IF(ISERROR(LOOKUP(KR$1,$S12:$HK12,csv!$L12:$HD12)),NA(),LOOKUP(KR$1,$S12:$HK12,csv!$L12:$HD12))</f>
        <v>0</v>
      </c>
      <c r="KS12" s="5">
        <f>IF(ISERROR(LOOKUP(KS$1,$S12:$HK12,csv!$L12:$HD12)),NA(),LOOKUP(KS$1,$S12:$HK12,csv!$L12:$HD12))</f>
        <v>0</v>
      </c>
      <c r="KT12" s="5">
        <f>IF(ISERROR(LOOKUP(KT$1,$S12:$HK12,csv!$L12:$HD12)),NA(),LOOKUP(KT$1,$S12:$HK12,csv!$L12:$HD12))</f>
        <v>0</v>
      </c>
      <c r="KU12" s="5">
        <f>IF(ISERROR(LOOKUP(KU$1,$S12:$HK12,csv!$L12:$HD12)),NA(),LOOKUP(KU$1,$S12:$HK12,csv!$L12:$HD12))</f>
        <v>0</v>
      </c>
      <c r="KV12" s="5">
        <f>IF(ISERROR(LOOKUP(KV$1,$S12:$HK12,csv!$L12:$HD12)),NA(),LOOKUP(KV$1,$S12:$HK12,csv!$L12:$HD12))</f>
        <v>0</v>
      </c>
      <c r="KW12" s="5">
        <f>IF(ISERROR(LOOKUP(KW$1,$S12:$HK12,csv!$L12:$HD12)),NA(),LOOKUP(KW$1,$S12:$HK12,csv!$L12:$HD12))</f>
        <v>0</v>
      </c>
      <c r="KX12" s="5">
        <f>IF(ISERROR(LOOKUP(KX$1,$S12:$HK12,csv!$L12:$HD12)),NA(),LOOKUP(KX$1,$S12:$HK12,csv!$L12:$HD12))</f>
        <v>0</v>
      </c>
      <c r="KY12" s="5">
        <f>IF(ISERROR(LOOKUP(KY$1,$S12:$HK12,csv!$L12:$HD12)),NA(),LOOKUP(KY$1,$S12:$HK12,csv!$L12:$HD12))</f>
        <v>0</v>
      </c>
      <c r="KZ12" s="5">
        <f>IF(ISERROR(LOOKUP(KZ$1,$S12:$HK12,csv!$L12:$HD12)),NA(),LOOKUP(KZ$1,$S12:$HK12,csv!$L12:$HD12))</f>
        <v>0</v>
      </c>
      <c r="LA12" s="5">
        <f>IF(ISERROR(LOOKUP(LA$1,$S12:$HK12,csv!$L12:$HD12)),NA(),LOOKUP(LA$1,$S12:$HK12,csv!$L12:$HD12))</f>
        <v>0</v>
      </c>
      <c r="LB12" s="5">
        <f>IF(ISERROR(LOOKUP(LB$1,$S12:$HK12,csv!$L12:$HD12)),NA(),LOOKUP(LB$1,$S12:$HK12,csv!$L12:$HD12))</f>
        <v>0</v>
      </c>
      <c r="LC12" s="5">
        <f>IF(ISERROR(LOOKUP(LC$1,$S12:$HK12,csv!$L12:$HD12)),NA(),LOOKUP(LC$1,$S12:$HK12,csv!$L12:$HD12))</f>
        <v>0</v>
      </c>
      <c r="LD12" s="5">
        <f>IF(ISERROR(LOOKUP(LD$1,$S12:$HK12,csv!$L12:$HD12)),NA(),LOOKUP(LD$1,$S12:$HK12,csv!$L12:$HD12))</f>
        <v>0</v>
      </c>
      <c r="LE12" s="5">
        <f>IF(ISERROR(LOOKUP(LE$1,$S12:$HK12,csv!$L12:$HD12)),NA(),LOOKUP(LE$1,$S12:$HK12,csv!$L12:$HD12))</f>
        <v>0</v>
      </c>
      <c r="LF12" s="5">
        <f>IF(ISERROR(LOOKUP(LF$1,$S12:$HK12,csv!$L12:$HD12)),NA(),LOOKUP(LF$1,$S12:$HK12,csv!$L12:$HD12))</f>
        <v>0</v>
      </c>
      <c r="LG12" s="5">
        <f>IF(ISERROR(LOOKUP(LG$1,$S12:$HK12,csv!$L12:$HD12)),NA(),LOOKUP(LG$1,$S12:$HK12,csv!$L12:$HD12))</f>
        <v>0</v>
      </c>
      <c r="LH12" s="5">
        <f>IF(ISERROR(LOOKUP(LH$1,$S12:$HK12,csv!$L12:$HD12)),NA(),LOOKUP(LH$1,$S12:$HK12,csv!$L12:$HD12))</f>
        <v>0</v>
      </c>
      <c r="LI12" s="5">
        <f>IF(ISERROR(LOOKUP(LI$1,$S12:$HK12,csv!$L12:$HD12)),NA(),LOOKUP(LI$1,$S12:$HK12,csv!$L12:$HD12))</f>
        <v>0</v>
      </c>
      <c r="LJ12" s="5">
        <f>IF(ISERROR(LOOKUP(LJ$1,$S12:$HK12,csv!$L12:$HD12)),NA(),LOOKUP(LJ$1,$S12:$HK12,csv!$L12:$HD12))</f>
        <v>0</v>
      </c>
      <c r="LK12" s="5">
        <f>IF(ISERROR(LOOKUP(LK$1,$S12:$HK12,csv!$L12:$HD12)),NA(),LOOKUP(LK$1,$S12:$HK12,csv!$L12:$HD12))</f>
        <v>0</v>
      </c>
      <c r="LL12" s="5">
        <f>IF(ISERROR(LOOKUP(LL$1,$S12:$HK12,csv!$L12:$HD12)),NA(),LOOKUP(LL$1,$S12:$HK12,csv!$L12:$HD12))</f>
        <v>0</v>
      </c>
      <c r="LM12" s="5">
        <f>IF(ISERROR(LOOKUP(LM$1,$S12:$HK12,csv!$L12:$HD12)),NA(),LOOKUP(LM$1,$S12:$HK12,csv!$L12:$HD12))</f>
        <v>0</v>
      </c>
      <c r="LN12" s="5">
        <f>IF(ISERROR(LOOKUP(LN$1,$S12:$HK12,csv!$L12:$HD12)),NA(),LOOKUP(LN$1,$S12:$HK12,csv!$L12:$HD12))</f>
        <v>0</v>
      </c>
      <c r="LO12" s="5">
        <f>IF(ISERROR(LOOKUP(LO$1,$S12:$HK12,csv!$L12:$HD12)),NA(),LOOKUP(LO$1,$S12:$HK12,csv!$L12:$HD12))</f>
        <v>0</v>
      </c>
      <c r="LP12" s="5">
        <f>IF(ISERROR(LOOKUP(LP$1,$S12:$HK12,csv!$L12:$HD12)),NA(),LOOKUP(LP$1,$S12:$HK12,csv!$L12:$HD12))</f>
        <v>0</v>
      </c>
      <c r="LQ12" s="5">
        <f>IF(ISERROR(LOOKUP(LQ$1,$S12:$HK12,csv!$L12:$HD12)),NA(),LOOKUP(LQ$1,$S12:$HK12,csv!$L12:$HD12))</f>
        <v>0</v>
      </c>
      <c r="LR12" s="5">
        <f>IF(ISERROR(LOOKUP(LR$1,$S12:$HK12,csv!$L12:$HD12)),NA(),LOOKUP(LR$1,$S12:$HK12,csv!$L12:$HD12))</f>
        <v>0</v>
      </c>
      <c r="LS12" s="5">
        <f>IF(ISERROR(LOOKUP(LS$1,$S12:$HK12,csv!$L12:$HD12)),NA(),LOOKUP(LS$1,$S12:$HK12,csv!$L12:$HD12))</f>
        <v>0</v>
      </c>
      <c r="LT12" s="5">
        <f>IF(ISERROR(LOOKUP(LT$1,$S12:$HK12,csv!$L12:$HD12)),NA(),LOOKUP(LT$1,$S12:$HK12,csv!$L12:$HD12))</f>
        <v>0</v>
      </c>
      <c r="LU12" s="5">
        <f>IF(ISERROR(LOOKUP(LU$1,$S12:$HK12,csv!$L12:$HD12)),NA(),LOOKUP(LU$1,$S12:$HK12,csv!$L12:$HD12))</f>
        <v>0</v>
      </c>
      <c r="LV12" s="5">
        <f>IF(ISERROR(LOOKUP(LV$1,$S12:$HK12,csv!$L12:$HD12)),NA(),LOOKUP(LV$1,$S12:$HK12,csv!$L12:$HD12))</f>
        <v>0</v>
      </c>
      <c r="LW12" s="5">
        <f>IF(ISERROR(LOOKUP(LW$1,$S12:$HK12,csv!$L12:$HD12)),NA(),LOOKUP(LW$1,$S12:$HK12,csv!$L12:$HD12))</f>
        <v>0</v>
      </c>
      <c r="LX12" s="5">
        <f>IF(ISERROR(LOOKUP(LX$1,$S12:$HK12,csv!$L12:$HD12)),NA(),LOOKUP(LX$1,$S12:$HK12,csv!$L12:$HD12))</f>
        <v>0</v>
      </c>
      <c r="LY12" s="5">
        <f>IF(ISERROR(LOOKUP(LY$1,$S12:$HK12,csv!$L12:$HD12)),NA(),LOOKUP(LY$1,$S12:$HK12,csv!$L12:$HD12))</f>
        <v>0</v>
      </c>
      <c r="LZ12" s="5">
        <f>IF(ISERROR(LOOKUP(LZ$1,$S12:$HK12,csv!$L12:$HD12)),NA(),LOOKUP(LZ$1,$S12:$HK12,csv!$L12:$HD12))</f>
        <v>0</v>
      </c>
      <c r="MA12" s="5">
        <f>IF(ISERROR(LOOKUP(MA$1,$S12:$HK12,csv!$L12:$HD12)),NA(),LOOKUP(MA$1,$S12:$HK12,csv!$L12:$HD12))</f>
        <v>0</v>
      </c>
      <c r="MB12" s="5">
        <f>IF(ISERROR(LOOKUP(MB$1,$S12:$HK12,csv!$L12:$HD12)),NA(),LOOKUP(MB$1,$S12:$HK12,csv!$L12:$HD12))</f>
        <v>0</v>
      </c>
      <c r="MC12" s="5">
        <f>IF(ISERROR(LOOKUP(MC$1,$S12:$HK12,csv!$L12:$HD12)),NA(),LOOKUP(MC$1,$S12:$HK12,csv!$L12:$HD12))</f>
        <v>0</v>
      </c>
      <c r="MD12" s="5">
        <f>IF(ISERROR(LOOKUP(MD$1,$S12:$HK12,csv!$L12:$HD12)),NA(),LOOKUP(MD$1,$S12:$HK12,csv!$L12:$HD12))</f>
        <v>0</v>
      </c>
      <c r="ME12" s="5">
        <f>IF(ISERROR(LOOKUP(ME$1,$S12:$HK12,csv!$L12:$HD12)),NA(),LOOKUP(ME$1,$S12:$HK12,csv!$L12:$HD12))</f>
        <v>0</v>
      </c>
      <c r="MF12" s="5">
        <f>IF(ISERROR(LOOKUP(MF$1,$S12:$HK12,csv!$L12:$HD12)),NA(),LOOKUP(MF$1,$S12:$HK12,csv!$L12:$HD12))</f>
        <v>0</v>
      </c>
      <c r="MG12" s="5">
        <f>IF(ISERROR(LOOKUP(MG$1,$S12:$HK12,csv!$L12:$HD12)),NA(),LOOKUP(MG$1,$S12:$HK12,csv!$L12:$HD12))</f>
        <v>0</v>
      </c>
      <c r="MH12" s="5">
        <f>IF(ISERROR(LOOKUP(MH$1,$S12:$HK12,csv!$L12:$HD12)),NA(),LOOKUP(MH$1,$S12:$HK12,csv!$L12:$HD12))</f>
        <v>0</v>
      </c>
      <c r="MI12" s="5">
        <f>IF(ISERROR(LOOKUP(MI$1,$S12:$HK12,csv!$L12:$HD12)),NA(),LOOKUP(MI$1,$S12:$HK12,csv!$L12:$HD12))</f>
        <v>0</v>
      </c>
      <c r="MJ12" s="5">
        <f>IF(ISERROR(LOOKUP(MJ$1,$S12:$HK12,csv!$L12:$HD12)),NA(),LOOKUP(MJ$1,$S12:$HK12,csv!$L12:$HD12))</f>
        <v>0</v>
      </c>
      <c r="MK12" s="5">
        <f>IF(ISERROR(LOOKUP(MK$1,$S12:$HK12,csv!$L12:$HD12)),NA(),LOOKUP(MK$1,$S12:$HK12,csv!$L12:$HD12))</f>
        <v>0</v>
      </c>
      <c r="ML12" s="5">
        <f>IF(ISERROR(LOOKUP(ML$1,$S12:$HK12,csv!$L12:$HD12)),NA(),LOOKUP(ML$1,$S12:$HK12,csv!$L12:$HD12))</f>
        <v>0</v>
      </c>
      <c r="MM12" s="5">
        <f>IF(ISERROR(LOOKUP(MM$1,$S12:$HK12,csv!$L12:$HD12)),NA(),LOOKUP(MM$1,$S12:$HK12,csv!$L12:$HD12))</f>
        <v>0</v>
      </c>
      <c r="MN12" s="5">
        <f>IF(ISERROR(LOOKUP(MN$1,$S12:$HK12,csv!$L12:$HD12)),NA(),LOOKUP(MN$1,$S12:$HK12,csv!$L12:$HD12))</f>
        <v>0</v>
      </c>
      <c r="MO12" s="5">
        <f>IF(ISERROR(LOOKUP(MO$1,$S12:$HK12,csv!$L12:$HD12)),NA(),LOOKUP(MO$1,$S12:$HK12,csv!$L12:$HD12))</f>
        <v>0</v>
      </c>
      <c r="MP12" s="5">
        <f>IF(ISERROR(LOOKUP(MP$1,$S12:$HK12,csv!$L12:$HD12)),NA(),LOOKUP(MP$1,$S12:$HK12,csv!$L12:$HD12))</f>
        <v>0</v>
      </c>
      <c r="MQ12" s="5">
        <f>IF(ISERROR(LOOKUP(MQ$1,$S12:$HK12,csv!$L12:$HD12)),NA(),LOOKUP(MQ$1,$S12:$HK12,csv!$L12:$HD12))</f>
        <v>0</v>
      </c>
      <c r="MR12" s="5">
        <f>IF(ISERROR(LOOKUP(MR$1,$S12:$HK12,csv!$L12:$HD12)),NA(),LOOKUP(MR$1,$S12:$HK12,csv!$L12:$HD12))</f>
        <v>0</v>
      </c>
      <c r="MS12" s="5">
        <f>IF(ISERROR(LOOKUP(MS$1,$S12:$HK12,csv!$L12:$HD12)),NA(),LOOKUP(MS$1,$S12:$HK12,csv!$L12:$HD12))</f>
        <v>0</v>
      </c>
      <c r="MT12" s="5">
        <f>IF(ISERROR(LOOKUP(MT$1,$S12:$HK12,csv!$L12:$HD12)),NA(),LOOKUP(MT$1,$S12:$HK12,csv!$L12:$HD12))</f>
        <v>0</v>
      </c>
      <c r="MU12" s="5">
        <f>IF(ISERROR(LOOKUP(MU$1,$S12:$HK12,csv!$L12:$HD12)),NA(),LOOKUP(MU$1,$S12:$HK12,csv!$L12:$HD12))</f>
        <v>0</v>
      </c>
      <c r="MV12" s="5">
        <f>IF(ISERROR(LOOKUP(MV$1,$S12:$HK12,csv!$L12:$HD12)),NA(),LOOKUP(MV$1,$S12:$HK12,csv!$L12:$HD12))</f>
        <v>0</v>
      </c>
      <c r="MW12" s="5">
        <f>IF(ISERROR(LOOKUP(MW$1,$S12:$HK12,csv!$L12:$HD12)),NA(),LOOKUP(MW$1,$S12:$HK12,csv!$L12:$HD12))</f>
        <v>0</v>
      </c>
      <c r="MX12" s="5">
        <f>IF(ISERROR(LOOKUP(MX$1,$S12:$HK12,csv!$L12:$HD12)),NA(),LOOKUP(MX$1,$S12:$HK12,csv!$L12:$HD12))</f>
        <v>0</v>
      </c>
      <c r="MY12" s="5">
        <f>IF(ISERROR(LOOKUP(MY$1,$S12:$HK12,csv!$L12:$HD12)),NA(),LOOKUP(MY$1,$S12:$HK12,csv!$L12:$HD12))</f>
        <v>0</v>
      </c>
      <c r="MZ12" s="5">
        <f>IF(ISERROR(LOOKUP(MZ$1,$S12:$HK12,csv!$L12:$HD12)),NA(),LOOKUP(MZ$1,$S12:$HK12,csv!$L12:$HD12))</f>
        <v>0</v>
      </c>
      <c r="NA12" s="5">
        <f>IF(ISERROR(LOOKUP(NA$1,$S12:$HK12,csv!$L12:$HD12)),NA(),LOOKUP(NA$1,$S12:$HK12,csv!$L12:$HD12))</f>
        <v>0</v>
      </c>
      <c r="NB12" s="5">
        <f>IF(ISERROR(LOOKUP(NB$1,$S12:$HK12,csv!$L12:$HD12)),NA(),LOOKUP(NB$1,$S12:$HK12,csv!$L12:$HD12))</f>
        <v>0</v>
      </c>
      <c r="NC12" s="5">
        <f>IF(ISERROR(LOOKUP(NC$1,$S12:$HK12,csv!$L12:$HD12)),NA(),LOOKUP(NC$1,$S12:$HK12,csv!$L12:$HD12))</f>
        <v>0</v>
      </c>
      <c r="ND12" s="5">
        <f>IF(ISERROR(LOOKUP(ND$1,$S12:$HK12,csv!$L12:$HD12)),NA(),LOOKUP(ND$1,$S12:$HK12,csv!$L12:$HD12))</f>
        <v>0</v>
      </c>
      <c r="NE12" s="5">
        <f>IF(ISERROR(LOOKUP(NE$1,$S12:$HK12,csv!$L12:$HD12)),NA(),LOOKUP(NE$1,$S12:$HK12,csv!$L12:$HD12))</f>
        <v>0</v>
      </c>
      <c r="NF12" s="5">
        <f>IF(ISERROR(LOOKUP(NF$1,$S12:$HK12,csv!$L12:$HD12)),NA(),LOOKUP(NF$1,$S12:$HK12,csv!$L12:$HD12))</f>
        <v>0</v>
      </c>
      <c r="NG12" s="5">
        <f>IF(ISERROR(LOOKUP(NG$1,$S12:$HK12,csv!$L12:$HD12)),NA(),LOOKUP(NG$1,$S12:$HK12,csv!$L12:$HD12))</f>
        <v>0</v>
      </c>
      <c r="NH12" s="5">
        <f>IF(ISERROR(LOOKUP(NH$1,$S12:$HK12,csv!$L12:$HD12)),NA(),LOOKUP(NH$1,$S12:$HK12,csv!$L12:$HD12))</f>
        <v>0</v>
      </c>
      <c r="NI12" s="5">
        <f>IF(ISERROR(LOOKUP(NI$1,$S12:$HK12,csv!$L12:$HD12)),NA(),LOOKUP(NI$1,$S12:$HK12,csv!$L12:$HD12))</f>
        <v>0</v>
      </c>
      <c r="NJ12" s="5">
        <f>IF(ISERROR(LOOKUP(NJ$1,$S12:$HK12,csv!$L12:$HD12)),NA(),LOOKUP(NJ$1,$S12:$HK12,csv!$L12:$HD12))</f>
        <v>0</v>
      </c>
      <c r="NK12" s="5">
        <f>IF(ISERROR(LOOKUP(NK$1,$S12:$HK12,csv!$L12:$HD12)),NA(),LOOKUP(NK$1,$S12:$HK12,csv!$L12:$HD12))</f>
        <v>0</v>
      </c>
      <c r="NL12" s="5">
        <f>IF(ISERROR(LOOKUP(NL$1,$S12:$HK12,csv!$L12:$HD12)),NA(),LOOKUP(NL$1,$S12:$HK12,csv!$L12:$HD12))</f>
        <v>0</v>
      </c>
      <c r="NM12" s="5">
        <f>IF(ISERROR(LOOKUP(NM$1,$S12:$HK12,csv!$L12:$HD12)),NA(),LOOKUP(NM$1,$S12:$HK12,csv!$L12:$HD12))</f>
        <v>0</v>
      </c>
      <c r="NN12" s="5">
        <f>IF(ISERROR(LOOKUP(NN$1,$S12:$HK12,csv!$L12:$HD12)),NA(),LOOKUP(NN$1,$S12:$HK12,csv!$L12:$HD12))</f>
        <v>0</v>
      </c>
      <c r="NO12" s="5">
        <f>IF(ISERROR(LOOKUP(NO$1,$S12:$HK12,csv!$L12:$HD12)),NA(),LOOKUP(NO$1,$S12:$HK12,csv!$L12:$HD12))</f>
        <v>0</v>
      </c>
      <c r="NP12" s="5">
        <f>IF(ISERROR(LOOKUP(NP$1,$S12:$HK12,csv!$L12:$HD12)),NA(),LOOKUP(NP$1,$S12:$HK12,csv!$L12:$HD12))</f>
        <v>0</v>
      </c>
      <c r="NQ12" s="5">
        <f>IF(ISERROR(LOOKUP(NQ$1,$S12:$HK12,csv!$L12:$HD12)),NA(),LOOKUP(NQ$1,$S12:$HK12,csv!$L12:$HD12))</f>
        <v>0</v>
      </c>
      <c r="NR12" s="5">
        <f>IF(ISERROR(LOOKUP(NR$1,$S12:$HK12,csv!$L12:$HD12)),NA(),LOOKUP(NR$1,$S12:$HK12,csv!$L12:$HD12))</f>
        <v>0</v>
      </c>
      <c r="NS12" s="5">
        <f>IF(ISERROR(LOOKUP(NS$1,$S12:$HK12,csv!$L12:$HD12)),NA(),LOOKUP(NS$1,$S12:$HK12,csv!$L12:$HD12))</f>
        <v>0</v>
      </c>
      <c r="NT12" s="5">
        <f>IF(ISERROR(LOOKUP(NT$1,$S12:$HK12,csv!$L12:$HD12)),NA(),LOOKUP(NT$1,$S12:$HK12,csv!$L12:$HD12))</f>
        <v>0</v>
      </c>
      <c r="NU12" s="5">
        <f>IF(ISERROR(LOOKUP(NU$1,$S12:$HK12,csv!$L12:$HD12)),NA(),LOOKUP(NU$1,$S12:$HK12,csv!$L12:$HD12))</f>
        <v>0</v>
      </c>
      <c r="NV12" s="5">
        <f>IF(ISERROR(LOOKUP(NV$1,$S12:$HK12,csv!$L12:$HD12)),NA(),LOOKUP(NV$1,$S12:$HK12,csv!$L12:$HD12))</f>
        <v>0</v>
      </c>
      <c r="NW12" s="5">
        <f>IF(ISERROR(LOOKUP(NW$1,$S12:$HK12,csv!$L12:$HD12)),NA(),LOOKUP(NW$1,$S12:$HK12,csv!$L12:$HD12))</f>
        <v>0</v>
      </c>
      <c r="NX12" s="5">
        <f>IF(ISERROR(LOOKUP(NX$1,$S12:$HK12,csv!$L12:$HD12)),NA(),LOOKUP(NX$1,$S12:$HK12,csv!$L12:$HD12))</f>
        <v>0</v>
      </c>
      <c r="NY12" s="5">
        <f>IF(ISERROR(LOOKUP(NY$1,$S12:$HK12,csv!$L12:$HD12)),NA(),LOOKUP(NY$1,$S12:$HK12,csv!$L12:$HD12))</f>
        <v>0</v>
      </c>
      <c r="NZ12" s="5">
        <f>IF(ISERROR(LOOKUP(NZ$1,$S12:$HK12,csv!$L12:$HD12)),NA(),LOOKUP(NZ$1,$S12:$HK12,csv!$L12:$HD12))</f>
        <v>0</v>
      </c>
      <c r="OA12" s="5">
        <f>IF(ISERROR(LOOKUP(OA$1,$S12:$HK12,csv!$L12:$HD12)),NA(),LOOKUP(OA$1,$S12:$HK12,csv!$L12:$HD12))</f>
        <v>0</v>
      </c>
      <c r="OB12" s="5">
        <f>IF(ISERROR(LOOKUP(OB$1,$S12:$HK12,csv!$L12:$HD12)),NA(),LOOKUP(OB$1,$S12:$HK12,csv!$L12:$HD12))</f>
        <v>0</v>
      </c>
      <c r="OC12" s="5">
        <f>IF(ISERROR(LOOKUP(OC$1,$S12:$HK12,csv!$L12:$HD12)),NA(),LOOKUP(OC$1,$S12:$HK12,csv!$L12:$HD12))</f>
        <v>0</v>
      </c>
      <c r="OD12" s="5">
        <f>IF(ISERROR(LOOKUP(OD$1,$S12:$HK12,csv!$L12:$HD12)),NA(),LOOKUP(OD$1,$S12:$HK12,csv!$L12:$HD12))</f>
        <v>0</v>
      </c>
      <c r="OE12" s="5">
        <f>IF(ISERROR(LOOKUP(OE$1,$S12:$HK12,csv!$L12:$HD12)),NA(),LOOKUP(OE$1,$S12:$HK12,csv!$L12:$HD12))</f>
        <v>0</v>
      </c>
      <c r="OF12" s="5">
        <f>IF(ISERROR(LOOKUP(OF$1,$S12:$HK12,csv!$L12:$HD12)),NA(),LOOKUP(OF$1,$S12:$HK12,csv!$L12:$HD12))</f>
        <v>0</v>
      </c>
      <c r="OG12" s="5">
        <f>IF(ISERROR(LOOKUP(OG$1,$S12:$HK12,csv!$L12:$HD12)),NA(),LOOKUP(OG$1,$S12:$HK12,csv!$L12:$HD12))</f>
        <v>0</v>
      </c>
      <c r="OH12" s="5">
        <f>IF(ISERROR(LOOKUP(OH$1,$S12:$HK12,csv!$L12:$HD12)),NA(),LOOKUP(OH$1,$S12:$HK12,csv!$L12:$HD12))</f>
        <v>0</v>
      </c>
      <c r="OI12" s="5">
        <f>IF(ISERROR(LOOKUP(OI$1,$S12:$HK12,csv!$L12:$HD12)),NA(),LOOKUP(OI$1,$S12:$HK12,csv!$L12:$HD12))</f>
        <v>0</v>
      </c>
      <c r="OJ12" s="5">
        <f>IF(ISERROR(LOOKUP(OJ$1,$S12:$HK12,csv!$L12:$HD12)),NA(),LOOKUP(OJ$1,$S12:$HK12,csv!$L12:$HD12))</f>
        <v>0</v>
      </c>
      <c r="OK12" s="5">
        <f>IF(ISERROR(LOOKUP(OK$1,$S12:$HK12,csv!$L12:$HD12)),NA(),LOOKUP(OK$1,$S12:$HK12,csv!$L12:$HD12))</f>
        <v>0</v>
      </c>
      <c r="OL12" s="5">
        <f>IF(ISERROR(LOOKUP(OL$1,$S12:$HK12,csv!$L12:$HD12)),NA(),LOOKUP(OL$1,$S12:$HK12,csv!$L12:$HD12))</f>
        <v>0</v>
      </c>
      <c r="OM12" s="5">
        <f>IF(ISERROR(LOOKUP(OM$1,$S12:$HK12,csv!$L12:$HD12)),NA(),LOOKUP(OM$1,$S12:$HK12,csv!$L12:$HD12))</f>
        <v>0</v>
      </c>
      <c r="ON12" s="5">
        <f>IF(ISERROR(LOOKUP(ON$1,$S12:$HK12,csv!$L12:$HD12)),NA(),LOOKUP(ON$1,$S12:$HK12,csv!$L12:$HD12))</f>
        <v>0</v>
      </c>
      <c r="OO12" s="5">
        <f>IF(ISERROR(LOOKUP(OO$1,$S12:$HK12,csv!$L12:$HD12)),NA(),LOOKUP(OO$1,$S12:$HK12,csv!$L12:$HD12))</f>
        <v>0</v>
      </c>
      <c r="OP12" s="5">
        <f>IF(ISERROR(LOOKUP(OP$1,$S12:$HK12,csv!$L12:$HD12)),NA(),LOOKUP(OP$1,$S12:$HK12,csv!$L12:$HD12))</f>
        <v>0</v>
      </c>
      <c r="OQ12" s="5">
        <f>IF(ISERROR(LOOKUP(OQ$1,$S12:$HK12,csv!$L12:$HD12)),NA(),LOOKUP(OQ$1,$S12:$HK12,csv!$L12:$HD12))</f>
        <v>0</v>
      </c>
      <c r="OR12" s="5">
        <f>IF(ISERROR(LOOKUP(OR$1,$S12:$HK12,csv!$L12:$HD12)),NA(),LOOKUP(OR$1,$S12:$HK12,csv!$L12:$HD12))</f>
        <v>0</v>
      </c>
      <c r="OS12" s="5">
        <f>IF(ISERROR(LOOKUP(OS$1,$S12:$HK12,csv!$L12:$HD12)),NA(),LOOKUP(OS$1,$S12:$HK12,csv!$L12:$HD12))</f>
        <v>0</v>
      </c>
      <c r="OT12" s="5">
        <f>IF(ISERROR(LOOKUP(OT$1,$S12:$HK12,csv!$L12:$HD12)),NA(),LOOKUP(OT$1,$S12:$HK12,csv!$L12:$HD12))</f>
        <v>0</v>
      </c>
      <c r="OU12" s="5">
        <f>IF(ISERROR(LOOKUP(OU$1,$S12:$HK12,csv!$L12:$HD12)),NA(),LOOKUP(OU$1,$S12:$HK12,csv!$L12:$HD12))</f>
        <v>0</v>
      </c>
      <c r="OV12" s="5">
        <f>IF(ISERROR(LOOKUP(OV$1,$S12:$HK12,csv!$L12:$HD12)),NA(),LOOKUP(OV$1,$S12:$HK12,csv!$L12:$HD12))</f>
        <v>0</v>
      </c>
      <c r="OW12" s="5">
        <f>IF(ISERROR(LOOKUP(OW$1,$S12:$HK12,csv!$L12:$HD12)),NA(),LOOKUP(OW$1,$S12:$HK12,csv!$L12:$HD12))</f>
        <v>0</v>
      </c>
      <c r="OX12" s="5">
        <f>IF(ISERROR(LOOKUP(OX$1,$S12:$HK12,csv!$L12:$HD12)),NA(),LOOKUP(OX$1,$S12:$HK12,csv!$L12:$HD12))</f>
        <v>0</v>
      </c>
      <c r="OY12" s="5">
        <f>IF(ISERROR(LOOKUP(OY$1,$S12:$HK12,csv!$L12:$HD12)),NA(),LOOKUP(OY$1,$S12:$HK12,csv!$L12:$HD12))</f>
        <v>0</v>
      </c>
      <c r="OZ12" s="5">
        <f>IF(ISERROR(LOOKUP(OZ$1,$S12:$HK12,csv!$L12:$HD12)),NA(),LOOKUP(OZ$1,$S12:$HK12,csv!$L12:$HD12))</f>
        <v>0</v>
      </c>
      <c r="PA12" s="5">
        <f>IF(ISERROR(LOOKUP(PA$1,$S12:$HK12,csv!$L12:$HD12)),NA(),LOOKUP(PA$1,$S12:$HK12,csv!$L12:$HD12))</f>
        <v>0</v>
      </c>
      <c r="PB12" s="5">
        <f>IF(ISERROR(LOOKUP(PB$1,$S12:$HK12,csv!$L12:$HD12)),NA(),LOOKUP(PB$1,$S12:$HK12,csv!$L12:$HD12))</f>
        <v>0</v>
      </c>
      <c r="PC12" s="5">
        <f>IF(ISERROR(LOOKUP(PC$1,$S12:$HK12,csv!$L12:$HD12)),NA(),LOOKUP(PC$1,$S12:$HK12,csv!$L12:$HD12))</f>
        <v>0</v>
      </c>
      <c r="PD12" s="5">
        <f>IF(ISERROR(LOOKUP(PD$1,$S12:$HK12,csv!$L12:$HD12)),NA(),LOOKUP(PD$1,$S12:$HK12,csv!$L12:$HD12))</f>
        <v>0</v>
      </c>
      <c r="PE12" s="5">
        <f>IF(ISERROR(LOOKUP(PE$1,$S12:$HK12,csv!$L12:$HD12)),NA(),LOOKUP(PE$1,$S12:$HK12,csv!$L12:$HD12))</f>
        <v>0</v>
      </c>
      <c r="PF12" s="5">
        <f>IF(ISERROR(LOOKUP(PF$1,$S12:$HK12,csv!$L12:$HD12)),NA(),LOOKUP(PF$1,$S12:$HK12,csv!$L12:$HD12))</f>
        <v>0</v>
      </c>
      <c r="PG12" s="5">
        <f>IF(ISERROR(LOOKUP(PG$1,$S12:$HK12,csv!$L12:$HD12)),NA(),LOOKUP(PG$1,$S12:$HK12,csv!$L12:$HD12))</f>
        <v>0</v>
      </c>
      <c r="PH12" s="5">
        <f>IF(ISERROR(LOOKUP(PH$1,$S12:$HK12,csv!$L12:$HD12)),NA(),LOOKUP(PH$1,$S12:$HK12,csv!$L12:$HD12))</f>
        <v>0</v>
      </c>
      <c r="PI12" s="5">
        <f>IF(ISERROR(LOOKUP(PI$1,$S12:$HK12,csv!$L12:$HD12)),NA(),LOOKUP(PI$1,$S12:$HK12,csv!$L12:$HD12))</f>
        <v>0</v>
      </c>
      <c r="PJ12" s="5">
        <f>IF(ISERROR(LOOKUP(PJ$1,$S12:$HK12,csv!$L12:$HD12)),NA(),LOOKUP(PJ$1,$S12:$HK12,csv!$L12:$HD12))</f>
        <v>0</v>
      </c>
      <c r="PK12" s="5">
        <f>IF(ISERROR(LOOKUP(PK$1,$S12:$HK12,csv!$L12:$HD12)),NA(),LOOKUP(PK$1,$S12:$HK12,csv!$L12:$HD12))</f>
        <v>0</v>
      </c>
      <c r="PL12" s="5">
        <f>IF(ISERROR(LOOKUP(PL$1,$S12:$HK12,csv!$L12:$HD12)),NA(),LOOKUP(PL$1,$S12:$HK12,csv!$L12:$HD12))</f>
        <v>0</v>
      </c>
      <c r="PM12" s="5">
        <f>IF(ISERROR(LOOKUP(PM$1,$S12:$HK12,csv!$L12:$HD12)),NA(),LOOKUP(PM$1,$S12:$HK12,csv!$L12:$HD12))</f>
        <v>0</v>
      </c>
      <c r="PN12" s="5">
        <f>IF(ISERROR(LOOKUP(PN$1,$S12:$HK12,csv!$L12:$HD12)),NA(),LOOKUP(PN$1,$S12:$HK12,csv!$L12:$HD12))</f>
        <v>0</v>
      </c>
      <c r="PO12" s="5">
        <f>IF(ISERROR(LOOKUP(PO$1,$S12:$HK12,csv!$L12:$HD12)),NA(),LOOKUP(PO$1,$S12:$HK12,csv!$L12:$HD12))</f>
        <v>0</v>
      </c>
      <c r="PP12" s="5">
        <f>IF(ISERROR(LOOKUP(PP$1,$S12:$HK12,csv!$L12:$HD12)),NA(),LOOKUP(PP$1,$S12:$HK12,csv!$L12:$HD12))</f>
        <v>0</v>
      </c>
      <c r="PQ12" s="5">
        <f>IF(ISERROR(LOOKUP(PQ$1,$S12:$HK12,csv!$L12:$HD12)),NA(),LOOKUP(PQ$1,$S12:$HK12,csv!$L12:$HD12))</f>
        <v>0</v>
      </c>
      <c r="PR12" s="5">
        <f>IF(ISERROR(LOOKUP(PR$1,$S12:$HK12,csv!$L12:$HD12)),NA(),LOOKUP(PR$1,$S12:$HK12,csv!$L12:$HD12))</f>
        <v>0</v>
      </c>
      <c r="PS12" s="5">
        <f>IF(ISERROR(LOOKUP(PS$1,$S12:$HK12,csv!$L12:$HD12)),NA(),LOOKUP(PS$1,$S12:$HK12,csv!$L12:$HD12))</f>
        <v>0</v>
      </c>
      <c r="PT12" s="5">
        <f>IF(ISERROR(LOOKUP(PT$1,$S12:$HK12,csv!$L12:$HD12)),NA(),LOOKUP(PT$1,$S12:$HK12,csv!$L12:$HD12))</f>
        <v>0</v>
      </c>
      <c r="PU12" s="5">
        <f>IF(ISERROR(LOOKUP(PU$1,$S12:$HK12,csv!$L12:$HD12)),NA(),LOOKUP(PU$1,$S12:$HK12,csv!$L12:$HD12))</f>
        <v>0</v>
      </c>
      <c r="PV12" s="5">
        <f>IF(ISERROR(LOOKUP(PV$1,$S12:$HK12,csv!$L12:$HD12)),NA(),LOOKUP(PV$1,$S12:$HK12,csv!$L12:$HD12))</f>
        <v>0</v>
      </c>
      <c r="PW12" s="5">
        <f>IF(ISERROR(LOOKUP(PW$1,$S12:$HK12,csv!$L12:$HD12)),NA(),LOOKUP(PW$1,$S12:$HK12,csv!$L12:$HD12))</f>
        <v>0</v>
      </c>
      <c r="PX12" s="5">
        <f>IF(ISERROR(LOOKUP(PX$1,$S12:$HK12,csv!$L12:$HD12)),NA(),LOOKUP(PX$1,$S12:$HK12,csv!$L12:$HD12))</f>
        <v>0</v>
      </c>
      <c r="PY12" s="5">
        <f>IF(ISERROR(LOOKUP(PY$1,$S12:$HK12,csv!$L12:$HD12)),NA(),LOOKUP(PY$1,$S12:$HK12,csv!$L12:$HD12))</f>
        <v>0</v>
      </c>
      <c r="PZ12" s="5">
        <f>IF(ISERROR(LOOKUP(PZ$1,$S12:$HK12,csv!$L12:$HD12)),NA(),LOOKUP(PZ$1,$S12:$HK12,csv!$L12:$HD12))</f>
        <v>0</v>
      </c>
      <c r="QA12" s="5">
        <f>IF(ISERROR(LOOKUP(QA$1,$S12:$HK12,csv!$L12:$HD12)),NA(),LOOKUP(QA$1,$S12:$HK12,csv!$L12:$HD12))</f>
        <v>0</v>
      </c>
      <c r="QB12" s="5">
        <f>IF(ISERROR(LOOKUP(QB$1,$S12:$HK12,csv!$L12:$HD12)),NA(),LOOKUP(QB$1,$S12:$HK12,csv!$L12:$HD12))</f>
        <v>0</v>
      </c>
      <c r="QC12" s="5">
        <f>IF(ISERROR(LOOKUP(QC$1,$S12:$HK12,csv!$L12:$HD12)),NA(),LOOKUP(QC$1,$S12:$HK12,csv!$L12:$HD12))</f>
        <v>0</v>
      </c>
      <c r="QD12" s="5">
        <f>IF(ISERROR(LOOKUP(QD$1,$S12:$HK12,csv!$L12:$HD12)),NA(),LOOKUP(QD$1,$S12:$HK12,csv!$L12:$HD12))</f>
        <v>0</v>
      </c>
      <c r="QE12" s="5">
        <f>IF(ISERROR(LOOKUP(QE$1,$S12:$HK12,csv!$L12:$HD12)),NA(),LOOKUP(QE$1,$S12:$HK12,csv!$L12:$HD12))</f>
        <v>0</v>
      </c>
      <c r="QF12" s="5">
        <f>IF(ISERROR(LOOKUP(QF$1,$S12:$HK12,csv!$L12:$HD12)),NA(),LOOKUP(QF$1,$S12:$HK12,csv!$L12:$HD12))</f>
        <v>0</v>
      </c>
      <c r="QG12" s="5">
        <f>IF(ISERROR(LOOKUP(QG$1,$S12:$HK12,csv!$L12:$HD12)),NA(),LOOKUP(QG$1,$S12:$HK12,csv!$L12:$HD12))</f>
        <v>0</v>
      </c>
      <c r="QH12" s="5">
        <f>IF(ISERROR(LOOKUP(QH$1,$S12:$HK12,csv!$L12:$HD12)),NA(),LOOKUP(QH$1,$S12:$HK12,csv!$L12:$HD12))</f>
        <v>0</v>
      </c>
      <c r="QI12" s="5">
        <f>IF(ISERROR(LOOKUP(QI$1,$S12:$HK12,csv!$L12:$HD12)),NA(),LOOKUP(QI$1,$S12:$HK12,csv!$L12:$HD12))</f>
        <v>0</v>
      </c>
      <c r="QJ12" s="5">
        <f>IF(ISERROR(LOOKUP(QJ$1,$S12:$HK12,csv!$L12:$HD12)),NA(),LOOKUP(QJ$1,$S12:$HK12,csv!$L12:$HD12))</f>
        <v>0</v>
      </c>
      <c r="QK12" s="5">
        <f>IF(ISERROR(LOOKUP(QK$1,$S12:$HK12,csv!$L12:$HD12)),NA(),LOOKUP(QK$1,$S12:$HK12,csv!$L12:$HD12))</f>
        <v>0</v>
      </c>
      <c r="QL12" s="5">
        <f>IF(ISERROR(LOOKUP(QL$1,$S12:$HK12,csv!$L12:$HD12)),NA(),LOOKUP(QL$1,$S12:$HK12,csv!$L12:$HD12))</f>
        <v>0</v>
      </c>
      <c r="QM12" s="5">
        <f>IF(ISERROR(LOOKUP(QM$1,$S12:$HK12,csv!$L12:$HD12)),NA(),LOOKUP(QM$1,$S12:$HK12,csv!$L12:$HD12))</f>
        <v>0</v>
      </c>
      <c r="QN12" s="5">
        <f>IF(ISERROR(LOOKUP(QN$1,$S12:$HK12,csv!$L12:$HD12)),NA(),LOOKUP(QN$1,$S12:$HK12,csv!$L12:$HD12))</f>
        <v>0</v>
      </c>
      <c r="QO12" s="5">
        <f>IF(ISERROR(LOOKUP(QO$1,$S12:$HK12,csv!$L12:$HD12)),NA(),LOOKUP(QO$1,$S12:$HK12,csv!$L12:$HD12))</f>
        <v>0</v>
      </c>
      <c r="QP12" s="5">
        <f>IF(ISERROR(LOOKUP(QP$1,$S12:$HK12,csv!$L12:$HD12)),NA(),LOOKUP(QP$1,$S12:$HK12,csv!$L12:$HD12))</f>
        <v>0</v>
      </c>
      <c r="QQ12" s="5">
        <f>IF(ISERROR(LOOKUP(QQ$1,$S12:$HK12,csv!$L12:$HD12)),NA(),LOOKUP(QQ$1,$S12:$HK12,csv!$L12:$HD12))</f>
        <v>0</v>
      </c>
      <c r="QR12" s="5">
        <f>IF(ISERROR(LOOKUP(QR$1,$S12:$HK12,csv!$L12:$HD12)),NA(),LOOKUP(QR$1,$S12:$HK12,csv!$L12:$HD12))</f>
        <v>0</v>
      </c>
      <c r="QS12" s="5">
        <f>IF(ISERROR(LOOKUP(QS$1,$S12:$HK12,csv!$L12:$HD12)),NA(),LOOKUP(QS$1,$S12:$HK12,csv!$L12:$HD12))</f>
        <v>0</v>
      </c>
      <c r="QT12" s="5">
        <f>IF(ISERROR(LOOKUP(QT$1,$S12:$HK12,csv!$L12:$HD12)),NA(),LOOKUP(QT$1,$S12:$HK12,csv!$L12:$HD12))</f>
        <v>0</v>
      </c>
      <c r="QU12" s="5">
        <f>IF(ISERROR(LOOKUP(QU$1,$S12:$HK12,csv!$L12:$HD12)),NA(),LOOKUP(QU$1,$S12:$HK12,csv!$L12:$HD12))</f>
        <v>0</v>
      </c>
      <c r="QV12" s="5">
        <f>IF(ISERROR(LOOKUP(QV$1,$S12:$HK12,csv!$L12:$HD12)),NA(),LOOKUP(QV$1,$S12:$HK12,csv!$L12:$HD12))</f>
        <v>0</v>
      </c>
      <c r="QW12" s="5">
        <f>IF(ISERROR(LOOKUP(QW$1,$S12:$HK12,csv!$L12:$HD12)),NA(),LOOKUP(QW$1,$S12:$HK12,csv!$L12:$HD12))</f>
        <v>0</v>
      </c>
      <c r="QX12" s="5">
        <f>IF(ISERROR(LOOKUP(QX$1,$S12:$HK12,csv!$L12:$HD12)),NA(),LOOKUP(QX$1,$S12:$HK12,csv!$L12:$HD12))</f>
        <v>0</v>
      </c>
      <c r="QY12" s="5">
        <f>IF(ISERROR(LOOKUP(QY$1,$S12:$HK12,csv!$L12:$HD12)),NA(),LOOKUP(QY$1,$S12:$HK12,csv!$L12:$HD12))</f>
        <v>0</v>
      </c>
      <c r="QZ12" s="5">
        <f>IF(ISERROR(LOOKUP(QZ$1,$S12:$HK12,csv!$L12:$HD12)),NA(),LOOKUP(QZ$1,$S12:$HK12,csv!$L12:$HD12))</f>
        <v>0</v>
      </c>
      <c r="RA12" s="5">
        <f>IF(ISERROR(LOOKUP(RA$1,$S12:$HK12,csv!$L12:$HD12)),NA(),LOOKUP(RA$1,$S12:$HK12,csv!$L12:$HD12))</f>
        <v>0</v>
      </c>
      <c r="RB12" s="5">
        <f>IF(ISERROR(LOOKUP(RB$1,$S12:$HK12,csv!$L12:$HD12)),NA(),LOOKUP(RB$1,$S12:$HK12,csv!$L12:$HD12))</f>
        <v>0</v>
      </c>
      <c r="RC12" s="5">
        <f>IF(ISERROR(LOOKUP(RC$1,$S12:$HK12,csv!$L12:$HD12)),NA(),LOOKUP(RC$1,$S12:$HK12,csv!$L12:$HD12))</f>
        <v>0</v>
      </c>
      <c r="RD12" s="5">
        <f>IF(ISERROR(LOOKUP(RD$1,$S12:$HK12,csv!$L12:$HD12)),NA(),LOOKUP(RD$1,$S12:$HK12,csv!$L12:$HD12))</f>
        <v>0</v>
      </c>
      <c r="RE12" s="5">
        <f>IF(ISERROR(LOOKUP(RE$1,$S12:$HK12,csv!$L12:$HD12)),NA(),LOOKUP(RE$1,$S12:$HK12,csv!$L12:$HD12))</f>
        <v>0</v>
      </c>
      <c r="RF12" s="5">
        <f>IF(ISERROR(LOOKUP(RF$1,$S12:$HK12,csv!$L12:$HD12)),NA(),LOOKUP(RF$1,$S12:$HK12,csv!$L12:$HD12))</f>
        <v>0</v>
      </c>
      <c r="RG12" s="5">
        <f>IF(ISERROR(LOOKUP(RG$1,$S12:$HK12,csv!$L12:$HD12)),NA(),LOOKUP(RG$1,$S12:$HK12,csv!$L12:$HD12))</f>
        <v>0</v>
      </c>
      <c r="RH12" s="5">
        <f>IF(ISERROR(LOOKUP(RH$1,$S12:$HK12,csv!$L12:$HD12)),NA(),LOOKUP(RH$1,$S12:$HK12,csv!$L12:$HD12))</f>
        <v>0</v>
      </c>
      <c r="RI12" s="5">
        <f>IF(ISERROR(LOOKUP(RI$1,$S12:$HK12,csv!$L12:$HD12)),NA(),LOOKUP(RI$1,$S12:$HK12,csv!$L12:$HD12))</f>
        <v>0</v>
      </c>
      <c r="RJ12" s="5">
        <f>IF(ISERROR(LOOKUP(RJ$1,$S12:$HK12,csv!$L12:$HD12)),NA(),LOOKUP(RJ$1,$S12:$HK12,csv!$L12:$HD12))</f>
        <v>0</v>
      </c>
      <c r="RK12" s="5">
        <f>IF(ISERROR(LOOKUP(RK$1,$S12:$HK12,csv!$L12:$HD12)),NA(),LOOKUP(RK$1,$S12:$HK12,csv!$L12:$HD12))</f>
        <v>0</v>
      </c>
      <c r="RL12" s="5">
        <f>IF(ISERROR(LOOKUP(RL$1,$S12:$HK12,csv!$L12:$HD12)),NA(),LOOKUP(RL$1,$S12:$HK12,csv!$L12:$HD12))</f>
        <v>0</v>
      </c>
      <c r="RM12" s="5">
        <f>IF(ISERROR(LOOKUP(RM$1,$S12:$HK12,csv!$L12:$HD12)),NA(),LOOKUP(RM$1,$S12:$HK12,csv!$L12:$HD12))</f>
        <v>0</v>
      </c>
      <c r="RN12" s="5">
        <f>IF(ISERROR(LOOKUP(RN$1,$S12:$HK12,csv!$L12:$HD12)),NA(),LOOKUP(RN$1,$S12:$HK12,csv!$L12:$HD12))</f>
        <v>0</v>
      </c>
      <c r="RO12" s="5">
        <f>IF(ISERROR(LOOKUP(RO$1,$S12:$HK12,csv!$L12:$HD12)),NA(),LOOKUP(RO$1,$S12:$HK12,csv!$L12:$HD12))</f>
        <v>0</v>
      </c>
      <c r="RP12" s="5">
        <f>IF(ISERROR(LOOKUP(RP$1,$S12:$HK12,csv!$L12:$HD12)),NA(),LOOKUP(RP$1,$S12:$HK12,csv!$L12:$HD12))</f>
        <v>0</v>
      </c>
      <c r="RQ12" s="5">
        <f>IF(ISERROR(LOOKUP(RQ$1,$S12:$HK12,csv!$L12:$HD12)),NA(),LOOKUP(RQ$1,$S12:$HK12,csv!$L12:$HD12))</f>
        <v>0</v>
      </c>
      <c r="RR12" s="5">
        <f>IF(ISERROR(LOOKUP(RR$1,$S12:$HK12,csv!$L12:$HD12)),NA(),LOOKUP(RR$1,$S12:$HK12,csv!$L12:$HD12))</f>
        <v>0</v>
      </c>
      <c r="RS12" s="5">
        <f>IF(ISERROR(LOOKUP(RS$1,$S12:$HK12,csv!$L12:$HD12)),NA(),LOOKUP(RS$1,$S12:$HK12,csv!$L12:$HD12))</f>
        <v>0</v>
      </c>
      <c r="RT12" s="5">
        <f>IF(ISERROR(LOOKUP(RT$1,$S12:$HK12,csv!$L12:$HD12)),NA(),LOOKUP(RT$1,$S12:$HK12,csv!$L12:$HD12))</f>
        <v>0</v>
      </c>
      <c r="RU12" s="5">
        <f>IF(ISERROR(LOOKUP(RU$1,$S12:$HK12,csv!$L12:$HD12)),NA(),LOOKUP(RU$1,$S12:$HK12,csv!$L12:$HD12))</f>
        <v>0</v>
      </c>
      <c r="RV12" s="5">
        <f>IF(ISERROR(LOOKUP(RV$1,$S12:$HK12,csv!$L12:$HD12)),NA(),LOOKUP(RV$1,$S12:$HK12,csv!$L12:$HD12))</f>
        <v>0</v>
      </c>
      <c r="RW12" s="5">
        <f>IF(ISERROR(LOOKUP(RW$1,$S12:$HK12,csv!$L12:$HD12)),NA(),LOOKUP(RW$1,$S12:$HK12,csv!$L12:$HD12))</f>
        <v>0</v>
      </c>
      <c r="RX12" s="5">
        <f>IF(ISERROR(LOOKUP(RX$1,$S12:$HK12,csv!$L12:$HD12)),NA(),LOOKUP(RX$1,$S12:$HK12,csv!$L12:$HD12))</f>
        <v>0</v>
      </c>
      <c r="RY12" s="5">
        <f>IF(ISERROR(LOOKUP(RY$1,$S12:$HK12,csv!$L12:$HD12)),NA(),LOOKUP(RY$1,$S12:$HK12,csv!$L12:$HD12))</f>
        <v>0</v>
      </c>
      <c r="RZ12" s="5">
        <f>IF(ISERROR(LOOKUP(RZ$1,$S12:$HK12,csv!$L12:$HD12)),NA(),LOOKUP(RZ$1,$S12:$HK12,csv!$L12:$HD12))</f>
        <v>0</v>
      </c>
      <c r="SA12" s="5">
        <f>IF(ISERROR(LOOKUP(SA$1,$S12:$HK12,csv!$L12:$HD12)),NA(),LOOKUP(SA$1,$S12:$HK12,csv!$L12:$HD12))</f>
        <v>0</v>
      </c>
      <c r="SB12" s="5">
        <f>IF(ISERROR(LOOKUP(SB$1,$S12:$HK12,csv!$L12:$HD12)),NA(),LOOKUP(SB$1,$S12:$HK12,csv!$L12:$HD12))</f>
        <v>0</v>
      </c>
      <c r="SC12" s="5">
        <f>IF(ISERROR(LOOKUP(SC$1,$S12:$HK12,csv!$L12:$HD12)),NA(),LOOKUP(SC$1,$S12:$HK12,csv!$L12:$HD12))</f>
        <v>0</v>
      </c>
      <c r="SD12" s="5">
        <f>IF(ISERROR(LOOKUP(SD$1,$S12:$HK12,csv!$L12:$HD12)),NA(),LOOKUP(SD$1,$S12:$HK12,csv!$L12:$HD12))</f>
        <v>0</v>
      </c>
      <c r="SE12" s="5">
        <f>IF(ISERROR(LOOKUP(SE$1,$S12:$HK12,csv!$L12:$HD12)),NA(),LOOKUP(SE$1,$S12:$HK12,csv!$L12:$HD12))</f>
        <v>0</v>
      </c>
      <c r="SF12" s="5">
        <f>IF(ISERROR(LOOKUP(SF$1,$S12:$HK12,csv!$L12:$HD12)),NA(),LOOKUP(SF$1,$S12:$HK12,csv!$L12:$HD12))</f>
        <v>0</v>
      </c>
      <c r="SG12" s="5">
        <f>IF(ISERROR(LOOKUP(SG$1,$S12:$HK12,csv!$L12:$HD12)),NA(),LOOKUP(SG$1,$S12:$HK12,csv!$L12:$HD12))</f>
        <v>0</v>
      </c>
      <c r="SH12" s="5">
        <f>IF(ISERROR(LOOKUP(SH$1,$S12:$HK12,csv!$L12:$HD12)),NA(),LOOKUP(SH$1,$S12:$HK12,csv!$L12:$HD12))</f>
        <v>0</v>
      </c>
      <c r="SI12" s="5">
        <f>IF(ISERROR(LOOKUP(SI$1,$S12:$HK12,csv!$L12:$HD12)),NA(),LOOKUP(SI$1,$S12:$HK12,csv!$L12:$HD12))</f>
        <v>0</v>
      </c>
      <c r="SJ12" s="5">
        <f>IF(ISERROR(LOOKUP(SJ$1,$S12:$HK12,csv!$L12:$HD12)),NA(),LOOKUP(SJ$1,$S12:$HK12,csv!$L12:$HD12))</f>
        <v>0</v>
      </c>
      <c r="SK12" s="5">
        <f>IF(ISERROR(LOOKUP(SK$1,$S12:$HK12,csv!$L12:$HD12)),NA(),LOOKUP(SK$1,$S12:$HK12,csv!$L12:$HD12))</f>
        <v>0</v>
      </c>
      <c r="SL12" s="5">
        <f>IF(ISERROR(LOOKUP(SL$1,$S12:$HK12,csv!$L12:$HD12)),NA(),LOOKUP(SL$1,$S12:$HK12,csv!$L12:$HD12))</f>
        <v>0</v>
      </c>
      <c r="SM12" s="5">
        <f>IF(ISERROR(LOOKUP(SM$1,$S12:$HK12,csv!$L12:$HD12)),NA(),LOOKUP(SM$1,$S12:$HK12,csv!$L12:$HD12))</f>
        <v>0</v>
      </c>
      <c r="SN12" s="5">
        <f>IF(ISERROR(LOOKUP(SN$1,$S12:$HK12,csv!$L12:$HD12)),NA(),LOOKUP(SN$1,$S12:$HK12,csv!$L12:$HD12))</f>
        <v>0</v>
      </c>
      <c r="SO12" s="5">
        <f>IF(ISERROR(LOOKUP(SO$1,$S12:$HK12,csv!$L12:$HD12)),NA(),LOOKUP(SO$1,$S12:$HK12,csv!$L12:$HD12))</f>
        <v>0</v>
      </c>
      <c r="SP12" s="5">
        <f>IF(ISERROR(LOOKUP(SP$1,$S12:$HK12,csv!$L12:$HD12)),NA(),LOOKUP(SP$1,$S12:$HK12,csv!$L12:$HD12))</f>
        <v>0</v>
      </c>
      <c r="SQ12" s="5">
        <f>IF(ISERROR(LOOKUP(SQ$1,$S12:$HK12,csv!$L12:$HD12)),NA(),LOOKUP(SQ$1,$S12:$HK12,csv!$L12:$HD12))</f>
        <v>0</v>
      </c>
      <c r="SR12" s="5">
        <f>IF(ISERROR(LOOKUP(SR$1,$S12:$HK12,csv!$L12:$HD12)),NA(),LOOKUP(SR$1,$S12:$HK12,csv!$L12:$HD12))</f>
        <v>0</v>
      </c>
      <c r="SS12" s="5">
        <f>IF(ISERROR(LOOKUP(SS$1,$S12:$HK12,csv!$L12:$HD12)),NA(),LOOKUP(SS$1,$S12:$HK12,csv!$L12:$HD12))</f>
        <v>0</v>
      </c>
      <c r="ST12" s="5">
        <f>IF(ISERROR(LOOKUP(ST$1,$S12:$HK12,csv!$L12:$HD12)),NA(),LOOKUP(ST$1,$S12:$HK12,csv!$L12:$HD12))</f>
        <v>0</v>
      </c>
      <c r="SU12" s="5">
        <f>IF(ISERROR(LOOKUP(SU$1,$S12:$HK12,csv!$L12:$HD12)),NA(),LOOKUP(SU$1,$S12:$HK12,csv!$L12:$HD12))</f>
        <v>0</v>
      </c>
      <c r="SV12" s="5">
        <f>IF(ISERROR(LOOKUP(SV$1,$S12:$HK12,csv!$L12:$HD12)),NA(),LOOKUP(SV$1,$S12:$HK12,csv!$L12:$HD12))</f>
        <v>0</v>
      </c>
      <c r="SW12" s="5">
        <f>IF(ISERROR(LOOKUP(SW$1,$S12:$HK12,csv!$L12:$HD12)),NA(),LOOKUP(SW$1,$S12:$HK12,csv!$L12:$HD12))</f>
        <v>0</v>
      </c>
      <c r="SX12" s="5">
        <f>IF(ISERROR(LOOKUP(SX$1,$S12:$HK12,csv!$L12:$HD12)),NA(),LOOKUP(SX$1,$S12:$HK12,csv!$L12:$HD12))</f>
        <v>0</v>
      </c>
      <c r="SY12" s="5">
        <f>IF(ISERROR(LOOKUP(SY$1,$S12:$HK12,csv!$L12:$HD12)),NA(),LOOKUP(SY$1,$S12:$HK12,csv!$L12:$HD12))</f>
        <v>0</v>
      </c>
      <c r="SZ12" s="5">
        <f>IF(ISERROR(LOOKUP(SZ$1,$S12:$HK12,csv!$L12:$HD12)),NA(),LOOKUP(SZ$1,$S12:$HK12,csv!$L12:$HD12))</f>
        <v>0</v>
      </c>
      <c r="TA12" s="5">
        <f>IF(ISERROR(LOOKUP(TA$1,$S12:$HK12,csv!$L12:$HD12)),NA(),LOOKUP(TA$1,$S12:$HK12,csv!$L12:$HD12))</f>
        <v>0</v>
      </c>
      <c r="TB12" s="5">
        <f>IF(ISERROR(LOOKUP(TB$1,$S12:$HK12,csv!$L12:$HD12)),NA(),LOOKUP(TB$1,$S12:$HK12,csv!$L12:$HD12))</f>
        <v>0</v>
      </c>
      <c r="TD12">
        <f>csv!HG12/10</f>
        <v>0</v>
      </c>
    </row>
    <row r="13" spans="1:524" x14ac:dyDescent="0.15">
      <c r="C13" s="32" t="str">
        <f>TEXT(csv!B13&amp;"/"&amp;csv!C13&amp;"-"&amp;csv!E13&amp;"/"&amp;csv!F13,"mm/dd")</f>
        <v>/-/</v>
      </c>
      <c r="D13">
        <f>csv!A13*10000+csv!B13*100+csv!C13</f>
        <v>0</v>
      </c>
      <c r="E13">
        <f>(IF(csv!HG13&lt;-1000,NA(),csv!HG13)+csv!K13)/10</f>
        <v>0</v>
      </c>
      <c r="F13">
        <f>(IF(csv!HG26&lt;-1000,NA(),csv!HG26)+csv!K26)/10</f>
        <v>0</v>
      </c>
      <c r="G13">
        <f>(IF(csv!HG39&lt;-1000,NA(),csv!HG39)+csv!K39)/10</f>
        <v>0</v>
      </c>
      <c r="H13">
        <f>IF(csv!HG13&lt;-1000,NA(),csv!HG13/10)</f>
        <v>0</v>
      </c>
      <c r="I13">
        <f>IF(csv!HG26&lt;-1000,NA(),csv!HG26/10)</f>
        <v>0</v>
      </c>
      <c r="J13">
        <f>IF(csv!HG39&lt;-1000,NA(),csv!HG39/10)</f>
        <v>0</v>
      </c>
      <c r="K13">
        <f>IF(csv!HF13&lt;-1000,NA(),csv!HF13/10)</f>
        <v>0</v>
      </c>
      <c r="L13">
        <f>IF(csv!HF26&lt;-1000,NA(),csv!HF26/10)</f>
        <v>0</v>
      </c>
      <c r="M13">
        <f>IF(csv!HF39&lt;-1000,NA(),csv!HF39/10)</f>
        <v>0</v>
      </c>
      <c r="N13">
        <f>IF(csv!HE13&lt;-1000,NA(),csv!HE13/10)</f>
        <v>0</v>
      </c>
      <c r="O13">
        <f>IF(csv!HE26&lt;-1000,NA(),csv!HE26/10)</f>
        <v>0</v>
      </c>
      <c r="P13">
        <f>IF(csv!HE39&lt;-1000,NA(),csv!HE39/10)</f>
        <v>0</v>
      </c>
      <c r="S13" s="4">
        <f>ROUND((csv!$HG13/10+calc!S$1),1)</f>
        <v>-10</v>
      </c>
      <c r="T13" s="4">
        <f>ROUND((csv!$HG13/10+calc!T$1),1)</f>
        <v>-9.9</v>
      </c>
      <c r="U13" s="4">
        <f>ROUND((csv!$HG13/10+calc!U$1),1)</f>
        <v>-9.8000000000000007</v>
      </c>
      <c r="V13" s="4">
        <f>ROUND((csv!$HG13/10+calc!V$1),1)</f>
        <v>-9.6999999999999993</v>
      </c>
      <c r="W13" s="4">
        <f>ROUND((csv!$HG13/10+calc!W$1),1)</f>
        <v>-9.6</v>
      </c>
      <c r="X13" s="4">
        <f>ROUND((csv!$HG13/10+calc!X$1),1)</f>
        <v>-9.5</v>
      </c>
      <c r="Y13" s="4">
        <f>ROUND((csv!$HG13/10+calc!Y$1),1)</f>
        <v>-9.4</v>
      </c>
      <c r="Z13" s="4">
        <f>ROUND((csv!$HG13/10+calc!Z$1),1)</f>
        <v>-9.3000000000000007</v>
      </c>
      <c r="AA13" s="4">
        <f>ROUND((csv!$HG13/10+calc!AA$1),1)</f>
        <v>-9.1999999999999993</v>
      </c>
      <c r="AB13" s="4">
        <f>ROUND((csv!$HG13/10+calc!AB$1),1)</f>
        <v>-9.1</v>
      </c>
      <c r="AC13" s="4">
        <f>ROUND((csv!$HG13/10+calc!AC$1),1)</f>
        <v>-9</v>
      </c>
      <c r="AD13" s="4">
        <f>ROUND((csv!$HG13/10+calc!AD$1),1)</f>
        <v>-8.9</v>
      </c>
      <c r="AE13" s="4">
        <f>ROUND((csv!$HG13/10+calc!AE$1),1)</f>
        <v>-8.8000000000000007</v>
      </c>
      <c r="AF13" s="4">
        <f>ROUND((csv!$HG13/10+calc!AF$1),1)</f>
        <v>-8.6999999999999993</v>
      </c>
      <c r="AG13" s="4">
        <f>ROUND((csv!$HG13/10+calc!AG$1),1)</f>
        <v>-8.6</v>
      </c>
      <c r="AH13" s="4">
        <f>ROUND((csv!$HG13/10+calc!AH$1),1)</f>
        <v>-8.5</v>
      </c>
      <c r="AI13" s="4">
        <f>ROUND((csv!$HG13/10+calc!AI$1),1)</f>
        <v>-8.4</v>
      </c>
      <c r="AJ13" s="4">
        <f>ROUND((csv!$HG13/10+calc!AJ$1),1)</f>
        <v>-8.3000000000000007</v>
      </c>
      <c r="AK13" s="4">
        <f>ROUND((csv!$HG13/10+calc!AK$1),1)</f>
        <v>-8.1999999999999993</v>
      </c>
      <c r="AL13" s="4">
        <f>ROUND((csv!$HG13/10+calc!AL$1),1)</f>
        <v>-8.1</v>
      </c>
      <c r="AM13" s="4">
        <f>ROUND((csv!$HG13/10+calc!AM$1),1)</f>
        <v>-8</v>
      </c>
      <c r="AN13" s="4">
        <f>ROUND((csv!$HG13/10+calc!AN$1),1)</f>
        <v>-7.9</v>
      </c>
      <c r="AO13" s="4">
        <f>ROUND((csv!$HG13/10+calc!AO$1),1)</f>
        <v>-7.8</v>
      </c>
      <c r="AP13" s="4">
        <f>ROUND((csv!$HG13/10+calc!AP$1),1)</f>
        <v>-7.7</v>
      </c>
      <c r="AQ13" s="4">
        <f>ROUND((csv!$HG13/10+calc!AQ$1),1)</f>
        <v>-7.6</v>
      </c>
      <c r="AR13" s="4">
        <f>ROUND((csv!$HG13/10+calc!AR$1),1)</f>
        <v>-7.5</v>
      </c>
      <c r="AS13" s="4">
        <f>ROUND((csv!$HG13/10+calc!AS$1),1)</f>
        <v>-7.4</v>
      </c>
      <c r="AT13" s="4">
        <f>ROUND((csv!$HG13/10+calc!AT$1),1)</f>
        <v>-7.3</v>
      </c>
      <c r="AU13" s="4">
        <f>ROUND((csv!$HG13/10+calc!AU$1),1)</f>
        <v>-7.2</v>
      </c>
      <c r="AV13" s="4">
        <f>ROUND((csv!$HG13/10+calc!AV$1),1)</f>
        <v>-7.1</v>
      </c>
      <c r="AW13" s="4">
        <f>ROUND((csv!$HG13/10+calc!AW$1),1)</f>
        <v>-7</v>
      </c>
      <c r="AX13" s="4">
        <f>ROUND((csv!$HG13/10+calc!AX$1),1)</f>
        <v>-6.9</v>
      </c>
      <c r="AY13" s="4">
        <f>ROUND((csv!$HG13/10+calc!AY$1),1)</f>
        <v>-6.8</v>
      </c>
      <c r="AZ13" s="4">
        <f>ROUND((csv!$HG13/10+calc!AZ$1),1)</f>
        <v>-6.7</v>
      </c>
      <c r="BA13" s="4">
        <f>ROUND((csv!$HG13/10+calc!BA$1),1)</f>
        <v>-6.6</v>
      </c>
      <c r="BB13" s="4">
        <f>ROUND((csv!$HG13/10+calc!BB$1),1)</f>
        <v>-6.5</v>
      </c>
      <c r="BC13" s="4">
        <f>ROUND((csv!$HG13/10+calc!BC$1),1)</f>
        <v>-6.4</v>
      </c>
      <c r="BD13" s="4">
        <f>ROUND((csv!$HG13/10+calc!BD$1),1)</f>
        <v>-6.3</v>
      </c>
      <c r="BE13" s="4">
        <f>ROUND((csv!$HG13/10+calc!BE$1),1)</f>
        <v>-6.2</v>
      </c>
      <c r="BF13" s="4">
        <f>ROUND((csv!$HG13/10+calc!BF$1),1)</f>
        <v>-6.1</v>
      </c>
      <c r="BG13" s="4">
        <f>ROUND((csv!$HG13/10+calc!BG$1),1)</f>
        <v>-6</v>
      </c>
      <c r="BH13" s="4">
        <f>ROUND((csv!$HG13/10+calc!BH$1),1)</f>
        <v>-5.9</v>
      </c>
      <c r="BI13" s="4">
        <f>ROUND((csv!$HG13/10+calc!BI$1),1)</f>
        <v>-5.8</v>
      </c>
      <c r="BJ13" s="4">
        <f>ROUND((csv!$HG13/10+calc!BJ$1),1)</f>
        <v>-5.7</v>
      </c>
      <c r="BK13" s="4">
        <f>ROUND((csv!$HG13/10+calc!BK$1),1)</f>
        <v>-5.6</v>
      </c>
      <c r="BL13" s="4">
        <f>ROUND((csv!$HG13/10+calc!BL$1),1)</f>
        <v>-5.5</v>
      </c>
      <c r="BM13" s="4">
        <f>ROUND((csv!$HG13/10+calc!BM$1),1)</f>
        <v>-5.4</v>
      </c>
      <c r="BN13" s="4">
        <f>ROUND((csv!$HG13/10+calc!BN$1),1)</f>
        <v>-5.3</v>
      </c>
      <c r="BO13" s="4">
        <f>ROUND((csv!$HG13/10+calc!BO$1),1)</f>
        <v>-5.2</v>
      </c>
      <c r="BP13" s="4">
        <f>ROUND((csv!$HG13/10+calc!BP$1),1)</f>
        <v>-5.0999999999999996</v>
      </c>
      <c r="BQ13" s="4">
        <f>ROUND((csv!$HG13/10+calc!BQ$1),1)</f>
        <v>-5</v>
      </c>
      <c r="BR13" s="4">
        <f>ROUND((csv!$HG13/10+calc!BR$1),1)</f>
        <v>-4.9000000000000004</v>
      </c>
      <c r="BS13" s="4">
        <f>ROUND((csv!$HG13/10+calc!BS$1),1)</f>
        <v>-4.8</v>
      </c>
      <c r="BT13" s="4">
        <f>ROUND((csv!$HG13/10+calc!BT$1),1)</f>
        <v>-4.7</v>
      </c>
      <c r="BU13" s="4">
        <f>ROUND((csv!$HG13/10+calc!BU$1),1)</f>
        <v>-4.5999999999999996</v>
      </c>
      <c r="BV13" s="4">
        <f>ROUND((csv!$HG13/10+calc!BV$1),1)</f>
        <v>-4.5</v>
      </c>
      <c r="BW13" s="4">
        <f>ROUND((csv!$HG13/10+calc!BW$1),1)</f>
        <v>-4.4000000000000004</v>
      </c>
      <c r="BX13" s="4">
        <f>ROUND((csv!$HG13/10+calc!BX$1),1)</f>
        <v>-4.3</v>
      </c>
      <c r="BY13" s="4">
        <f>ROUND((csv!$HG13/10+calc!BY$1),1)</f>
        <v>-4.2</v>
      </c>
      <c r="BZ13" s="4">
        <f>ROUND((csv!$HG13/10+calc!BZ$1),1)</f>
        <v>-4.0999999999999996</v>
      </c>
      <c r="CA13" s="4">
        <f>ROUND((csv!$HG13/10+calc!CA$1),1)</f>
        <v>-4</v>
      </c>
      <c r="CB13" s="4">
        <f>ROUND((csv!$HG13/10+calc!CB$1),1)</f>
        <v>-3.9</v>
      </c>
      <c r="CC13" s="4">
        <f>ROUND((csv!$HG13/10+calc!CC$1),1)</f>
        <v>-3.8</v>
      </c>
      <c r="CD13" s="4">
        <f>ROUND((csv!$HG13/10+calc!CD$1),1)</f>
        <v>-3.7</v>
      </c>
      <c r="CE13" s="4">
        <f>ROUND((csv!$HG13/10+calc!CE$1),1)</f>
        <v>-3.6</v>
      </c>
      <c r="CF13" s="4">
        <f>ROUND((csv!$HG13/10+calc!CF$1),1)</f>
        <v>-3.5</v>
      </c>
      <c r="CG13" s="4">
        <f>ROUND((csv!$HG13/10+calc!CG$1),1)</f>
        <v>-3.4</v>
      </c>
      <c r="CH13" s="4">
        <f>ROUND((csv!$HG13/10+calc!CH$1),1)</f>
        <v>-3.3</v>
      </c>
      <c r="CI13" s="4">
        <f>ROUND((csv!$HG13/10+calc!CI$1),1)</f>
        <v>-3.2</v>
      </c>
      <c r="CJ13" s="4">
        <f>ROUND((csv!$HG13/10+calc!CJ$1),1)</f>
        <v>-3.1</v>
      </c>
      <c r="CK13" s="4">
        <f>ROUND((csv!$HG13/10+calc!CK$1),1)</f>
        <v>-3</v>
      </c>
      <c r="CL13" s="4">
        <f>ROUND((csv!$HG13/10+calc!CL$1),1)</f>
        <v>-2.9</v>
      </c>
      <c r="CM13" s="4">
        <f>ROUND((csv!$HG13/10+calc!CM$1),1)</f>
        <v>-2.8</v>
      </c>
      <c r="CN13" s="4">
        <f>ROUND((csv!$HG13/10+calc!CN$1),1)</f>
        <v>-2.7</v>
      </c>
      <c r="CO13" s="4">
        <f>ROUND((csv!$HG13/10+calc!CO$1),1)</f>
        <v>-2.6</v>
      </c>
      <c r="CP13" s="4">
        <f>ROUND((csv!$HG13/10+calc!CP$1),1)</f>
        <v>-2.5</v>
      </c>
      <c r="CQ13" s="4">
        <f>ROUND((csv!$HG13/10+calc!CQ$1),1)</f>
        <v>-2.4</v>
      </c>
      <c r="CR13" s="4">
        <f>ROUND((csv!$HG13/10+calc!CR$1),1)</f>
        <v>-2.2999999999999998</v>
      </c>
      <c r="CS13" s="4">
        <f>ROUND((csv!$HG13/10+calc!CS$1),1)</f>
        <v>-2.2000000000000002</v>
      </c>
      <c r="CT13" s="4">
        <f>ROUND((csv!$HG13/10+calc!CT$1),1)</f>
        <v>-2.1</v>
      </c>
      <c r="CU13" s="4">
        <f>ROUND((csv!$HG13/10+calc!CU$1),1)</f>
        <v>-2</v>
      </c>
      <c r="CV13" s="4">
        <f>ROUND((csv!$HG13/10+calc!CV$1),1)</f>
        <v>-1.9</v>
      </c>
      <c r="CW13" s="4">
        <f>ROUND((csv!$HG13/10+calc!CW$1),1)</f>
        <v>-1.8</v>
      </c>
      <c r="CX13" s="4">
        <f>ROUND((csv!$HG13/10+calc!CX$1),1)</f>
        <v>-1.7</v>
      </c>
      <c r="CY13" s="4">
        <f>ROUND((csv!$HG13/10+calc!CY$1),1)</f>
        <v>-1.6</v>
      </c>
      <c r="CZ13" s="4">
        <f>ROUND((csv!$HG13/10+calc!CZ$1),1)</f>
        <v>-1.5</v>
      </c>
      <c r="DA13" s="4">
        <f>ROUND((csv!$HG13/10+calc!DA$1),1)</f>
        <v>-1.4</v>
      </c>
      <c r="DB13" s="4">
        <f>ROUND((csv!$HG13/10+calc!DB$1),1)</f>
        <v>-1.3</v>
      </c>
      <c r="DC13" s="4">
        <f>ROUND((csv!$HG13/10+calc!DC$1),1)</f>
        <v>-1.2</v>
      </c>
      <c r="DD13" s="4">
        <f>ROUND((csv!$HG13/10+calc!DD$1),1)</f>
        <v>-1.1000000000000001</v>
      </c>
      <c r="DE13" s="4">
        <f>ROUND((csv!$HG13/10+calc!DE$1),1)</f>
        <v>-1</v>
      </c>
      <c r="DF13" s="4">
        <f>ROUND((csv!$HG13/10+calc!DF$1),1)</f>
        <v>-0.9</v>
      </c>
      <c r="DG13" s="4">
        <f>ROUND((csv!$HG13/10+calc!DG$1),1)</f>
        <v>-0.8</v>
      </c>
      <c r="DH13" s="4">
        <f>ROUND((csv!$HG13/10+calc!DH$1),1)</f>
        <v>-0.7</v>
      </c>
      <c r="DI13" s="4">
        <f>ROUND((csv!$HG13/10+calc!DI$1),1)</f>
        <v>-0.6</v>
      </c>
      <c r="DJ13" s="4">
        <f>ROUND((csv!$HG13/10+calc!DJ$1),1)</f>
        <v>-0.5</v>
      </c>
      <c r="DK13" s="4">
        <f>ROUND((csv!$HG13/10+calc!DK$1),1)</f>
        <v>-0.4</v>
      </c>
      <c r="DL13" s="4">
        <f>ROUND((csv!$HG13/10+calc!DL$1),1)</f>
        <v>-0.3</v>
      </c>
      <c r="DM13" s="4">
        <f>ROUND((csv!$HG13/10+calc!DM$1),1)</f>
        <v>-0.2</v>
      </c>
      <c r="DN13" s="4">
        <f>ROUND((csv!$HG13/10+calc!DN$1),1)</f>
        <v>-0.1</v>
      </c>
      <c r="DO13" s="4">
        <f>ROUND((csv!$HG13/10+calc!DO$1),1)</f>
        <v>0</v>
      </c>
      <c r="DP13" s="4">
        <f>ROUND((csv!$HG13/10+calc!DP$1),1)</f>
        <v>0.1</v>
      </c>
      <c r="DQ13" s="4">
        <f>ROUND((csv!$HG13/10+calc!DQ$1),1)</f>
        <v>0.2</v>
      </c>
      <c r="DR13" s="4">
        <f>ROUND((csv!$HG13/10+calc!DR$1),1)</f>
        <v>0.3</v>
      </c>
      <c r="DS13" s="4">
        <f>ROUND((csv!$HG13/10+calc!DS$1),1)</f>
        <v>0.4</v>
      </c>
      <c r="DT13" s="4">
        <f>ROUND((csv!$HG13/10+calc!DT$1),1)</f>
        <v>0.5</v>
      </c>
      <c r="DU13" s="4">
        <f>ROUND((csv!$HG13/10+calc!DU$1),1)</f>
        <v>0.6</v>
      </c>
      <c r="DV13" s="4">
        <f>ROUND((csv!$HG13/10+calc!DV$1),1)</f>
        <v>0.7</v>
      </c>
      <c r="DW13" s="4">
        <f>ROUND((csv!$HG13/10+calc!DW$1),1)</f>
        <v>0.8</v>
      </c>
      <c r="DX13" s="4">
        <f>ROUND((csv!$HG13/10+calc!DX$1),1)</f>
        <v>0.9</v>
      </c>
      <c r="DY13" s="4">
        <f>ROUND((csv!$HG13/10+calc!DY$1),1)</f>
        <v>1</v>
      </c>
      <c r="DZ13" s="4">
        <f>ROUND((csv!$HG13/10+calc!DZ$1),1)</f>
        <v>1.1000000000000001</v>
      </c>
      <c r="EA13" s="4">
        <f>ROUND((csv!$HG13/10+calc!EA$1),1)</f>
        <v>1.2</v>
      </c>
      <c r="EB13" s="4">
        <f>ROUND((csv!$HG13/10+calc!EB$1),1)</f>
        <v>1.3</v>
      </c>
      <c r="EC13" s="4">
        <f>ROUND((csv!$HG13/10+calc!EC$1),1)</f>
        <v>1.4</v>
      </c>
      <c r="ED13" s="4">
        <f>ROUND((csv!$HG13/10+calc!ED$1),1)</f>
        <v>1.5</v>
      </c>
      <c r="EE13" s="4">
        <f>ROUND((csv!$HG13/10+calc!EE$1),1)</f>
        <v>1.6</v>
      </c>
      <c r="EF13" s="4">
        <f>ROUND((csv!$HG13/10+calc!EF$1),1)</f>
        <v>1.7</v>
      </c>
      <c r="EG13" s="4">
        <f>ROUND((csv!$HG13/10+calc!EG$1),1)</f>
        <v>1.8</v>
      </c>
      <c r="EH13" s="4">
        <f>ROUND((csv!$HG13/10+calc!EH$1),1)</f>
        <v>1.9</v>
      </c>
      <c r="EI13" s="4">
        <f>ROUND((csv!$HG13/10+calc!EI$1),1)</f>
        <v>2</v>
      </c>
      <c r="EJ13" s="4">
        <f>ROUND((csv!$HG13/10+calc!EJ$1),1)</f>
        <v>2.1</v>
      </c>
      <c r="EK13" s="4">
        <f>ROUND((csv!$HG13/10+calc!EK$1),1)</f>
        <v>2.2000000000000002</v>
      </c>
      <c r="EL13" s="4">
        <f>ROUND((csv!$HG13/10+calc!EL$1),1)</f>
        <v>2.2999999999999998</v>
      </c>
      <c r="EM13" s="4">
        <f>ROUND((csv!$HG13/10+calc!EM$1),1)</f>
        <v>2.4</v>
      </c>
      <c r="EN13" s="4">
        <f>ROUND((csv!$HG13/10+calc!EN$1),1)</f>
        <v>2.5</v>
      </c>
      <c r="EO13" s="4">
        <f>ROUND((csv!$HG13/10+calc!EO$1),1)</f>
        <v>2.6</v>
      </c>
      <c r="EP13" s="4">
        <f>ROUND((csv!$HG13/10+calc!EP$1),1)</f>
        <v>2.7</v>
      </c>
      <c r="EQ13" s="4">
        <f>ROUND((csv!$HG13/10+calc!EQ$1),1)</f>
        <v>2.8</v>
      </c>
      <c r="ER13" s="4">
        <f>ROUND((csv!$HG13/10+calc!ER$1),1)</f>
        <v>2.9</v>
      </c>
      <c r="ES13" s="4">
        <f>ROUND((csv!$HG13/10+calc!ES$1),1)</f>
        <v>3</v>
      </c>
      <c r="ET13" s="4">
        <f>ROUND((csv!$HG13/10+calc!ET$1),1)</f>
        <v>3.1</v>
      </c>
      <c r="EU13" s="4">
        <f>ROUND((csv!$HG13/10+calc!EU$1),1)</f>
        <v>3.2</v>
      </c>
      <c r="EV13" s="4">
        <f>ROUND((csv!$HG13/10+calc!EV$1),1)</f>
        <v>3.3</v>
      </c>
      <c r="EW13" s="4">
        <f>ROUND((csv!$HG13/10+calc!EW$1),1)</f>
        <v>3.4</v>
      </c>
      <c r="EX13" s="4">
        <f>ROUND((csv!$HG13/10+calc!EX$1),1)</f>
        <v>3.5</v>
      </c>
      <c r="EY13" s="4">
        <f>ROUND((csv!$HG13/10+calc!EY$1),1)</f>
        <v>3.6</v>
      </c>
      <c r="EZ13" s="4">
        <f>ROUND((csv!$HG13/10+calc!EZ$1),1)</f>
        <v>3.7</v>
      </c>
      <c r="FA13" s="4">
        <f>ROUND((csv!$HG13/10+calc!FA$1),1)</f>
        <v>3.8</v>
      </c>
      <c r="FB13" s="4">
        <f>ROUND((csv!$HG13/10+calc!FB$1),1)</f>
        <v>3.9</v>
      </c>
      <c r="FC13" s="4">
        <f>ROUND((csv!$HG13/10+calc!FC$1),1)</f>
        <v>4</v>
      </c>
      <c r="FD13" s="4">
        <f>ROUND((csv!$HG13/10+calc!FD$1),1)</f>
        <v>4.0999999999999996</v>
      </c>
      <c r="FE13" s="4">
        <f>ROUND((csv!$HG13/10+calc!FE$1),1)</f>
        <v>4.2</v>
      </c>
      <c r="FF13" s="4">
        <f>ROUND((csv!$HG13/10+calc!FF$1),1)</f>
        <v>4.3</v>
      </c>
      <c r="FG13" s="4">
        <f>ROUND((csv!$HG13/10+calc!FG$1),1)</f>
        <v>4.4000000000000004</v>
      </c>
      <c r="FH13" s="4">
        <f>ROUND((csv!$HG13/10+calc!FH$1),1)</f>
        <v>4.5</v>
      </c>
      <c r="FI13" s="4">
        <f>ROUND((csv!$HG13/10+calc!FI$1),1)</f>
        <v>4.5999999999999996</v>
      </c>
      <c r="FJ13" s="4">
        <f>ROUND((csv!$HG13/10+calc!FJ$1),1)</f>
        <v>4.7</v>
      </c>
      <c r="FK13" s="4">
        <f>ROUND((csv!$HG13/10+calc!FK$1),1)</f>
        <v>4.8</v>
      </c>
      <c r="FL13" s="4">
        <f>ROUND((csv!$HG13/10+calc!FL$1),1)</f>
        <v>4.9000000000000004</v>
      </c>
      <c r="FM13" s="4">
        <f>ROUND((csv!$HG13/10+calc!FM$1),1)</f>
        <v>5</v>
      </c>
      <c r="FN13" s="4">
        <f>ROUND((csv!$HG13/10+calc!FN$1),1)</f>
        <v>5.0999999999999996</v>
      </c>
      <c r="FO13" s="4">
        <f>ROUND((csv!$HG13/10+calc!FO$1),1)</f>
        <v>5.2</v>
      </c>
      <c r="FP13" s="4">
        <f>ROUND((csv!$HG13/10+calc!FP$1),1)</f>
        <v>5.3</v>
      </c>
      <c r="FQ13" s="4">
        <f>ROUND((csv!$HG13/10+calc!FQ$1),1)</f>
        <v>5.4</v>
      </c>
      <c r="FR13" s="4">
        <f>ROUND((csv!$HG13/10+calc!FR$1),1)</f>
        <v>5.5</v>
      </c>
      <c r="FS13" s="4">
        <f>ROUND((csv!$HG13/10+calc!FS$1),1)</f>
        <v>5.6</v>
      </c>
      <c r="FT13" s="4">
        <f>ROUND((csv!$HG13/10+calc!FT$1),1)</f>
        <v>5.7</v>
      </c>
      <c r="FU13" s="4">
        <f>ROUND((csv!$HG13/10+calc!FU$1),1)</f>
        <v>5.8</v>
      </c>
      <c r="FV13" s="4">
        <f>ROUND((csv!$HG13/10+calc!FV$1),1)</f>
        <v>5.9</v>
      </c>
      <c r="FW13" s="4">
        <f>ROUND((csv!$HG13/10+calc!FW$1),1)</f>
        <v>6</v>
      </c>
      <c r="FX13" s="4">
        <f>ROUND((csv!$HG13/10+calc!FX$1),1)</f>
        <v>6.1</v>
      </c>
      <c r="FY13" s="4">
        <f>ROUND((csv!$HG13/10+calc!FY$1),1)</f>
        <v>6.2</v>
      </c>
      <c r="FZ13" s="4">
        <f>ROUND((csv!$HG13/10+calc!FZ$1),1)</f>
        <v>6.3</v>
      </c>
      <c r="GA13" s="4">
        <f>ROUND((csv!$HG13/10+calc!GA$1),1)</f>
        <v>6.4</v>
      </c>
      <c r="GB13" s="4">
        <f>ROUND((csv!$HG13/10+calc!GB$1),1)</f>
        <v>6.5</v>
      </c>
      <c r="GC13" s="4">
        <f>ROUND((csv!$HG13/10+calc!GC$1),1)</f>
        <v>6.6</v>
      </c>
      <c r="GD13" s="4">
        <f>ROUND((csv!$HG13/10+calc!GD$1),1)</f>
        <v>6.7</v>
      </c>
      <c r="GE13" s="4">
        <f>ROUND((csv!$HG13/10+calc!GE$1),1)</f>
        <v>6.8</v>
      </c>
      <c r="GF13" s="4">
        <f>ROUND((csv!$HG13/10+calc!GF$1),1)</f>
        <v>6.9</v>
      </c>
      <c r="GG13" s="4">
        <f>ROUND((csv!$HG13/10+calc!GG$1),1)</f>
        <v>7</v>
      </c>
      <c r="GH13" s="4">
        <f>ROUND((csv!$HG13/10+calc!GH$1),1)</f>
        <v>7.1</v>
      </c>
      <c r="GI13" s="4">
        <f>ROUND((csv!$HG13/10+calc!GI$1),1)</f>
        <v>7.2</v>
      </c>
      <c r="GJ13" s="4">
        <f>ROUND((csv!$HG13/10+calc!GJ$1),1)</f>
        <v>7.3</v>
      </c>
      <c r="GK13" s="4">
        <f>ROUND((csv!$HG13/10+calc!GK$1),1)</f>
        <v>7.4</v>
      </c>
      <c r="GL13" s="4">
        <f>ROUND((csv!$HG13/10+calc!GL$1),1)</f>
        <v>7.5</v>
      </c>
      <c r="GM13" s="4">
        <f>ROUND((csv!$HG13/10+calc!GM$1),1)</f>
        <v>7.6</v>
      </c>
      <c r="GN13" s="4">
        <f>ROUND((csv!$HG13/10+calc!GN$1),1)</f>
        <v>7.7</v>
      </c>
      <c r="GO13" s="4">
        <f>ROUND((csv!$HG13/10+calc!GO$1),1)</f>
        <v>7.8</v>
      </c>
      <c r="GP13" s="4">
        <f>ROUND((csv!$HG13/10+calc!GP$1),1)</f>
        <v>7.9</v>
      </c>
      <c r="GQ13" s="4">
        <f>ROUND((csv!$HG13/10+calc!GQ$1),1)</f>
        <v>8</v>
      </c>
      <c r="GR13" s="4">
        <f>ROUND((csv!$HG13/10+calc!GR$1),1)</f>
        <v>8.1</v>
      </c>
      <c r="GS13" s="4">
        <f>ROUND((csv!$HG13/10+calc!GS$1),1)</f>
        <v>8.1999999999999993</v>
      </c>
      <c r="GT13" s="4">
        <f>ROUND((csv!$HG13/10+calc!GT$1),1)</f>
        <v>8.3000000000000007</v>
      </c>
      <c r="GU13" s="4">
        <f>ROUND((csv!$HG13/10+calc!GU$1),1)</f>
        <v>8.4</v>
      </c>
      <c r="GV13" s="4">
        <f>ROUND((csv!$HG13/10+calc!GV$1),1)</f>
        <v>8.5</v>
      </c>
      <c r="GW13" s="4">
        <f>ROUND((csv!$HG13/10+calc!GW$1),1)</f>
        <v>8.6</v>
      </c>
      <c r="GX13" s="4">
        <f>ROUND((csv!$HG13/10+calc!GX$1),1)</f>
        <v>8.6999999999999993</v>
      </c>
      <c r="GY13" s="4">
        <f>ROUND((csv!$HG13/10+calc!GY$1),1)</f>
        <v>8.8000000000000007</v>
      </c>
      <c r="GZ13" s="4">
        <f>ROUND((csv!$HG13/10+calc!GZ$1),1)</f>
        <v>8.9</v>
      </c>
      <c r="HA13" s="4">
        <f>ROUND((csv!$HG13/10+calc!HA$1),1)</f>
        <v>9</v>
      </c>
      <c r="HB13" s="4">
        <f>ROUND((csv!$HG13/10+calc!HB$1),1)</f>
        <v>9.1</v>
      </c>
      <c r="HC13" s="4">
        <f>ROUND((csv!$HG13/10+calc!HC$1),1)</f>
        <v>9.1999999999999993</v>
      </c>
      <c r="HD13" s="4">
        <f>ROUND((csv!$HG13/10+calc!HD$1),1)</f>
        <v>9.3000000000000007</v>
      </c>
      <c r="HE13" s="4">
        <f>ROUND((csv!$HG13/10+calc!HE$1),1)</f>
        <v>9.4</v>
      </c>
      <c r="HF13" s="4">
        <f>ROUND((csv!$HG13/10+calc!HF$1),1)</f>
        <v>9.5</v>
      </c>
      <c r="HG13" s="4">
        <f>ROUND((csv!$HG13/10+calc!HG$1),1)</f>
        <v>9.6</v>
      </c>
      <c r="HH13" s="4">
        <f>ROUND((csv!$HG13/10+calc!HH$1),1)</f>
        <v>9.6999999999999993</v>
      </c>
      <c r="HI13" s="4">
        <f>ROUND((csv!$HG13/10+calc!HI$1),1)</f>
        <v>9.8000000000000007</v>
      </c>
      <c r="HJ13" s="4">
        <f>ROUND((csv!$HG13/10+calc!HJ$1),1)</f>
        <v>9.9</v>
      </c>
      <c r="HK13" s="4">
        <f>ROUND((csv!$HG13/10+calc!HK$1),1)</f>
        <v>10</v>
      </c>
      <c r="HM13" s="2">
        <f>csv!A13*10000+csv!B13*100+csv!C13</f>
        <v>0</v>
      </c>
      <c r="HN13" s="5">
        <f>IF(ISERROR(LOOKUP(HN$1,$S13:$HK13,csv!$L13:$HD13)),NA(),LOOKUP(HN$1,$S13:$HK13,csv!$L13:$HD13))</f>
        <v>0</v>
      </c>
      <c r="HO13" s="5">
        <f>IF(ISERROR(LOOKUP(HO$1,$S13:$HK13,csv!$L13:$HD13)),NA(),LOOKUP(HO$1,$S13:$HK13,csv!$L13:$HD13))</f>
        <v>0</v>
      </c>
      <c r="HP13" s="5">
        <f>IF(ISERROR(LOOKUP(HP$1,$S13:$HK13,csv!$L13:$HD13)),NA(),LOOKUP(HP$1,$S13:$HK13,csv!$L13:$HD13))</f>
        <v>0</v>
      </c>
      <c r="HQ13" s="5">
        <f>IF(ISERROR(LOOKUP(HQ$1,$S13:$HK13,csv!$L13:$HD13)),NA(),LOOKUP(HQ$1,$S13:$HK13,csv!$L13:$HD13))</f>
        <v>0</v>
      </c>
      <c r="HR13" s="5">
        <f>IF(ISERROR(LOOKUP(HR$1,$S13:$HK13,csv!$L13:$HD13)),NA(),LOOKUP(HR$1,$S13:$HK13,csv!$L13:$HD13))</f>
        <v>0</v>
      </c>
      <c r="HS13" s="5">
        <f>IF(ISERROR(LOOKUP(HS$1,$S13:$HK13,csv!$L13:$HD13)),NA(),LOOKUP(HS$1,$S13:$HK13,csv!$L13:$HD13))</f>
        <v>0</v>
      </c>
      <c r="HT13" s="5">
        <f>IF(ISERROR(LOOKUP(HT$1,$S13:$HK13,csv!$L13:$HD13)),NA(),LOOKUP(HT$1,$S13:$HK13,csv!$L13:$HD13))</f>
        <v>0</v>
      </c>
      <c r="HU13" s="5">
        <f>IF(ISERROR(LOOKUP(HU$1,$S13:$HK13,csv!$L13:$HD13)),NA(),LOOKUP(HU$1,$S13:$HK13,csv!$L13:$HD13))</f>
        <v>0</v>
      </c>
      <c r="HV13" s="5">
        <f>IF(ISERROR(LOOKUP(HV$1,$S13:$HK13,csv!$L13:$HD13)),NA(),LOOKUP(HV$1,$S13:$HK13,csv!$L13:$HD13))</f>
        <v>0</v>
      </c>
      <c r="HW13" s="5">
        <f>IF(ISERROR(LOOKUP(HW$1,$S13:$HK13,csv!$L13:$HD13)),NA(),LOOKUP(HW$1,$S13:$HK13,csv!$L13:$HD13))</f>
        <v>0</v>
      </c>
      <c r="HX13" s="5">
        <f>IF(ISERROR(LOOKUP(HX$1,$S13:$HK13,csv!$L13:$HD13)),NA(),LOOKUP(HX$1,$S13:$HK13,csv!$L13:$HD13))</f>
        <v>0</v>
      </c>
      <c r="HY13" s="5">
        <f>IF(ISERROR(LOOKUP(HY$1,$S13:$HK13,csv!$L13:$HD13)),NA(),LOOKUP(HY$1,$S13:$HK13,csv!$L13:$HD13))</f>
        <v>0</v>
      </c>
      <c r="HZ13" s="5">
        <f>IF(ISERROR(LOOKUP(HZ$1,$S13:$HK13,csv!$L13:$HD13)),NA(),LOOKUP(HZ$1,$S13:$HK13,csv!$L13:$HD13))</f>
        <v>0</v>
      </c>
      <c r="IA13" s="5">
        <f>IF(ISERROR(LOOKUP(IA$1,$S13:$HK13,csv!$L13:$HD13)),NA(),LOOKUP(IA$1,$S13:$HK13,csv!$L13:$HD13))</f>
        <v>0</v>
      </c>
      <c r="IB13" s="5">
        <f>IF(ISERROR(LOOKUP(IB$1,$S13:$HK13,csv!$L13:$HD13)),NA(),LOOKUP(IB$1,$S13:$HK13,csv!$L13:$HD13))</f>
        <v>0</v>
      </c>
      <c r="IC13" s="5">
        <f>IF(ISERROR(LOOKUP(IC$1,$S13:$HK13,csv!$L13:$HD13)),NA(),LOOKUP(IC$1,$S13:$HK13,csv!$L13:$HD13))</f>
        <v>0</v>
      </c>
      <c r="ID13" s="5">
        <f>IF(ISERROR(LOOKUP(ID$1,$S13:$HK13,csv!$L13:$HD13)),NA(),LOOKUP(ID$1,$S13:$HK13,csv!$L13:$HD13))</f>
        <v>0</v>
      </c>
      <c r="IE13" s="5">
        <f>IF(ISERROR(LOOKUP(IE$1,$S13:$HK13,csv!$L13:$HD13)),NA(),LOOKUP(IE$1,$S13:$HK13,csv!$L13:$HD13))</f>
        <v>0</v>
      </c>
      <c r="IF13" s="5">
        <f>IF(ISERROR(LOOKUP(IF$1,$S13:$HK13,csv!$L13:$HD13)),NA(),LOOKUP(IF$1,$S13:$HK13,csv!$L13:$HD13))</f>
        <v>0</v>
      </c>
      <c r="IG13" s="5">
        <f>IF(ISERROR(LOOKUP(IG$1,$S13:$HK13,csv!$L13:$HD13)),NA(),LOOKUP(IG$1,$S13:$HK13,csv!$L13:$HD13))</f>
        <v>0</v>
      </c>
      <c r="IH13" s="5">
        <f>IF(ISERROR(LOOKUP(IH$1,$S13:$HK13,csv!$L13:$HD13)),NA(),LOOKUP(IH$1,$S13:$HK13,csv!$L13:$HD13))</f>
        <v>0</v>
      </c>
      <c r="II13" s="5">
        <f>IF(ISERROR(LOOKUP(II$1,$S13:$HK13,csv!$L13:$HD13)),NA(),LOOKUP(II$1,$S13:$HK13,csv!$L13:$HD13))</f>
        <v>0</v>
      </c>
      <c r="IJ13" s="5">
        <f>IF(ISERROR(LOOKUP(IJ$1,$S13:$HK13,csv!$L13:$HD13)),NA(),LOOKUP(IJ$1,$S13:$HK13,csv!$L13:$HD13))</f>
        <v>0</v>
      </c>
      <c r="IK13" s="5">
        <f>IF(ISERROR(LOOKUP(IK$1,$S13:$HK13,csv!$L13:$HD13)),NA(),LOOKUP(IK$1,$S13:$HK13,csv!$L13:$HD13))</f>
        <v>0</v>
      </c>
      <c r="IL13" s="5">
        <f>IF(ISERROR(LOOKUP(IL$1,$S13:$HK13,csv!$L13:$HD13)),NA(),LOOKUP(IL$1,$S13:$HK13,csv!$L13:$HD13))</f>
        <v>0</v>
      </c>
      <c r="IM13" s="5">
        <f>IF(ISERROR(LOOKUP(IM$1,$S13:$HK13,csv!$L13:$HD13)),NA(),LOOKUP(IM$1,$S13:$HK13,csv!$L13:$HD13))</f>
        <v>0</v>
      </c>
      <c r="IN13" s="5">
        <f>IF(ISERROR(LOOKUP(IN$1,$S13:$HK13,csv!$L13:$HD13)),NA(),LOOKUP(IN$1,$S13:$HK13,csv!$L13:$HD13))</f>
        <v>0</v>
      </c>
      <c r="IO13" s="5">
        <f>IF(ISERROR(LOOKUP(IO$1,$S13:$HK13,csv!$L13:$HD13)),NA(),LOOKUP(IO$1,$S13:$HK13,csv!$L13:$HD13))</f>
        <v>0</v>
      </c>
      <c r="IP13" s="5">
        <f>IF(ISERROR(LOOKUP(IP$1,$S13:$HK13,csv!$L13:$HD13)),NA(),LOOKUP(IP$1,$S13:$HK13,csv!$L13:$HD13))</f>
        <v>0</v>
      </c>
      <c r="IQ13" s="5">
        <f>IF(ISERROR(LOOKUP(IQ$1,$S13:$HK13,csv!$L13:$HD13)),NA(),LOOKUP(IQ$1,$S13:$HK13,csv!$L13:$HD13))</f>
        <v>0</v>
      </c>
      <c r="IR13" s="5">
        <f>IF(ISERROR(LOOKUP(IR$1,$S13:$HK13,csv!$L13:$HD13)),NA(),LOOKUP(IR$1,$S13:$HK13,csv!$L13:$HD13))</f>
        <v>0</v>
      </c>
      <c r="IS13" s="5">
        <f>IF(ISERROR(LOOKUP(IS$1,$S13:$HK13,csv!$L13:$HD13)),NA(),LOOKUP(IS$1,$S13:$HK13,csv!$L13:$HD13))</f>
        <v>0</v>
      </c>
      <c r="IT13" s="5">
        <f>IF(ISERROR(LOOKUP(IT$1,$S13:$HK13,csv!$L13:$HD13)),NA(),LOOKUP(IT$1,$S13:$HK13,csv!$L13:$HD13))</f>
        <v>0</v>
      </c>
      <c r="IU13" s="5">
        <f>IF(ISERROR(LOOKUP(IU$1,$S13:$HK13,csv!$L13:$HD13)),NA(),LOOKUP(IU$1,$S13:$HK13,csv!$L13:$HD13))</f>
        <v>0</v>
      </c>
      <c r="IV13" s="5">
        <f>IF(ISERROR(LOOKUP(IV$1,$S13:$HK13,csv!$L13:$HD13)),NA(),LOOKUP(IV$1,$S13:$HK13,csv!$L13:$HD13))</f>
        <v>0</v>
      </c>
      <c r="IW13" s="5">
        <f>IF(ISERROR(LOOKUP(IW$1,$S13:$HK13,csv!$L13:$HD13)),NA(),LOOKUP(IW$1,$S13:$HK13,csv!$L13:$HD13))</f>
        <v>0</v>
      </c>
      <c r="IX13" s="5">
        <f>IF(ISERROR(LOOKUP(IX$1,$S13:$HK13,csv!$L13:$HD13)),NA(),LOOKUP(IX$1,$S13:$HK13,csv!$L13:$HD13))</f>
        <v>0</v>
      </c>
      <c r="IY13" s="5">
        <f>IF(ISERROR(LOOKUP(IY$1,$S13:$HK13,csv!$L13:$HD13)),NA(),LOOKUP(IY$1,$S13:$HK13,csv!$L13:$HD13))</f>
        <v>0</v>
      </c>
      <c r="IZ13" s="5">
        <f>IF(ISERROR(LOOKUP(IZ$1,$S13:$HK13,csv!$L13:$HD13)),NA(),LOOKUP(IZ$1,$S13:$HK13,csv!$L13:$HD13))</f>
        <v>0</v>
      </c>
      <c r="JA13" s="5">
        <f>IF(ISERROR(LOOKUP(JA$1,$S13:$HK13,csv!$L13:$HD13)),NA(),LOOKUP(JA$1,$S13:$HK13,csv!$L13:$HD13))</f>
        <v>0</v>
      </c>
      <c r="JB13" s="5">
        <f>IF(ISERROR(LOOKUP(JB$1,$S13:$HK13,csv!$L13:$HD13)),NA(),LOOKUP(JB$1,$S13:$HK13,csv!$L13:$HD13))</f>
        <v>0</v>
      </c>
      <c r="JC13" s="5">
        <f>IF(ISERROR(LOOKUP(JC$1,$S13:$HK13,csv!$L13:$HD13)),NA(),LOOKUP(JC$1,$S13:$HK13,csv!$L13:$HD13))</f>
        <v>0</v>
      </c>
      <c r="JD13" s="5">
        <f>IF(ISERROR(LOOKUP(JD$1,$S13:$HK13,csv!$L13:$HD13)),NA(),LOOKUP(JD$1,$S13:$HK13,csv!$L13:$HD13))</f>
        <v>0</v>
      </c>
      <c r="JE13" s="5">
        <f>IF(ISERROR(LOOKUP(JE$1,$S13:$HK13,csv!$L13:$HD13)),NA(),LOOKUP(JE$1,$S13:$HK13,csv!$L13:$HD13))</f>
        <v>0</v>
      </c>
      <c r="JF13" s="5">
        <f>IF(ISERROR(LOOKUP(JF$1,$S13:$HK13,csv!$L13:$HD13)),NA(),LOOKUP(JF$1,$S13:$HK13,csv!$L13:$HD13))</f>
        <v>0</v>
      </c>
      <c r="JG13" s="5">
        <f>IF(ISERROR(LOOKUP(JG$1,$S13:$HK13,csv!$L13:$HD13)),NA(),LOOKUP(JG$1,$S13:$HK13,csv!$L13:$HD13))</f>
        <v>0</v>
      </c>
      <c r="JH13" s="5">
        <f>IF(ISERROR(LOOKUP(JH$1,$S13:$HK13,csv!$L13:$HD13)),NA(),LOOKUP(JH$1,$S13:$HK13,csv!$L13:$HD13))</f>
        <v>0</v>
      </c>
      <c r="JI13" s="5">
        <f>IF(ISERROR(LOOKUP(JI$1,$S13:$HK13,csv!$L13:$HD13)),NA(),LOOKUP(JI$1,$S13:$HK13,csv!$L13:$HD13))</f>
        <v>0</v>
      </c>
      <c r="JJ13" s="5">
        <f>IF(ISERROR(LOOKUP(JJ$1,$S13:$HK13,csv!$L13:$HD13)),NA(),LOOKUP(JJ$1,$S13:$HK13,csv!$L13:$HD13))</f>
        <v>0</v>
      </c>
      <c r="JK13" s="5">
        <f>IF(ISERROR(LOOKUP(JK$1,$S13:$HK13,csv!$L13:$HD13)),NA(),LOOKUP(JK$1,$S13:$HK13,csv!$L13:$HD13))</f>
        <v>0</v>
      </c>
      <c r="JL13" s="5">
        <f>IF(ISERROR(LOOKUP(JL$1,$S13:$HK13,csv!$L13:$HD13)),NA(),LOOKUP(JL$1,$S13:$HK13,csv!$L13:$HD13))</f>
        <v>0</v>
      </c>
      <c r="JM13" s="5">
        <f>IF(ISERROR(LOOKUP(JM$1,$S13:$HK13,csv!$L13:$HD13)),NA(),LOOKUP(JM$1,$S13:$HK13,csv!$L13:$HD13))</f>
        <v>0</v>
      </c>
      <c r="JN13" s="5">
        <f>IF(ISERROR(LOOKUP(JN$1,$S13:$HK13,csv!$L13:$HD13)),NA(),LOOKUP(JN$1,$S13:$HK13,csv!$L13:$HD13))</f>
        <v>0</v>
      </c>
      <c r="JO13" s="5">
        <f>IF(ISERROR(LOOKUP(JO$1,$S13:$HK13,csv!$L13:$HD13)),NA(),LOOKUP(JO$1,$S13:$HK13,csv!$L13:$HD13))</f>
        <v>0</v>
      </c>
      <c r="JP13" s="5">
        <f>IF(ISERROR(LOOKUP(JP$1,$S13:$HK13,csv!$L13:$HD13)),NA(),LOOKUP(JP$1,$S13:$HK13,csv!$L13:$HD13))</f>
        <v>0</v>
      </c>
      <c r="JQ13" s="5">
        <f>IF(ISERROR(LOOKUP(JQ$1,$S13:$HK13,csv!$L13:$HD13)),NA(),LOOKUP(JQ$1,$S13:$HK13,csv!$L13:$HD13))</f>
        <v>0</v>
      </c>
      <c r="JR13" s="5">
        <f>IF(ISERROR(LOOKUP(JR$1,$S13:$HK13,csv!$L13:$HD13)),NA(),LOOKUP(JR$1,$S13:$HK13,csv!$L13:$HD13))</f>
        <v>0</v>
      </c>
      <c r="JS13" s="5">
        <f>IF(ISERROR(LOOKUP(JS$1,$S13:$HK13,csv!$L13:$HD13)),NA(),LOOKUP(JS$1,$S13:$HK13,csv!$L13:$HD13))</f>
        <v>0</v>
      </c>
      <c r="JT13" s="5">
        <f>IF(ISERROR(LOOKUP(JT$1,$S13:$HK13,csv!$L13:$HD13)),NA(),LOOKUP(JT$1,$S13:$HK13,csv!$L13:$HD13))</f>
        <v>0</v>
      </c>
      <c r="JU13" s="5">
        <f>IF(ISERROR(LOOKUP(JU$1,$S13:$HK13,csv!$L13:$HD13)),NA(),LOOKUP(JU$1,$S13:$HK13,csv!$L13:$HD13))</f>
        <v>0</v>
      </c>
      <c r="JV13" s="5">
        <f>IF(ISERROR(LOOKUP(JV$1,$S13:$HK13,csv!$L13:$HD13)),NA(),LOOKUP(JV$1,$S13:$HK13,csv!$L13:$HD13))</f>
        <v>0</v>
      </c>
      <c r="JW13" s="5">
        <f>IF(ISERROR(LOOKUP(JW$1,$S13:$HK13,csv!$L13:$HD13)),NA(),LOOKUP(JW$1,$S13:$HK13,csv!$L13:$HD13))</f>
        <v>0</v>
      </c>
      <c r="JX13" s="5">
        <f>IF(ISERROR(LOOKUP(JX$1,$S13:$HK13,csv!$L13:$HD13)),NA(),LOOKUP(JX$1,$S13:$HK13,csv!$L13:$HD13))</f>
        <v>0</v>
      </c>
      <c r="JY13" s="5">
        <f>IF(ISERROR(LOOKUP(JY$1,$S13:$HK13,csv!$L13:$HD13)),NA(),LOOKUP(JY$1,$S13:$HK13,csv!$L13:$HD13))</f>
        <v>0</v>
      </c>
      <c r="JZ13" s="5">
        <f>IF(ISERROR(LOOKUP(JZ$1,$S13:$HK13,csv!$L13:$HD13)),NA(),LOOKUP(JZ$1,$S13:$HK13,csv!$L13:$HD13))</f>
        <v>0</v>
      </c>
      <c r="KA13" s="5">
        <f>IF(ISERROR(LOOKUP(KA$1,$S13:$HK13,csv!$L13:$HD13)),NA(),LOOKUP(KA$1,$S13:$HK13,csv!$L13:$HD13))</f>
        <v>0</v>
      </c>
      <c r="KB13" s="5">
        <f>IF(ISERROR(LOOKUP(KB$1,$S13:$HK13,csv!$L13:$HD13)),NA(),LOOKUP(KB$1,$S13:$HK13,csv!$L13:$HD13))</f>
        <v>0</v>
      </c>
      <c r="KC13" s="5">
        <f>IF(ISERROR(LOOKUP(KC$1,$S13:$HK13,csv!$L13:$HD13)),NA(),LOOKUP(KC$1,$S13:$HK13,csv!$L13:$HD13))</f>
        <v>0</v>
      </c>
      <c r="KD13" s="5">
        <f>IF(ISERROR(LOOKUP(KD$1,$S13:$HK13,csv!$L13:$HD13)),NA(),LOOKUP(KD$1,$S13:$HK13,csv!$L13:$HD13))</f>
        <v>0</v>
      </c>
      <c r="KE13" s="5">
        <f>IF(ISERROR(LOOKUP(KE$1,$S13:$HK13,csv!$L13:$HD13)),NA(),LOOKUP(KE$1,$S13:$HK13,csv!$L13:$HD13))</f>
        <v>0</v>
      </c>
      <c r="KF13" s="5">
        <f>IF(ISERROR(LOOKUP(KF$1,$S13:$HK13,csv!$L13:$HD13)),NA(),LOOKUP(KF$1,$S13:$HK13,csv!$L13:$HD13))</f>
        <v>0</v>
      </c>
      <c r="KG13" s="5">
        <f>IF(ISERROR(LOOKUP(KG$1,$S13:$HK13,csv!$L13:$HD13)),NA(),LOOKUP(KG$1,$S13:$HK13,csv!$L13:$HD13))</f>
        <v>0</v>
      </c>
      <c r="KH13" s="5">
        <f>IF(ISERROR(LOOKUP(KH$1,$S13:$HK13,csv!$L13:$HD13)),NA(),LOOKUP(KH$1,$S13:$HK13,csv!$L13:$HD13))</f>
        <v>0</v>
      </c>
      <c r="KI13" s="5">
        <f>IF(ISERROR(LOOKUP(KI$1,$S13:$HK13,csv!$L13:$HD13)),NA(),LOOKUP(KI$1,$S13:$HK13,csv!$L13:$HD13))</f>
        <v>0</v>
      </c>
      <c r="KJ13" s="5">
        <f>IF(ISERROR(LOOKUP(KJ$1,$S13:$HK13,csv!$L13:$HD13)),NA(),LOOKUP(KJ$1,$S13:$HK13,csv!$L13:$HD13))</f>
        <v>0</v>
      </c>
      <c r="KK13" s="5">
        <f>IF(ISERROR(LOOKUP(KK$1,$S13:$HK13,csv!$L13:$HD13)),NA(),LOOKUP(KK$1,$S13:$HK13,csv!$L13:$HD13))</f>
        <v>0</v>
      </c>
      <c r="KL13" s="5">
        <f>IF(ISERROR(LOOKUP(KL$1,$S13:$HK13,csv!$L13:$HD13)),NA(),LOOKUP(KL$1,$S13:$HK13,csv!$L13:$HD13))</f>
        <v>0</v>
      </c>
      <c r="KM13" s="5">
        <f>IF(ISERROR(LOOKUP(KM$1,$S13:$HK13,csv!$L13:$HD13)),NA(),LOOKUP(KM$1,$S13:$HK13,csv!$L13:$HD13))</f>
        <v>0</v>
      </c>
      <c r="KN13" s="5">
        <f>IF(ISERROR(LOOKUP(KN$1,$S13:$HK13,csv!$L13:$HD13)),NA(),LOOKUP(KN$1,$S13:$HK13,csv!$L13:$HD13))</f>
        <v>0</v>
      </c>
      <c r="KO13" s="5">
        <f>IF(ISERROR(LOOKUP(KO$1,$S13:$HK13,csv!$L13:$HD13)),NA(),LOOKUP(KO$1,$S13:$HK13,csv!$L13:$HD13))</f>
        <v>0</v>
      </c>
      <c r="KP13" s="5">
        <f>IF(ISERROR(LOOKUP(KP$1,$S13:$HK13,csv!$L13:$HD13)),NA(),LOOKUP(KP$1,$S13:$HK13,csv!$L13:$HD13))</f>
        <v>0</v>
      </c>
      <c r="KQ13" s="5">
        <f>IF(ISERROR(LOOKUP(KQ$1,$S13:$HK13,csv!$L13:$HD13)),NA(),LOOKUP(KQ$1,$S13:$HK13,csv!$L13:$HD13))</f>
        <v>0</v>
      </c>
      <c r="KR13" s="5">
        <f>IF(ISERROR(LOOKUP(KR$1,$S13:$HK13,csv!$L13:$HD13)),NA(),LOOKUP(KR$1,$S13:$HK13,csv!$L13:$HD13))</f>
        <v>0</v>
      </c>
      <c r="KS13" s="5">
        <f>IF(ISERROR(LOOKUP(KS$1,$S13:$HK13,csv!$L13:$HD13)),NA(),LOOKUP(KS$1,$S13:$HK13,csv!$L13:$HD13))</f>
        <v>0</v>
      </c>
      <c r="KT13" s="5">
        <f>IF(ISERROR(LOOKUP(KT$1,$S13:$HK13,csv!$L13:$HD13)),NA(),LOOKUP(KT$1,$S13:$HK13,csv!$L13:$HD13))</f>
        <v>0</v>
      </c>
      <c r="KU13" s="5">
        <f>IF(ISERROR(LOOKUP(KU$1,$S13:$HK13,csv!$L13:$HD13)),NA(),LOOKUP(KU$1,$S13:$HK13,csv!$L13:$HD13))</f>
        <v>0</v>
      </c>
      <c r="KV13" s="5">
        <f>IF(ISERROR(LOOKUP(KV$1,$S13:$HK13,csv!$L13:$HD13)),NA(),LOOKUP(KV$1,$S13:$HK13,csv!$L13:$HD13))</f>
        <v>0</v>
      </c>
      <c r="KW13" s="5">
        <f>IF(ISERROR(LOOKUP(KW$1,$S13:$HK13,csv!$L13:$HD13)),NA(),LOOKUP(KW$1,$S13:$HK13,csv!$L13:$HD13))</f>
        <v>0</v>
      </c>
      <c r="KX13" s="5">
        <f>IF(ISERROR(LOOKUP(KX$1,$S13:$HK13,csv!$L13:$HD13)),NA(),LOOKUP(KX$1,$S13:$HK13,csv!$L13:$HD13))</f>
        <v>0</v>
      </c>
      <c r="KY13" s="5">
        <f>IF(ISERROR(LOOKUP(KY$1,$S13:$HK13,csv!$L13:$HD13)),NA(),LOOKUP(KY$1,$S13:$HK13,csv!$L13:$HD13))</f>
        <v>0</v>
      </c>
      <c r="KZ13" s="5">
        <f>IF(ISERROR(LOOKUP(KZ$1,$S13:$HK13,csv!$L13:$HD13)),NA(),LOOKUP(KZ$1,$S13:$HK13,csv!$L13:$HD13))</f>
        <v>0</v>
      </c>
      <c r="LA13" s="5">
        <f>IF(ISERROR(LOOKUP(LA$1,$S13:$HK13,csv!$L13:$HD13)),NA(),LOOKUP(LA$1,$S13:$HK13,csv!$L13:$HD13))</f>
        <v>0</v>
      </c>
      <c r="LB13" s="5">
        <f>IF(ISERROR(LOOKUP(LB$1,$S13:$HK13,csv!$L13:$HD13)),NA(),LOOKUP(LB$1,$S13:$HK13,csv!$L13:$HD13))</f>
        <v>0</v>
      </c>
      <c r="LC13" s="5">
        <f>IF(ISERROR(LOOKUP(LC$1,$S13:$HK13,csv!$L13:$HD13)),NA(),LOOKUP(LC$1,$S13:$HK13,csv!$L13:$HD13))</f>
        <v>0</v>
      </c>
      <c r="LD13" s="5">
        <f>IF(ISERROR(LOOKUP(LD$1,$S13:$HK13,csv!$L13:$HD13)),NA(),LOOKUP(LD$1,$S13:$HK13,csv!$L13:$HD13))</f>
        <v>0</v>
      </c>
      <c r="LE13" s="5">
        <f>IF(ISERROR(LOOKUP(LE$1,$S13:$HK13,csv!$L13:$HD13)),NA(),LOOKUP(LE$1,$S13:$HK13,csv!$L13:$HD13))</f>
        <v>0</v>
      </c>
      <c r="LF13" s="5">
        <f>IF(ISERROR(LOOKUP(LF$1,$S13:$HK13,csv!$L13:$HD13)),NA(),LOOKUP(LF$1,$S13:$HK13,csv!$L13:$HD13))</f>
        <v>0</v>
      </c>
      <c r="LG13" s="5">
        <f>IF(ISERROR(LOOKUP(LG$1,$S13:$HK13,csv!$L13:$HD13)),NA(),LOOKUP(LG$1,$S13:$HK13,csv!$L13:$HD13))</f>
        <v>0</v>
      </c>
      <c r="LH13" s="5">
        <f>IF(ISERROR(LOOKUP(LH$1,$S13:$HK13,csv!$L13:$HD13)),NA(),LOOKUP(LH$1,$S13:$HK13,csv!$L13:$HD13))</f>
        <v>0</v>
      </c>
      <c r="LI13" s="5">
        <f>IF(ISERROR(LOOKUP(LI$1,$S13:$HK13,csv!$L13:$HD13)),NA(),LOOKUP(LI$1,$S13:$HK13,csv!$L13:$HD13))</f>
        <v>0</v>
      </c>
      <c r="LJ13" s="5">
        <f>IF(ISERROR(LOOKUP(LJ$1,$S13:$HK13,csv!$L13:$HD13)),NA(),LOOKUP(LJ$1,$S13:$HK13,csv!$L13:$HD13))</f>
        <v>0</v>
      </c>
      <c r="LK13" s="5">
        <f>IF(ISERROR(LOOKUP(LK$1,$S13:$HK13,csv!$L13:$HD13)),NA(),LOOKUP(LK$1,$S13:$HK13,csv!$L13:$HD13))</f>
        <v>0</v>
      </c>
      <c r="LL13" s="5">
        <f>IF(ISERROR(LOOKUP(LL$1,$S13:$HK13,csv!$L13:$HD13)),NA(),LOOKUP(LL$1,$S13:$HK13,csv!$L13:$HD13))</f>
        <v>0</v>
      </c>
      <c r="LM13" s="5">
        <f>IF(ISERROR(LOOKUP(LM$1,$S13:$HK13,csv!$L13:$HD13)),NA(),LOOKUP(LM$1,$S13:$HK13,csv!$L13:$HD13))</f>
        <v>0</v>
      </c>
      <c r="LN13" s="5">
        <f>IF(ISERROR(LOOKUP(LN$1,$S13:$HK13,csv!$L13:$HD13)),NA(),LOOKUP(LN$1,$S13:$HK13,csv!$L13:$HD13))</f>
        <v>0</v>
      </c>
      <c r="LO13" s="5">
        <f>IF(ISERROR(LOOKUP(LO$1,$S13:$HK13,csv!$L13:$HD13)),NA(),LOOKUP(LO$1,$S13:$HK13,csv!$L13:$HD13))</f>
        <v>0</v>
      </c>
      <c r="LP13" s="5">
        <f>IF(ISERROR(LOOKUP(LP$1,$S13:$HK13,csv!$L13:$HD13)),NA(),LOOKUP(LP$1,$S13:$HK13,csv!$L13:$HD13))</f>
        <v>0</v>
      </c>
      <c r="LQ13" s="5">
        <f>IF(ISERROR(LOOKUP(LQ$1,$S13:$HK13,csv!$L13:$HD13)),NA(),LOOKUP(LQ$1,$S13:$HK13,csv!$L13:$HD13))</f>
        <v>0</v>
      </c>
      <c r="LR13" s="5">
        <f>IF(ISERROR(LOOKUP(LR$1,$S13:$HK13,csv!$L13:$HD13)),NA(),LOOKUP(LR$1,$S13:$HK13,csv!$L13:$HD13))</f>
        <v>0</v>
      </c>
      <c r="LS13" s="5">
        <f>IF(ISERROR(LOOKUP(LS$1,$S13:$HK13,csv!$L13:$HD13)),NA(),LOOKUP(LS$1,$S13:$HK13,csv!$L13:$HD13))</f>
        <v>0</v>
      </c>
      <c r="LT13" s="5">
        <f>IF(ISERROR(LOOKUP(LT$1,$S13:$HK13,csv!$L13:$HD13)),NA(),LOOKUP(LT$1,$S13:$HK13,csv!$L13:$HD13))</f>
        <v>0</v>
      </c>
      <c r="LU13" s="5">
        <f>IF(ISERROR(LOOKUP(LU$1,$S13:$HK13,csv!$L13:$HD13)),NA(),LOOKUP(LU$1,$S13:$HK13,csv!$L13:$HD13))</f>
        <v>0</v>
      </c>
      <c r="LV13" s="5">
        <f>IF(ISERROR(LOOKUP(LV$1,$S13:$HK13,csv!$L13:$HD13)),NA(),LOOKUP(LV$1,$S13:$HK13,csv!$L13:$HD13))</f>
        <v>0</v>
      </c>
      <c r="LW13" s="5">
        <f>IF(ISERROR(LOOKUP(LW$1,$S13:$HK13,csv!$L13:$HD13)),NA(),LOOKUP(LW$1,$S13:$HK13,csv!$L13:$HD13))</f>
        <v>0</v>
      </c>
      <c r="LX13" s="5">
        <f>IF(ISERROR(LOOKUP(LX$1,$S13:$HK13,csv!$L13:$HD13)),NA(),LOOKUP(LX$1,$S13:$HK13,csv!$L13:$HD13))</f>
        <v>0</v>
      </c>
      <c r="LY13" s="5">
        <f>IF(ISERROR(LOOKUP(LY$1,$S13:$HK13,csv!$L13:$HD13)),NA(),LOOKUP(LY$1,$S13:$HK13,csv!$L13:$HD13))</f>
        <v>0</v>
      </c>
      <c r="LZ13" s="5">
        <f>IF(ISERROR(LOOKUP(LZ$1,$S13:$HK13,csv!$L13:$HD13)),NA(),LOOKUP(LZ$1,$S13:$HK13,csv!$L13:$HD13))</f>
        <v>0</v>
      </c>
      <c r="MA13" s="5">
        <f>IF(ISERROR(LOOKUP(MA$1,$S13:$HK13,csv!$L13:$HD13)),NA(),LOOKUP(MA$1,$S13:$HK13,csv!$L13:$HD13))</f>
        <v>0</v>
      </c>
      <c r="MB13" s="5">
        <f>IF(ISERROR(LOOKUP(MB$1,$S13:$HK13,csv!$L13:$HD13)),NA(),LOOKUP(MB$1,$S13:$HK13,csv!$L13:$HD13))</f>
        <v>0</v>
      </c>
      <c r="MC13" s="5">
        <f>IF(ISERROR(LOOKUP(MC$1,$S13:$HK13,csv!$L13:$HD13)),NA(),LOOKUP(MC$1,$S13:$HK13,csv!$L13:$HD13))</f>
        <v>0</v>
      </c>
      <c r="MD13" s="5">
        <f>IF(ISERROR(LOOKUP(MD$1,$S13:$HK13,csv!$L13:$HD13)),NA(),LOOKUP(MD$1,$S13:$HK13,csv!$L13:$HD13))</f>
        <v>0</v>
      </c>
      <c r="ME13" s="5">
        <f>IF(ISERROR(LOOKUP(ME$1,$S13:$HK13,csv!$L13:$HD13)),NA(),LOOKUP(ME$1,$S13:$HK13,csv!$L13:$HD13))</f>
        <v>0</v>
      </c>
      <c r="MF13" s="5">
        <f>IF(ISERROR(LOOKUP(MF$1,$S13:$HK13,csv!$L13:$HD13)),NA(),LOOKUP(MF$1,$S13:$HK13,csv!$L13:$HD13))</f>
        <v>0</v>
      </c>
      <c r="MG13" s="5">
        <f>IF(ISERROR(LOOKUP(MG$1,$S13:$HK13,csv!$L13:$HD13)),NA(),LOOKUP(MG$1,$S13:$HK13,csv!$L13:$HD13))</f>
        <v>0</v>
      </c>
      <c r="MH13" s="5">
        <f>IF(ISERROR(LOOKUP(MH$1,$S13:$HK13,csv!$L13:$HD13)),NA(),LOOKUP(MH$1,$S13:$HK13,csv!$L13:$HD13))</f>
        <v>0</v>
      </c>
      <c r="MI13" s="5">
        <f>IF(ISERROR(LOOKUP(MI$1,$S13:$HK13,csv!$L13:$HD13)),NA(),LOOKUP(MI$1,$S13:$HK13,csv!$L13:$HD13))</f>
        <v>0</v>
      </c>
      <c r="MJ13" s="5">
        <f>IF(ISERROR(LOOKUP(MJ$1,$S13:$HK13,csv!$L13:$HD13)),NA(),LOOKUP(MJ$1,$S13:$HK13,csv!$L13:$HD13))</f>
        <v>0</v>
      </c>
      <c r="MK13" s="5">
        <f>IF(ISERROR(LOOKUP(MK$1,$S13:$HK13,csv!$L13:$HD13)),NA(),LOOKUP(MK$1,$S13:$HK13,csv!$L13:$HD13))</f>
        <v>0</v>
      </c>
      <c r="ML13" s="5">
        <f>IF(ISERROR(LOOKUP(ML$1,$S13:$HK13,csv!$L13:$HD13)),NA(),LOOKUP(ML$1,$S13:$HK13,csv!$L13:$HD13))</f>
        <v>0</v>
      </c>
      <c r="MM13" s="5">
        <f>IF(ISERROR(LOOKUP(MM$1,$S13:$HK13,csv!$L13:$HD13)),NA(),LOOKUP(MM$1,$S13:$HK13,csv!$L13:$HD13))</f>
        <v>0</v>
      </c>
      <c r="MN13" s="5">
        <f>IF(ISERROR(LOOKUP(MN$1,$S13:$HK13,csv!$L13:$HD13)),NA(),LOOKUP(MN$1,$S13:$HK13,csv!$L13:$HD13))</f>
        <v>0</v>
      </c>
      <c r="MO13" s="5">
        <f>IF(ISERROR(LOOKUP(MO$1,$S13:$HK13,csv!$L13:$HD13)),NA(),LOOKUP(MO$1,$S13:$HK13,csv!$L13:$HD13))</f>
        <v>0</v>
      </c>
      <c r="MP13" s="5">
        <f>IF(ISERROR(LOOKUP(MP$1,$S13:$HK13,csv!$L13:$HD13)),NA(),LOOKUP(MP$1,$S13:$HK13,csv!$L13:$HD13))</f>
        <v>0</v>
      </c>
      <c r="MQ13" s="5">
        <f>IF(ISERROR(LOOKUP(MQ$1,$S13:$HK13,csv!$L13:$HD13)),NA(),LOOKUP(MQ$1,$S13:$HK13,csv!$L13:$HD13))</f>
        <v>0</v>
      </c>
      <c r="MR13" s="5">
        <f>IF(ISERROR(LOOKUP(MR$1,$S13:$HK13,csv!$L13:$HD13)),NA(),LOOKUP(MR$1,$S13:$HK13,csv!$L13:$HD13))</f>
        <v>0</v>
      </c>
      <c r="MS13" s="5">
        <f>IF(ISERROR(LOOKUP(MS$1,$S13:$HK13,csv!$L13:$HD13)),NA(),LOOKUP(MS$1,$S13:$HK13,csv!$L13:$HD13))</f>
        <v>0</v>
      </c>
      <c r="MT13" s="5">
        <f>IF(ISERROR(LOOKUP(MT$1,$S13:$HK13,csv!$L13:$HD13)),NA(),LOOKUP(MT$1,$S13:$HK13,csv!$L13:$HD13))</f>
        <v>0</v>
      </c>
      <c r="MU13" s="5">
        <f>IF(ISERROR(LOOKUP(MU$1,$S13:$HK13,csv!$L13:$HD13)),NA(),LOOKUP(MU$1,$S13:$HK13,csv!$L13:$HD13))</f>
        <v>0</v>
      </c>
      <c r="MV13" s="5">
        <f>IF(ISERROR(LOOKUP(MV$1,$S13:$HK13,csv!$L13:$HD13)),NA(),LOOKUP(MV$1,$S13:$HK13,csv!$L13:$HD13))</f>
        <v>0</v>
      </c>
      <c r="MW13" s="5">
        <f>IF(ISERROR(LOOKUP(MW$1,$S13:$HK13,csv!$L13:$HD13)),NA(),LOOKUP(MW$1,$S13:$HK13,csv!$L13:$HD13))</f>
        <v>0</v>
      </c>
      <c r="MX13" s="5">
        <f>IF(ISERROR(LOOKUP(MX$1,$S13:$HK13,csv!$L13:$HD13)),NA(),LOOKUP(MX$1,$S13:$HK13,csv!$L13:$HD13))</f>
        <v>0</v>
      </c>
      <c r="MY13" s="5">
        <f>IF(ISERROR(LOOKUP(MY$1,$S13:$HK13,csv!$L13:$HD13)),NA(),LOOKUP(MY$1,$S13:$HK13,csv!$L13:$HD13))</f>
        <v>0</v>
      </c>
      <c r="MZ13" s="5">
        <f>IF(ISERROR(LOOKUP(MZ$1,$S13:$HK13,csv!$L13:$HD13)),NA(),LOOKUP(MZ$1,$S13:$HK13,csv!$L13:$HD13))</f>
        <v>0</v>
      </c>
      <c r="NA13" s="5">
        <f>IF(ISERROR(LOOKUP(NA$1,$S13:$HK13,csv!$L13:$HD13)),NA(),LOOKUP(NA$1,$S13:$HK13,csv!$L13:$HD13))</f>
        <v>0</v>
      </c>
      <c r="NB13" s="5">
        <f>IF(ISERROR(LOOKUP(NB$1,$S13:$HK13,csv!$L13:$HD13)),NA(),LOOKUP(NB$1,$S13:$HK13,csv!$L13:$HD13))</f>
        <v>0</v>
      </c>
      <c r="NC13" s="5">
        <f>IF(ISERROR(LOOKUP(NC$1,$S13:$HK13,csv!$L13:$HD13)),NA(),LOOKUP(NC$1,$S13:$HK13,csv!$L13:$HD13))</f>
        <v>0</v>
      </c>
      <c r="ND13" s="5">
        <f>IF(ISERROR(LOOKUP(ND$1,$S13:$HK13,csv!$L13:$HD13)),NA(),LOOKUP(ND$1,$S13:$HK13,csv!$L13:$HD13))</f>
        <v>0</v>
      </c>
      <c r="NE13" s="5">
        <f>IF(ISERROR(LOOKUP(NE$1,$S13:$HK13,csv!$L13:$HD13)),NA(),LOOKUP(NE$1,$S13:$HK13,csv!$L13:$HD13))</f>
        <v>0</v>
      </c>
      <c r="NF13" s="5">
        <f>IF(ISERROR(LOOKUP(NF$1,$S13:$HK13,csv!$L13:$HD13)),NA(),LOOKUP(NF$1,$S13:$HK13,csv!$L13:$HD13))</f>
        <v>0</v>
      </c>
      <c r="NG13" s="5">
        <f>IF(ISERROR(LOOKUP(NG$1,$S13:$HK13,csv!$L13:$HD13)),NA(),LOOKUP(NG$1,$S13:$HK13,csv!$L13:$HD13))</f>
        <v>0</v>
      </c>
      <c r="NH13" s="5">
        <f>IF(ISERROR(LOOKUP(NH$1,$S13:$HK13,csv!$L13:$HD13)),NA(),LOOKUP(NH$1,$S13:$HK13,csv!$L13:$HD13))</f>
        <v>0</v>
      </c>
      <c r="NI13" s="5">
        <f>IF(ISERROR(LOOKUP(NI$1,$S13:$HK13,csv!$L13:$HD13)),NA(),LOOKUP(NI$1,$S13:$HK13,csv!$L13:$HD13))</f>
        <v>0</v>
      </c>
      <c r="NJ13" s="5">
        <f>IF(ISERROR(LOOKUP(NJ$1,$S13:$HK13,csv!$L13:$HD13)),NA(),LOOKUP(NJ$1,$S13:$HK13,csv!$L13:$HD13))</f>
        <v>0</v>
      </c>
      <c r="NK13" s="5">
        <f>IF(ISERROR(LOOKUP(NK$1,$S13:$HK13,csv!$L13:$HD13)),NA(),LOOKUP(NK$1,$S13:$HK13,csv!$L13:$HD13))</f>
        <v>0</v>
      </c>
      <c r="NL13" s="5">
        <f>IF(ISERROR(LOOKUP(NL$1,$S13:$HK13,csv!$L13:$HD13)),NA(),LOOKUP(NL$1,$S13:$HK13,csv!$L13:$HD13))</f>
        <v>0</v>
      </c>
      <c r="NM13" s="5">
        <f>IF(ISERROR(LOOKUP(NM$1,$S13:$HK13,csv!$L13:$HD13)),NA(),LOOKUP(NM$1,$S13:$HK13,csv!$L13:$HD13))</f>
        <v>0</v>
      </c>
      <c r="NN13" s="5">
        <f>IF(ISERROR(LOOKUP(NN$1,$S13:$HK13,csv!$L13:$HD13)),NA(),LOOKUP(NN$1,$S13:$HK13,csv!$L13:$HD13))</f>
        <v>0</v>
      </c>
      <c r="NO13" s="5">
        <f>IF(ISERROR(LOOKUP(NO$1,$S13:$HK13,csv!$L13:$HD13)),NA(),LOOKUP(NO$1,$S13:$HK13,csv!$L13:$HD13))</f>
        <v>0</v>
      </c>
      <c r="NP13" s="5">
        <f>IF(ISERROR(LOOKUP(NP$1,$S13:$HK13,csv!$L13:$HD13)),NA(),LOOKUP(NP$1,$S13:$HK13,csv!$L13:$HD13))</f>
        <v>0</v>
      </c>
      <c r="NQ13" s="5">
        <f>IF(ISERROR(LOOKUP(NQ$1,$S13:$HK13,csv!$L13:$HD13)),NA(),LOOKUP(NQ$1,$S13:$HK13,csv!$L13:$HD13))</f>
        <v>0</v>
      </c>
      <c r="NR13" s="5">
        <f>IF(ISERROR(LOOKUP(NR$1,$S13:$HK13,csv!$L13:$HD13)),NA(),LOOKUP(NR$1,$S13:$HK13,csv!$L13:$HD13))</f>
        <v>0</v>
      </c>
      <c r="NS13" s="5">
        <f>IF(ISERROR(LOOKUP(NS$1,$S13:$HK13,csv!$L13:$HD13)),NA(),LOOKUP(NS$1,$S13:$HK13,csv!$L13:$HD13))</f>
        <v>0</v>
      </c>
      <c r="NT13" s="5">
        <f>IF(ISERROR(LOOKUP(NT$1,$S13:$HK13,csv!$L13:$HD13)),NA(),LOOKUP(NT$1,$S13:$HK13,csv!$L13:$HD13))</f>
        <v>0</v>
      </c>
      <c r="NU13" s="5">
        <f>IF(ISERROR(LOOKUP(NU$1,$S13:$HK13,csv!$L13:$HD13)),NA(),LOOKUP(NU$1,$S13:$HK13,csv!$L13:$HD13))</f>
        <v>0</v>
      </c>
      <c r="NV13" s="5">
        <f>IF(ISERROR(LOOKUP(NV$1,$S13:$HK13,csv!$L13:$HD13)),NA(),LOOKUP(NV$1,$S13:$HK13,csv!$L13:$HD13))</f>
        <v>0</v>
      </c>
      <c r="NW13" s="5">
        <f>IF(ISERROR(LOOKUP(NW$1,$S13:$HK13,csv!$L13:$HD13)),NA(),LOOKUP(NW$1,$S13:$HK13,csv!$L13:$HD13))</f>
        <v>0</v>
      </c>
      <c r="NX13" s="5">
        <f>IF(ISERROR(LOOKUP(NX$1,$S13:$HK13,csv!$L13:$HD13)),NA(),LOOKUP(NX$1,$S13:$HK13,csv!$L13:$HD13))</f>
        <v>0</v>
      </c>
      <c r="NY13" s="5">
        <f>IF(ISERROR(LOOKUP(NY$1,$S13:$HK13,csv!$L13:$HD13)),NA(),LOOKUP(NY$1,$S13:$HK13,csv!$L13:$HD13))</f>
        <v>0</v>
      </c>
      <c r="NZ13" s="5">
        <f>IF(ISERROR(LOOKUP(NZ$1,$S13:$HK13,csv!$L13:$HD13)),NA(),LOOKUP(NZ$1,$S13:$HK13,csv!$L13:$HD13))</f>
        <v>0</v>
      </c>
      <c r="OA13" s="5">
        <f>IF(ISERROR(LOOKUP(OA$1,$S13:$HK13,csv!$L13:$HD13)),NA(),LOOKUP(OA$1,$S13:$HK13,csv!$L13:$HD13))</f>
        <v>0</v>
      </c>
      <c r="OB13" s="5">
        <f>IF(ISERROR(LOOKUP(OB$1,$S13:$HK13,csv!$L13:$HD13)),NA(),LOOKUP(OB$1,$S13:$HK13,csv!$L13:$HD13))</f>
        <v>0</v>
      </c>
      <c r="OC13" s="5">
        <f>IF(ISERROR(LOOKUP(OC$1,$S13:$HK13,csv!$L13:$HD13)),NA(),LOOKUP(OC$1,$S13:$HK13,csv!$L13:$HD13))</f>
        <v>0</v>
      </c>
      <c r="OD13" s="5">
        <f>IF(ISERROR(LOOKUP(OD$1,$S13:$HK13,csv!$L13:$HD13)),NA(),LOOKUP(OD$1,$S13:$HK13,csv!$L13:$HD13))</f>
        <v>0</v>
      </c>
      <c r="OE13" s="5">
        <f>IF(ISERROR(LOOKUP(OE$1,$S13:$HK13,csv!$L13:$HD13)),NA(),LOOKUP(OE$1,$S13:$HK13,csv!$L13:$HD13))</f>
        <v>0</v>
      </c>
      <c r="OF13" s="5">
        <f>IF(ISERROR(LOOKUP(OF$1,$S13:$HK13,csv!$L13:$HD13)),NA(),LOOKUP(OF$1,$S13:$HK13,csv!$L13:$HD13))</f>
        <v>0</v>
      </c>
      <c r="OG13" s="5">
        <f>IF(ISERROR(LOOKUP(OG$1,$S13:$HK13,csv!$L13:$HD13)),NA(),LOOKUP(OG$1,$S13:$HK13,csv!$L13:$HD13))</f>
        <v>0</v>
      </c>
      <c r="OH13" s="5">
        <f>IF(ISERROR(LOOKUP(OH$1,$S13:$HK13,csv!$L13:$HD13)),NA(),LOOKUP(OH$1,$S13:$HK13,csv!$L13:$HD13))</f>
        <v>0</v>
      </c>
      <c r="OI13" s="5">
        <f>IF(ISERROR(LOOKUP(OI$1,$S13:$HK13,csv!$L13:$HD13)),NA(),LOOKUP(OI$1,$S13:$HK13,csv!$L13:$HD13))</f>
        <v>0</v>
      </c>
      <c r="OJ13" s="5">
        <f>IF(ISERROR(LOOKUP(OJ$1,$S13:$HK13,csv!$L13:$HD13)),NA(),LOOKUP(OJ$1,$S13:$HK13,csv!$L13:$HD13))</f>
        <v>0</v>
      </c>
      <c r="OK13" s="5">
        <f>IF(ISERROR(LOOKUP(OK$1,$S13:$HK13,csv!$L13:$HD13)),NA(),LOOKUP(OK$1,$S13:$HK13,csv!$L13:$HD13))</f>
        <v>0</v>
      </c>
      <c r="OL13" s="5">
        <f>IF(ISERROR(LOOKUP(OL$1,$S13:$HK13,csv!$L13:$HD13)),NA(),LOOKUP(OL$1,$S13:$HK13,csv!$L13:$HD13))</f>
        <v>0</v>
      </c>
      <c r="OM13" s="5">
        <f>IF(ISERROR(LOOKUP(OM$1,$S13:$HK13,csv!$L13:$HD13)),NA(),LOOKUP(OM$1,$S13:$HK13,csv!$L13:$HD13))</f>
        <v>0</v>
      </c>
      <c r="ON13" s="5">
        <f>IF(ISERROR(LOOKUP(ON$1,$S13:$HK13,csv!$L13:$HD13)),NA(),LOOKUP(ON$1,$S13:$HK13,csv!$L13:$HD13))</f>
        <v>0</v>
      </c>
      <c r="OO13" s="5">
        <f>IF(ISERROR(LOOKUP(OO$1,$S13:$HK13,csv!$L13:$HD13)),NA(),LOOKUP(OO$1,$S13:$HK13,csv!$L13:$HD13))</f>
        <v>0</v>
      </c>
      <c r="OP13" s="5">
        <f>IF(ISERROR(LOOKUP(OP$1,$S13:$HK13,csv!$L13:$HD13)),NA(),LOOKUP(OP$1,$S13:$HK13,csv!$L13:$HD13))</f>
        <v>0</v>
      </c>
      <c r="OQ13" s="5">
        <f>IF(ISERROR(LOOKUP(OQ$1,$S13:$HK13,csv!$L13:$HD13)),NA(),LOOKUP(OQ$1,$S13:$HK13,csv!$L13:$HD13))</f>
        <v>0</v>
      </c>
      <c r="OR13" s="5">
        <f>IF(ISERROR(LOOKUP(OR$1,$S13:$HK13,csv!$L13:$HD13)),NA(),LOOKUP(OR$1,$S13:$HK13,csv!$L13:$HD13))</f>
        <v>0</v>
      </c>
      <c r="OS13" s="5">
        <f>IF(ISERROR(LOOKUP(OS$1,$S13:$HK13,csv!$L13:$HD13)),NA(),LOOKUP(OS$1,$S13:$HK13,csv!$L13:$HD13))</f>
        <v>0</v>
      </c>
      <c r="OT13" s="5">
        <f>IF(ISERROR(LOOKUP(OT$1,$S13:$HK13,csv!$L13:$HD13)),NA(),LOOKUP(OT$1,$S13:$HK13,csv!$L13:$HD13))</f>
        <v>0</v>
      </c>
      <c r="OU13" s="5">
        <f>IF(ISERROR(LOOKUP(OU$1,$S13:$HK13,csv!$L13:$HD13)),NA(),LOOKUP(OU$1,$S13:$HK13,csv!$L13:$HD13))</f>
        <v>0</v>
      </c>
      <c r="OV13" s="5">
        <f>IF(ISERROR(LOOKUP(OV$1,$S13:$HK13,csv!$L13:$HD13)),NA(),LOOKUP(OV$1,$S13:$HK13,csv!$L13:$HD13))</f>
        <v>0</v>
      </c>
      <c r="OW13" s="5">
        <f>IF(ISERROR(LOOKUP(OW$1,$S13:$HK13,csv!$L13:$HD13)),NA(),LOOKUP(OW$1,$S13:$HK13,csv!$L13:$HD13))</f>
        <v>0</v>
      </c>
      <c r="OX13" s="5">
        <f>IF(ISERROR(LOOKUP(OX$1,$S13:$HK13,csv!$L13:$HD13)),NA(),LOOKUP(OX$1,$S13:$HK13,csv!$L13:$HD13))</f>
        <v>0</v>
      </c>
      <c r="OY13" s="5">
        <f>IF(ISERROR(LOOKUP(OY$1,$S13:$HK13,csv!$L13:$HD13)),NA(),LOOKUP(OY$1,$S13:$HK13,csv!$L13:$HD13))</f>
        <v>0</v>
      </c>
      <c r="OZ13" s="5">
        <f>IF(ISERROR(LOOKUP(OZ$1,$S13:$HK13,csv!$L13:$HD13)),NA(),LOOKUP(OZ$1,$S13:$HK13,csv!$L13:$HD13))</f>
        <v>0</v>
      </c>
      <c r="PA13" s="5">
        <f>IF(ISERROR(LOOKUP(PA$1,$S13:$HK13,csv!$L13:$HD13)),NA(),LOOKUP(PA$1,$S13:$HK13,csv!$L13:$HD13))</f>
        <v>0</v>
      </c>
      <c r="PB13" s="5">
        <f>IF(ISERROR(LOOKUP(PB$1,$S13:$HK13,csv!$L13:$HD13)),NA(),LOOKUP(PB$1,$S13:$HK13,csv!$L13:$HD13))</f>
        <v>0</v>
      </c>
      <c r="PC13" s="5">
        <f>IF(ISERROR(LOOKUP(PC$1,$S13:$HK13,csv!$L13:$HD13)),NA(),LOOKUP(PC$1,$S13:$HK13,csv!$L13:$HD13))</f>
        <v>0</v>
      </c>
      <c r="PD13" s="5">
        <f>IF(ISERROR(LOOKUP(PD$1,$S13:$HK13,csv!$L13:$HD13)),NA(),LOOKUP(PD$1,$S13:$HK13,csv!$L13:$HD13))</f>
        <v>0</v>
      </c>
      <c r="PE13" s="5">
        <f>IF(ISERROR(LOOKUP(PE$1,$S13:$HK13,csv!$L13:$HD13)),NA(),LOOKUP(PE$1,$S13:$HK13,csv!$L13:$HD13))</f>
        <v>0</v>
      </c>
      <c r="PF13" s="5">
        <f>IF(ISERROR(LOOKUP(PF$1,$S13:$HK13,csv!$L13:$HD13)),NA(),LOOKUP(PF$1,$S13:$HK13,csv!$L13:$HD13))</f>
        <v>0</v>
      </c>
      <c r="PG13" s="5">
        <f>IF(ISERROR(LOOKUP(PG$1,$S13:$HK13,csv!$L13:$HD13)),NA(),LOOKUP(PG$1,$S13:$HK13,csv!$L13:$HD13))</f>
        <v>0</v>
      </c>
      <c r="PH13" s="5">
        <f>IF(ISERROR(LOOKUP(PH$1,$S13:$HK13,csv!$L13:$HD13)),NA(),LOOKUP(PH$1,$S13:$HK13,csv!$L13:$HD13))</f>
        <v>0</v>
      </c>
      <c r="PI13" s="5">
        <f>IF(ISERROR(LOOKUP(PI$1,$S13:$HK13,csv!$L13:$HD13)),NA(),LOOKUP(PI$1,$S13:$HK13,csv!$L13:$HD13))</f>
        <v>0</v>
      </c>
      <c r="PJ13" s="5">
        <f>IF(ISERROR(LOOKUP(PJ$1,$S13:$HK13,csv!$L13:$HD13)),NA(),LOOKUP(PJ$1,$S13:$HK13,csv!$L13:$HD13))</f>
        <v>0</v>
      </c>
      <c r="PK13" s="5">
        <f>IF(ISERROR(LOOKUP(PK$1,$S13:$HK13,csv!$L13:$HD13)),NA(),LOOKUP(PK$1,$S13:$HK13,csv!$L13:$HD13))</f>
        <v>0</v>
      </c>
      <c r="PL13" s="5">
        <f>IF(ISERROR(LOOKUP(PL$1,$S13:$HK13,csv!$L13:$HD13)),NA(),LOOKUP(PL$1,$S13:$HK13,csv!$L13:$HD13))</f>
        <v>0</v>
      </c>
      <c r="PM13" s="5">
        <f>IF(ISERROR(LOOKUP(PM$1,$S13:$HK13,csv!$L13:$HD13)),NA(),LOOKUP(PM$1,$S13:$HK13,csv!$L13:$HD13))</f>
        <v>0</v>
      </c>
      <c r="PN13" s="5">
        <f>IF(ISERROR(LOOKUP(PN$1,$S13:$HK13,csv!$L13:$HD13)),NA(),LOOKUP(PN$1,$S13:$HK13,csv!$L13:$HD13))</f>
        <v>0</v>
      </c>
      <c r="PO13" s="5">
        <f>IF(ISERROR(LOOKUP(PO$1,$S13:$HK13,csv!$L13:$HD13)),NA(),LOOKUP(PO$1,$S13:$HK13,csv!$L13:$HD13))</f>
        <v>0</v>
      </c>
      <c r="PP13" s="5">
        <f>IF(ISERROR(LOOKUP(PP$1,$S13:$HK13,csv!$L13:$HD13)),NA(),LOOKUP(PP$1,$S13:$HK13,csv!$L13:$HD13))</f>
        <v>0</v>
      </c>
      <c r="PQ13" s="5">
        <f>IF(ISERROR(LOOKUP(PQ$1,$S13:$HK13,csv!$L13:$HD13)),NA(),LOOKUP(PQ$1,$S13:$HK13,csv!$L13:$HD13))</f>
        <v>0</v>
      </c>
      <c r="PR13" s="5">
        <f>IF(ISERROR(LOOKUP(PR$1,$S13:$HK13,csv!$L13:$HD13)),NA(),LOOKUP(PR$1,$S13:$HK13,csv!$L13:$HD13))</f>
        <v>0</v>
      </c>
      <c r="PS13" s="5">
        <f>IF(ISERROR(LOOKUP(PS$1,$S13:$HK13,csv!$L13:$HD13)),NA(),LOOKUP(PS$1,$S13:$HK13,csv!$L13:$HD13))</f>
        <v>0</v>
      </c>
      <c r="PT13" s="5">
        <f>IF(ISERROR(LOOKUP(PT$1,$S13:$HK13,csv!$L13:$HD13)),NA(),LOOKUP(PT$1,$S13:$HK13,csv!$L13:$HD13))</f>
        <v>0</v>
      </c>
      <c r="PU13" s="5">
        <f>IF(ISERROR(LOOKUP(PU$1,$S13:$HK13,csv!$L13:$HD13)),NA(),LOOKUP(PU$1,$S13:$HK13,csv!$L13:$HD13))</f>
        <v>0</v>
      </c>
      <c r="PV13" s="5">
        <f>IF(ISERROR(LOOKUP(PV$1,$S13:$HK13,csv!$L13:$HD13)),NA(),LOOKUP(PV$1,$S13:$HK13,csv!$L13:$HD13))</f>
        <v>0</v>
      </c>
      <c r="PW13" s="5">
        <f>IF(ISERROR(LOOKUP(PW$1,$S13:$HK13,csv!$L13:$HD13)),NA(),LOOKUP(PW$1,$S13:$HK13,csv!$L13:$HD13))</f>
        <v>0</v>
      </c>
      <c r="PX13" s="5">
        <f>IF(ISERROR(LOOKUP(PX$1,$S13:$HK13,csv!$L13:$HD13)),NA(),LOOKUP(PX$1,$S13:$HK13,csv!$L13:$HD13))</f>
        <v>0</v>
      </c>
      <c r="PY13" s="5">
        <f>IF(ISERROR(LOOKUP(PY$1,$S13:$HK13,csv!$L13:$HD13)),NA(),LOOKUP(PY$1,$S13:$HK13,csv!$L13:$HD13))</f>
        <v>0</v>
      </c>
      <c r="PZ13" s="5">
        <f>IF(ISERROR(LOOKUP(PZ$1,$S13:$HK13,csv!$L13:$HD13)),NA(),LOOKUP(PZ$1,$S13:$HK13,csv!$L13:$HD13))</f>
        <v>0</v>
      </c>
      <c r="QA13" s="5">
        <f>IF(ISERROR(LOOKUP(QA$1,$S13:$HK13,csv!$L13:$HD13)),NA(),LOOKUP(QA$1,$S13:$HK13,csv!$L13:$HD13))</f>
        <v>0</v>
      </c>
      <c r="QB13" s="5">
        <f>IF(ISERROR(LOOKUP(QB$1,$S13:$HK13,csv!$L13:$HD13)),NA(),LOOKUP(QB$1,$S13:$HK13,csv!$L13:$HD13))</f>
        <v>0</v>
      </c>
      <c r="QC13" s="5">
        <f>IF(ISERROR(LOOKUP(QC$1,$S13:$HK13,csv!$L13:$HD13)),NA(),LOOKUP(QC$1,$S13:$HK13,csv!$L13:$HD13))</f>
        <v>0</v>
      </c>
      <c r="QD13" s="5">
        <f>IF(ISERROR(LOOKUP(QD$1,$S13:$HK13,csv!$L13:$HD13)),NA(),LOOKUP(QD$1,$S13:$HK13,csv!$L13:$HD13))</f>
        <v>0</v>
      </c>
      <c r="QE13" s="5">
        <f>IF(ISERROR(LOOKUP(QE$1,$S13:$HK13,csv!$L13:$HD13)),NA(),LOOKUP(QE$1,$S13:$HK13,csv!$L13:$HD13))</f>
        <v>0</v>
      </c>
      <c r="QF13" s="5">
        <f>IF(ISERROR(LOOKUP(QF$1,$S13:$HK13,csv!$L13:$HD13)),NA(),LOOKUP(QF$1,$S13:$HK13,csv!$L13:$HD13))</f>
        <v>0</v>
      </c>
      <c r="QG13" s="5">
        <f>IF(ISERROR(LOOKUP(QG$1,$S13:$HK13,csv!$L13:$HD13)),NA(),LOOKUP(QG$1,$S13:$HK13,csv!$L13:$HD13))</f>
        <v>0</v>
      </c>
      <c r="QH13" s="5">
        <f>IF(ISERROR(LOOKUP(QH$1,$S13:$HK13,csv!$L13:$HD13)),NA(),LOOKUP(QH$1,$S13:$HK13,csv!$L13:$HD13))</f>
        <v>0</v>
      </c>
      <c r="QI13" s="5">
        <f>IF(ISERROR(LOOKUP(QI$1,$S13:$HK13,csv!$L13:$HD13)),NA(),LOOKUP(QI$1,$S13:$HK13,csv!$L13:$HD13))</f>
        <v>0</v>
      </c>
      <c r="QJ13" s="5">
        <f>IF(ISERROR(LOOKUP(QJ$1,$S13:$HK13,csv!$L13:$HD13)),NA(),LOOKUP(QJ$1,$S13:$HK13,csv!$L13:$HD13))</f>
        <v>0</v>
      </c>
      <c r="QK13" s="5">
        <f>IF(ISERROR(LOOKUP(QK$1,$S13:$HK13,csv!$L13:$HD13)),NA(),LOOKUP(QK$1,$S13:$HK13,csv!$L13:$HD13))</f>
        <v>0</v>
      </c>
      <c r="QL13" s="5">
        <f>IF(ISERROR(LOOKUP(QL$1,$S13:$HK13,csv!$L13:$HD13)),NA(),LOOKUP(QL$1,$S13:$HK13,csv!$L13:$HD13))</f>
        <v>0</v>
      </c>
      <c r="QM13" s="5">
        <f>IF(ISERROR(LOOKUP(QM$1,$S13:$HK13,csv!$L13:$HD13)),NA(),LOOKUP(QM$1,$S13:$HK13,csv!$L13:$HD13))</f>
        <v>0</v>
      </c>
      <c r="QN13" s="5">
        <f>IF(ISERROR(LOOKUP(QN$1,$S13:$HK13,csv!$L13:$HD13)),NA(),LOOKUP(QN$1,$S13:$HK13,csv!$L13:$HD13))</f>
        <v>0</v>
      </c>
      <c r="QO13" s="5">
        <f>IF(ISERROR(LOOKUP(QO$1,$S13:$HK13,csv!$L13:$HD13)),NA(),LOOKUP(QO$1,$S13:$HK13,csv!$L13:$HD13))</f>
        <v>0</v>
      </c>
      <c r="QP13" s="5">
        <f>IF(ISERROR(LOOKUP(QP$1,$S13:$HK13,csv!$L13:$HD13)),NA(),LOOKUP(QP$1,$S13:$HK13,csv!$L13:$HD13))</f>
        <v>0</v>
      </c>
      <c r="QQ13" s="5">
        <f>IF(ISERROR(LOOKUP(QQ$1,$S13:$HK13,csv!$L13:$HD13)),NA(),LOOKUP(QQ$1,$S13:$HK13,csv!$L13:$HD13))</f>
        <v>0</v>
      </c>
      <c r="QR13" s="5">
        <f>IF(ISERROR(LOOKUP(QR$1,$S13:$HK13,csv!$L13:$HD13)),NA(),LOOKUP(QR$1,$S13:$HK13,csv!$L13:$HD13))</f>
        <v>0</v>
      </c>
      <c r="QS13" s="5">
        <f>IF(ISERROR(LOOKUP(QS$1,$S13:$HK13,csv!$L13:$HD13)),NA(),LOOKUP(QS$1,$S13:$HK13,csv!$L13:$HD13))</f>
        <v>0</v>
      </c>
      <c r="QT13" s="5">
        <f>IF(ISERROR(LOOKUP(QT$1,$S13:$HK13,csv!$L13:$HD13)),NA(),LOOKUP(QT$1,$S13:$HK13,csv!$L13:$HD13))</f>
        <v>0</v>
      </c>
      <c r="QU13" s="5">
        <f>IF(ISERROR(LOOKUP(QU$1,$S13:$HK13,csv!$L13:$HD13)),NA(),LOOKUP(QU$1,$S13:$HK13,csv!$L13:$HD13))</f>
        <v>0</v>
      </c>
      <c r="QV13" s="5">
        <f>IF(ISERROR(LOOKUP(QV$1,$S13:$HK13,csv!$L13:$HD13)),NA(),LOOKUP(QV$1,$S13:$HK13,csv!$L13:$HD13))</f>
        <v>0</v>
      </c>
      <c r="QW13" s="5">
        <f>IF(ISERROR(LOOKUP(QW$1,$S13:$HK13,csv!$L13:$HD13)),NA(),LOOKUP(QW$1,$S13:$HK13,csv!$L13:$HD13))</f>
        <v>0</v>
      </c>
      <c r="QX13" s="5">
        <f>IF(ISERROR(LOOKUP(QX$1,$S13:$HK13,csv!$L13:$HD13)),NA(),LOOKUP(QX$1,$S13:$HK13,csv!$L13:$HD13))</f>
        <v>0</v>
      </c>
      <c r="QY13" s="5">
        <f>IF(ISERROR(LOOKUP(QY$1,$S13:$HK13,csv!$L13:$HD13)),NA(),LOOKUP(QY$1,$S13:$HK13,csv!$L13:$HD13))</f>
        <v>0</v>
      </c>
      <c r="QZ13" s="5">
        <f>IF(ISERROR(LOOKUP(QZ$1,$S13:$HK13,csv!$L13:$HD13)),NA(),LOOKUP(QZ$1,$S13:$HK13,csv!$L13:$HD13))</f>
        <v>0</v>
      </c>
      <c r="RA13" s="5">
        <f>IF(ISERROR(LOOKUP(RA$1,$S13:$HK13,csv!$L13:$HD13)),NA(),LOOKUP(RA$1,$S13:$HK13,csv!$L13:$HD13))</f>
        <v>0</v>
      </c>
      <c r="RB13" s="5">
        <f>IF(ISERROR(LOOKUP(RB$1,$S13:$HK13,csv!$L13:$HD13)),NA(),LOOKUP(RB$1,$S13:$HK13,csv!$L13:$HD13))</f>
        <v>0</v>
      </c>
      <c r="RC13" s="5">
        <f>IF(ISERROR(LOOKUP(RC$1,$S13:$HK13,csv!$L13:$HD13)),NA(),LOOKUP(RC$1,$S13:$HK13,csv!$L13:$HD13))</f>
        <v>0</v>
      </c>
      <c r="RD13" s="5">
        <f>IF(ISERROR(LOOKUP(RD$1,$S13:$HK13,csv!$L13:$HD13)),NA(),LOOKUP(RD$1,$S13:$HK13,csv!$L13:$HD13))</f>
        <v>0</v>
      </c>
      <c r="RE13" s="5">
        <f>IF(ISERROR(LOOKUP(RE$1,$S13:$HK13,csv!$L13:$HD13)),NA(),LOOKUP(RE$1,$S13:$HK13,csv!$L13:$HD13))</f>
        <v>0</v>
      </c>
      <c r="RF13" s="5">
        <f>IF(ISERROR(LOOKUP(RF$1,$S13:$HK13,csv!$L13:$HD13)),NA(),LOOKUP(RF$1,$S13:$HK13,csv!$L13:$HD13))</f>
        <v>0</v>
      </c>
      <c r="RG13" s="5">
        <f>IF(ISERROR(LOOKUP(RG$1,$S13:$HK13,csv!$L13:$HD13)),NA(),LOOKUP(RG$1,$S13:$HK13,csv!$L13:$HD13))</f>
        <v>0</v>
      </c>
      <c r="RH13" s="5">
        <f>IF(ISERROR(LOOKUP(RH$1,$S13:$HK13,csv!$L13:$HD13)),NA(),LOOKUP(RH$1,$S13:$HK13,csv!$L13:$HD13))</f>
        <v>0</v>
      </c>
      <c r="RI13" s="5">
        <f>IF(ISERROR(LOOKUP(RI$1,$S13:$HK13,csv!$L13:$HD13)),NA(),LOOKUP(RI$1,$S13:$HK13,csv!$L13:$HD13))</f>
        <v>0</v>
      </c>
      <c r="RJ13" s="5">
        <f>IF(ISERROR(LOOKUP(RJ$1,$S13:$HK13,csv!$L13:$HD13)),NA(),LOOKUP(RJ$1,$S13:$HK13,csv!$L13:$HD13))</f>
        <v>0</v>
      </c>
      <c r="RK13" s="5">
        <f>IF(ISERROR(LOOKUP(RK$1,$S13:$HK13,csv!$L13:$HD13)),NA(),LOOKUP(RK$1,$S13:$HK13,csv!$L13:$HD13))</f>
        <v>0</v>
      </c>
      <c r="RL13" s="5">
        <f>IF(ISERROR(LOOKUP(RL$1,$S13:$HK13,csv!$L13:$HD13)),NA(),LOOKUP(RL$1,$S13:$HK13,csv!$L13:$HD13))</f>
        <v>0</v>
      </c>
      <c r="RM13" s="5">
        <f>IF(ISERROR(LOOKUP(RM$1,$S13:$HK13,csv!$L13:$HD13)),NA(),LOOKUP(RM$1,$S13:$HK13,csv!$L13:$HD13))</f>
        <v>0</v>
      </c>
      <c r="RN13" s="5">
        <f>IF(ISERROR(LOOKUP(RN$1,$S13:$HK13,csv!$L13:$HD13)),NA(),LOOKUP(RN$1,$S13:$HK13,csv!$L13:$HD13))</f>
        <v>0</v>
      </c>
      <c r="RO13" s="5">
        <f>IF(ISERROR(LOOKUP(RO$1,$S13:$HK13,csv!$L13:$HD13)),NA(),LOOKUP(RO$1,$S13:$HK13,csv!$L13:$HD13))</f>
        <v>0</v>
      </c>
      <c r="RP13" s="5">
        <f>IF(ISERROR(LOOKUP(RP$1,$S13:$HK13,csv!$L13:$HD13)),NA(),LOOKUP(RP$1,$S13:$HK13,csv!$L13:$HD13))</f>
        <v>0</v>
      </c>
      <c r="RQ13" s="5">
        <f>IF(ISERROR(LOOKUP(RQ$1,$S13:$HK13,csv!$L13:$HD13)),NA(),LOOKUP(RQ$1,$S13:$HK13,csv!$L13:$HD13))</f>
        <v>0</v>
      </c>
      <c r="RR13" s="5">
        <f>IF(ISERROR(LOOKUP(RR$1,$S13:$HK13,csv!$L13:$HD13)),NA(),LOOKUP(RR$1,$S13:$HK13,csv!$L13:$HD13))</f>
        <v>0</v>
      </c>
      <c r="RS13" s="5">
        <f>IF(ISERROR(LOOKUP(RS$1,$S13:$HK13,csv!$L13:$HD13)),NA(),LOOKUP(RS$1,$S13:$HK13,csv!$L13:$HD13))</f>
        <v>0</v>
      </c>
      <c r="RT13" s="5">
        <f>IF(ISERROR(LOOKUP(RT$1,$S13:$HK13,csv!$L13:$HD13)),NA(),LOOKUP(RT$1,$S13:$HK13,csv!$L13:$HD13))</f>
        <v>0</v>
      </c>
      <c r="RU13" s="5">
        <f>IF(ISERROR(LOOKUP(RU$1,$S13:$HK13,csv!$L13:$HD13)),NA(),LOOKUP(RU$1,$S13:$HK13,csv!$L13:$HD13))</f>
        <v>0</v>
      </c>
      <c r="RV13" s="5">
        <f>IF(ISERROR(LOOKUP(RV$1,$S13:$HK13,csv!$L13:$HD13)),NA(),LOOKUP(RV$1,$S13:$HK13,csv!$L13:$HD13))</f>
        <v>0</v>
      </c>
      <c r="RW13" s="5">
        <f>IF(ISERROR(LOOKUP(RW$1,$S13:$HK13,csv!$L13:$HD13)),NA(),LOOKUP(RW$1,$S13:$HK13,csv!$L13:$HD13))</f>
        <v>0</v>
      </c>
      <c r="RX13" s="5">
        <f>IF(ISERROR(LOOKUP(RX$1,$S13:$HK13,csv!$L13:$HD13)),NA(),LOOKUP(RX$1,$S13:$HK13,csv!$L13:$HD13))</f>
        <v>0</v>
      </c>
      <c r="RY13" s="5">
        <f>IF(ISERROR(LOOKUP(RY$1,$S13:$HK13,csv!$L13:$HD13)),NA(),LOOKUP(RY$1,$S13:$HK13,csv!$L13:$HD13))</f>
        <v>0</v>
      </c>
      <c r="RZ13" s="5">
        <f>IF(ISERROR(LOOKUP(RZ$1,$S13:$HK13,csv!$L13:$HD13)),NA(),LOOKUP(RZ$1,$S13:$HK13,csv!$L13:$HD13))</f>
        <v>0</v>
      </c>
      <c r="SA13" s="5">
        <f>IF(ISERROR(LOOKUP(SA$1,$S13:$HK13,csv!$L13:$HD13)),NA(),LOOKUP(SA$1,$S13:$HK13,csv!$L13:$HD13))</f>
        <v>0</v>
      </c>
      <c r="SB13" s="5">
        <f>IF(ISERROR(LOOKUP(SB$1,$S13:$HK13,csv!$L13:$HD13)),NA(),LOOKUP(SB$1,$S13:$HK13,csv!$L13:$HD13))</f>
        <v>0</v>
      </c>
      <c r="SC13" s="5">
        <f>IF(ISERROR(LOOKUP(SC$1,$S13:$HK13,csv!$L13:$HD13)),NA(),LOOKUP(SC$1,$S13:$HK13,csv!$L13:$HD13))</f>
        <v>0</v>
      </c>
      <c r="SD13" s="5">
        <f>IF(ISERROR(LOOKUP(SD$1,$S13:$HK13,csv!$L13:$HD13)),NA(),LOOKUP(SD$1,$S13:$HK13,csv!$L13:$HD13))</f>
        <v>0</v>
      </c>
      <c r="SE13" s="5">
        <f>IF(ISERROR(LOOKUP(SE$1,$S13:$HK13,csv!$L13:$HD13)),NA(),LOOKUP(SE$1,$S13:$HK13,csv!$L13:$HD13))</f>
        <v>0</v>
      </c>
      <c r="SF13" s="5">
        <f>IF(ISERROR(LOOKUP(SF$1,$S13:$HK13,csv!$L13:$HD13)),NA(),LOOKUP(SF$1,$S13:$HK13,csv!$L13:$HD13))</f>
        <v>0</v>
      </c>
      <c r="SG13" s="5">
        <f>IF(ISERROR(LOOKUP(SG$1,$S13:$HK13,csv!$L13:$HD13)),NA(),LOOKUP(SG$1,$S13:$HK13,csv!$L13:$HD13))</f>
        <v>0</v>
      </c>
      <c r="SH13" s="5">
        <f>IF(ISERROR(LOOKUP(SH$1,$S13:$HK13,csv!$L13:$HD13)),NA(),LOOKUP(SH$1,$S13:$HK13,csv!$L13:$HD13))</f>
        <v>0</v>
      </c>
      <c r="SI13" s="5">
        <f>IF(ISERROR(LOOKUP(SI$1,$S13:$HK13,csv!$L13:$HD13)),NA(),LOOKUP(SI$1,$S13:$HK13,csv!$L13:$HD13))</f>
        <v>0</v>
      </c>
      <c r="SJ13" s="5">
        <f>IF(ISERROR(LOOKUP(SJ$1,$S13:$HK13,csv!$L13:$HD13)),NA(),LOOKUP(SJ$1,$S13:$HK13,csv!$L13:$HD13))</f>
        <v>0</v>
      </c>
      <c r="SK13" s="5">
        <f>IF(ISERROR(LOOKUP(SK$1,$S13:$HK13,csv!$L13:$HD13)),NA(),LOOKUP(SK$1,$S13:$HK13,csv!$L13:$HD13))</f>
        <v>0</v>
      </c>
      <c r="SL13" s="5">
        <f>IF(ISERROR(LOOKUP(SL$1,$S13:$HK13,csv!$L13:$HD13)),NA(),LOOKUP(SL$1,$S13:$HK13,csv!$L13:$HD13))</f>
        <v>0</v>
      </c>
      <c r="SM13" s="5">
        <f>IF(ISERROR(LOOKUP(SM$1,$S13:$HK13,csv!$L13:$HD13)),NA(),LOOKUP(SM$1,$S13:$HK13,csv!$L13:$HD13))</f>
        <v>0</v>
      </c>
      <c r="SN13" s="5">
        <f>IF(ISERROR(LOOKUP(SN$1,$S13:$HK13,csv!$L13:$HD13)),NA(),LOOKUP(SN$1,$S13:$HK13,csv!$L13:$HD13))</f>
        <v>0</v>
      </c>
      <c r="SO13" s="5">
        <f>IF(ISERROR(LOOKUP(SO$1,$S13:$HK13,csv!$L13:$HD13)),NA(),LOOKUP(SO$1,$S13:$HK13,csv!$L13:$HD13))</f>
        <v>0</v>
      </c>
      <c r="SP13" s="5">
        <f>IF(ISERROR(LOOKUP(SP$1,$S13:$HK13,csv!$L13:$HD13)),NA(),LOOKUP(SP$1,$S13:$HK13,csv!$L13:$HD13))</f>
        <v>0</v>
      </c>
      <c r="SQ13" s="5">
        <f>IF(ISERROR(LOOKUP(SQ$1,$S13:$HK13,csv!$L13:$HD13)),NA(),LOOKUP(SQ$1,$S13:$HK13,csv!$L13:$HD13))</f>
        <v>0</v>
      </c>
      <c r="SR13" s="5">
        <f>IF(ISERROR(LOOKUP(SR$1,$S13:$HK13,csv!$L13:$HD13)),NA(),LOOKUP(SR$1,$S13:$HK13,csv!$L13:$HD13))</f>
        <v>0</v>
      </c>
      <c r="SS13" s="5">
        <f>IF(ISERROR(LOOKUP(SS$1,$S13:$HK13,csv!$L13:$HD13)),NA(),LOOKUP(SS$1,$S13:$HK13,csv!$L13:$HD13))</f>
        <v>0</v>
      </c>
      <c r="ST13" s="5">
        <f>IF(ISERROR(LOOKUP(ST$1,$S13:$HK13,csv!$L13:$HD13)),NA(),LOOKUP(ST$1,$S13:$HK13,csv!$L13:$HD13))</f>
        <v>0</v>
      </c>
      <c r="SU13" s="5">
        <f>IF(ISERROR(LOOKUP(SU$1,$S13:$HK13,csv!$L13:$HD13)),NA(),LOOKUP(SU$1,$S13:$HK13,csv!$L13:$HD13))</f>
        <v>0</v>
      </c>
      <c r="SV13" s="5">
        <f>IF(ISERROR(LOOKUP(SV$1,$S13:$HK13,csv!$L13:$HD13)),NA(),LOOKUP(SV$1,$S13:$HK13,csv!$L13:$HD13))</f>
        <v>0</v>
      </c>
      <c r="SW13" s="5">
        <f>IF(ISERROR(LOOKUP(SW$1,$S13:$HK13,csv!$L13:$HD13)),NA(),LOOKUP(SW$1,$S13:$HK13,csv!$L13:$HD13))</f>
        <v>0</v>
      </c>
      <c r="SX13" s="5">
        <f>IF(ISERROR(LOOKUP(SX$1,$S13:$HK13,csv!$L13:$HD13)),NA(),LOOKUP(SX$1,$S13:$HK13,csv!$L13:$HD13))</f>
        <v>0</v>
      </c>
      <c r="SY13" s="5">
        <f>IF(ISERROR(LOOKUP(SY$1,$S13:$HK13,csv!$L13:$HD13)),NA(),LOOKUP(SY$1,$S13:$HK13,csv!$L13:$HD13))</f>
        <v>0</v>
      </c>
      <c r="SZ13" s="5">
        <f>IF(ISERROR(LOOKUP(SZ$1,$S13:$HK13,csv!$L13:$HD13)),NA(),LOOKUP(SZ$1,$S13:$HK13,csv!$L13:$HD13))</f>
        <v>0</v>
      </c>
      <c r="TA13" s="5">
        <f>IF(ISERROR(LOOKUP(TA$1,$S13:$HK13,csv!$L13:$HD13)),NA(),LOOKUP(TA$1,$S13:$HK13,csv!$L13:$HD13))</f>
        <v>0</v>
      </c>
      <c r="TB13" s="5">
        <f>IF(ISERROR(LOOKUP(TB$1,$S13:$HK13,csv!$L13:$HD13)),NA(),LOOKUP(TB$1,$S13:$HK13,csv!$L13:$HD13))</f>
        <v>0</v>
      </c>
      <c r="TD13">
        <f>csv!HG13/10</f>
        <v>0</v>
      </c>
    </row>
    <row r="14" spans="1:524" x14ac:dyDescent="0.15">
      <c r="C14" s="32" t="str">
        <f>TEXT(csv!B14&amp;"/"&amp;csv!C14&amp;"-"&amp;csv!E14&amp;"/"&amp;csv!F14,"mm/dd")</f>
        <v>/-/</v>
      </c>
      <c r="D14">
        <f>csv!A14*10000+csv!B14*100+csv!C14</f>
        <v>0</v>
      </c>
      <c r="E14">
        <f>(IF(csv!HG14&lt;-1000,NA(),csv!HG14)+csv!K14)/10</f>
        <v>0</v>
      </c>
      <c r="F14">
        <f>(IF(csv!HG27&lt;-1000,NA(),csv!HG27)+csv!K27)/10</f>
        <v>0</v>
      </c>
      <c r="G14">
        <f>(IF(csv!HG40&lt;-1000,NA(),csv!HG40)+csv!K40)/10</f>
        <v>0</v>
      </c>
      <c r="H14">
        <f>IF(csv!HG14&lt;-1000,NA(),csv!HG14/10)</f>
        <v>0</v>
      </c>
      <c r="I14">
        <f>IF(csv!HG27&lt;-1000,NA(),csv!HG27/10)</f>
        <v>0</v>
      </c>
      <c r="J14">
        <f>IF(csv!HG40&lt;-1000,NA(),csv!HG40/10)</f>
        <v>0</v>
      </c>
      <c r="K14">
        <f>IF(csv!HF14&lt;-1000,NA(),csv!HF14/10)</f>
        <v>0</v>
      </c>
      <c r="L14">
        <f>IF(csv!HF27&lt;-1000,NA(),csv!HF27/10)</f>
        <v>0</v>
      </c>
      <c r="M14">
        <f>IF(csv!HF40&lt;-1000,NA(),csv!HF40/10)</f>
        <v>0</v>
      </c>
      <c r="N14">
        <f>IF(csv!HE14&lt;-1000,NA(),csv!HE14/10)</f>
        <v>0</v>
      </c>
      <c r="O14">
        <f>IF(csv!HE27&lt;-1000,NA(),csv!HE27/10)</f>
        <v>0</v>
      </c>
      <c r="P14">
        <f>IF(csv!HE40&lt;-1000,NA(),csv!HE40/10)</f>
        <v>0</v>
      </c>
      <c r="S14" s="4">
        <f>ROUND((csv!$HG14/10+calc!S$1),1)</f>
        <v>-10</v>
      </c>
      <c r="T14" s="4">
        <f>ROUND((csv!$HG14/10+calc!T$1),1)</f>
        <v>-9.9</v>
      </c>
      <c r="U14" s="4">
        <f>ROUND((csv!$HG14/10+calc!U$1),1)</f>
        <v>-9.8000000000000007</v>
      </c>
      <c r="V14" s="4">
        <f>ROUND((csv!$HG14/10+calc!V$1),1)</f>
        <v>-9.6999999999999993</v>
      </c>
      <c r="W14" s="4">
        <f>ROUND((csv!$HG14/10+calc!W$1),1)</f>
        <v>-9.6</v>
      </c>
      <c r="X14" s="4">
        <f>ROUND((csv!$HG14/10+calc!X$1),1)</f>
        <v>-9.5</v>
      </c>
      <c r="Y14" s="4">
        <f>ROUND((csv!$HG14/10+calc!Y$1),1)</f>
        <v>-9.4</v>
      </c>
      <c r="Z14" s="4">
        <f>ROUND((csv!$HG14/10+calc!Z$1),1)</f>
        <v>-9.3000000000000007</v>
      </c>
      <c r="AA14" s="4">
        <f>ROUND((csv!$HG14/10+calc!AA$1),1)</f>
        <v>-9.1999999999999993</v>
      </c>
      <c r="AB14" s="4">
        <f>ROUND((csv!$HG14/10+calc!AB$1),1)</f>
        <v>-9.1</v>
      </c>
      <c r="AC14" s="4">
        <f>ROUND((csv!$HG14/10+calc!AC$1),1)</f>
        <v>-9</v>
      </c>
      <c r="AD14" s="4">
        <f>ROUND((csv!$HG14/10+calc!AD$1),1)</f>
        <v>-8.9</v>
      </c>
      <c r="AE14" s="4">
        <f>ROUND((csv!$HG14/10+calc!AE$1),1)</f>
        <v>-8.8000000000000007</v>
      </c>
      <c r="AF14" s="4">
        <f>ROUND((csv!$HG14/10+calc!AF$1),1)</f>
        <v>-8.6999999999999993</v>
      </c>
      <c r="AG14" s="4">
        <f>ROUND((csv!$HG14/10+calc!AG$1),1)</f>
        <v>-8.6</v>
      </c>
      <c r="AH14" s="4">
        <f>ROUND((csv!$HG14/10+calc!AH$1),1)</f>
        <v>-8.5</v>
      </c>
      <c r="AI14" s="4">
        <f>ROUND((csv!$HG14/10+calc!AI$1),1)</f>
        <v>-8.4</v>
      </c>
      <c r="AJ14" s="4">
        <f>ROUND((csv!$HG14/10+calc!AJ$1),1)</f>
        <v>-8.3000000000000007</v>
      </c>
      <c r="AK14" s="4">
        <f>ROUND((csv!$HG14/10+calc!AK$1),1)</f>
        <v>-8.1999999999999993</v>
      </c>
      <c r="AL14" s="4">
        <f>ROUND((csv!$HG14/10+calc!AL$1),1)</f>
        <v>-8.1</v>
      </c>
      <c r="AM14" s="4">
        <f>ROUND((csv!$HG14/10+calc!AM$1),1)</f>
        <v>-8</v>
      </c>
      <c r="AN14" s="4">
        <f>ROUND((csv!$HG14/10+calc!AN$1),1)</f>
        <v>-7.9</v>
      </c>
      <c r="AO14" s="4">
        <f>ROUND((csv!$HG14/10+calc!AO$1),1)</f>
        <v>-7.8</v>
      </c>
      <c r="AP14" s="4">
        <f>ROUND((csv!$HG14/10+calc!AP$1),1)</f>
        <v>-7.7</v>
      </c>
      <c r="AQ14" s="4">
        <f>ROUND((csv!$HG14/10+calc!AQ$1),1)</f>
        <v>-7.6</v>
      </c>
      <c r="AR14" s="4">
        <f>ROUND((csv!$HG14/10+calc!AR$1),1)</f>
        <v>-7.5</v>
      </c>
      <c r="AS14" s="4">
        <f>ROUND((csv!$HG14/10+calc!AS$1),1)</f>
        <v>-7.4</v>
      </c>
      <c r="AT14" s="4">
        <f>ROUND((csv!$HG14/10+calc!AT$1),1)</f>
        <v>-7.3</v>
      </c>
      <c r="AU14" s="4">
        <f>ROUND((csv!$HG14/10+calc!AU$1),1)</f>
        <v>-7.2</v>
      </c>
      <c r="AV14" s="4">
        <f>ROUND((csv!$HG14/10+calc!AV$1),1)</f>
        <v>-7.1</v>
      </c>
      <c r="AW14" s="4">
        <f>ROUND((csv!$HG14/10+calc!AW$1),1)</f>
        <v>-7</v>
      </c>
      <c r="AX14" s="4">
        <f>ROUND((csv!$HG14/10+calc!AX$1),1)</f>
        <v>-6.9</v>
      </c>
      <c r="AY14" s="4">
        <f>ROUND((csv!$HG14/10+calc!AY$1),1)</f>
        <v>-6.8</v>
      </c>
      <c r="AZ14" s="4">
        <f>ROUND((csv!$HG14/10+calc!AZ$1),1)</f>
        <v>-6.7</v>
      </c>
      <c r="BA14" s="4">
        <f>ROUND((csv!$HG14/10+calc!BA$1),1)</f>
        <v>-6.6</v>
      </c>
      <c r="BB14" s="4">
        <f>ROUND((csv!$HG14/10+calc!BB$1),1)</f>
        <v>-6.5</v>
      </c>
      <c r="BC14" s="4">
        <f>ROUND((csv!$HG14/10+calc!BC$1),1)</f>
        <v>-6.4</v>
      </c>
      <c r="BD14" s="4">
        <f>ROUND((csv!$HG14/10+calc!BD$1),1)</f>
        <v>-6.3</v>
      </c>
      <c r="BE14" s="4">
        <f>ROUND((csv!$HG14/10+calc!BE$1),1)</f>
        <v>-6.2</v>
      </c>
      <c r="BF14" s="4">
        <f>ROUND((csv!$HG14/10+calc!BF$1),1)</f>
        <v>-6.1</v>
      </c>
      <c r="BG14" s="4">
        <f>ROUND((csv!$HG14/10+calc!BG$1),1)</f>
        <v>-6</v>
      </c>
      <c r="BH14" s="4">
        <f>ROUND((csv!$HG14/10+calc!BH$1),1)</f>
        <v>-5.9</v>
      </c>
      <c r="BI14" s="4">
        <f>ROUND((csv!$HG14/10+calc!BI$1),1)</f>
        <v>-5.8</v>
      </c>
      <c r="BJ14" s="4">
        <f>ROUND((csv!$HG14/10+calc!BJ$1),1)</f>
        <v>-5.7</v>
      </c>
      <c r="BK14" s="4">
        <f>ROUND((csv!$HG14/10+calc!BK$1),1)</f>
        <v>-5.6</v>
      </c>
      <c r="BL14" s="4">
        <f>ROUND((csv!$HG14/10+calc!BL$1),1)</f>
        <v>-5.5</v>
      </c>
      <c r="BM14" s="4">
        <f>ROUND((csv!$HG14/10+calc!BM$1),1)</f>
        <v>-5.4</v>
      </c>
      <c r="BN14" s="4">
        <f>ROUND((csv!$HG14/10+calc!BN$1),1)</f>
        <v>-5.3</v>
      </c>
      <c r="BO14" s="4">
        <f>ROUND((csv!$HG14/10+calc!BO$1),1)</f>
        <v>-5.2</v>
      </c>
      <c r="BP14" s="4">
        <f>ROUND((csv!$HG14/10+calc!BP$1),1)</f>
        <v>-5.0999999999999996</v>
      </c>
      <c r="BQ14" s="4">
        <f>ROUND((csv!$HG14/10+calc!BQ$1),1)</f>
        <v>-5</v>
      </c>
      <c r="BR14" s="4">
        <f>ROUND((csv!$HG14/10+calc!BR$1),1)</f>
        <v>-4.9000000000000004</v>
      </c>
      <c r="BS14" s="4">
        <f>ROUND((csv!$HG14/10+calc!BS$1),1)</f>
        <v>-4.8</v>
      </c>
      <c r="BT14" s="4">
        <f>ROUND((csv!$HG14/10+calc!BT$1),1)</f>
        <v>-4.7</v>
      </c>
      <c r="BU14" s="4">
        <f>ROUND((csv!$HG14/10+calc!BU$1),1)</f>
        <v>-4.5999999999999996</v>
      </c>
      <c r="BV14" s="4">
        <f>ROUND((csv!$HG14/10+calc!BV$1),1)</f>
        <v>-4.5</v>
      </c>
      <c r="BW14" s="4">
        <f>ROUND((csv!$HG14/10+calc!BW$1),1)</f>
        <v>-4.4000000000000004</v>
      </c>
      <c r="BX14" s="4">
        <f>ROUND((csv!$HG14/10+calc!BX$1),1)</f>
        <v>-4.3</v>
      </c>
      <c r="BY14" s="4">
        <f>ROUND((csv!$HG14/10+calc!BY$1),1)</f>
        <v>-4.2</v>
      </c>
      <c r="BZ14" s="4">
        <f>ROUND((csv!$HG14/10+calc!BZ$1),1)</f>
        <v>-4.0999999999999996</v>
      </c>
      <c r="CA14" s="4">
        <f>ROUND((csv!$HG14/10+calc!CA$1),1)</f>
        <v>-4</v>
      </c>
      <c r="CB14" s="4">
        <f>ROUND((csv!$HG14/10+calc!CB$1),1)</f>
        <v>-3.9</v>
      </c>
      <c r="CC14" s="4">
        <f>ROUND((csv!$HG14/10+calc!CC$1),1)</f>
        <v>-3.8</v>
      </c>
      <c r="CD14" s="4">
        <f>ROUND((csv!$HG14/10+calc!CD$1),1)</f>
        <v>-3.7</v>
      </c>
      <c r="CE14" s="4">
        <f>ROUND((csv!$HG14/10+calc!CE$1),1)</f>
        <v>-3.6</v>
      </c>
      <c r="CF14" s="4">
        <f>ROUND((csv!$HG14/10+calc!CF$1),1)</f>
        <v>-3.5</v>
      </c>
      <c r="CG14" s="4">
        <f>ROUND((csv!$HG14/10+calc!CG$1),1)</f>
        <v>-3.4</v>
      </c>
      <c r="CH14" s="4">
        <f>ROUND((csv!$HG14/10+calc!CH$1),1)</f>
        <v>-3.3</v>
      </c>
      <c r="CI14" s="4">
        <f>ROUND((csv!$HG14/10+calc!CI$1),1)</f>
        <v>-3.2</v>
      </c>
      <c r="CJ14" s="4">
        <f>ROUND((csv!$HG14/10+calc!CJ$1),1)</f>
        <v>-3.1</v>
      </c>
      <c r="CK14" s="4">
        <f>ROUND((csv!$HG14/10+calc!CK$1),1)</f>
        <v>-3</v>
      </c>
      <c r="CL14" s="4">
        <f>ROUND((csv!$HG14/10+calc!CL$1),1)</f>
        <v>-2.9</v>
      </c>
      <c r="CM14" s="4">
        <f>ROUND((csv!$HG14/10+calc!CM$1),1)</f>
        <v>-2.8</v>
      </c>
      <c r="CN14" s="4">
        <f>ROUND((csv!$HG14/10+calc!CN$1),1)</f>
        <v>-2.7</v>
      </c>
      <c r="CO14" s="4">
        <f>ROUND((csv!$HG14/10+calc!CO$1),1)</f>
        <v>-2.6</v>
      </c>
      <c r="CP14" s="4">
        <f>ROUND((csv!$HG14/10+calc!CP$1),1)</f>
        <v>-2.5</v>
      </c>
      <c r="CQ14" s="4">
        <f>ROUND((csv!$HG14/10+calc!CQ$1),1)</f>
        <v>-2.4</v>
      </c>
      <c r="CR14" s="4">
        <f>ROUND((csv!$HG14/10+calc!CR$1),1)</f>
        <v>-2.2999999999999998</v>
      </c>
      <c r="CS14" s="4">
        <f>ROUND((csv!$HG14/10+calc!CS$1),1)</f>
        <v>-2.2000000000000002</v>
      </c>
      <c r="CT14" s="4">
        <f>ROUND((csv!$HG14/10+calc!CT$1),1)</f>
        <v>-2.1</v>
      </c>
      <c r="CU14" s="4">
        <f>ROUND((csv!$HG14/10+calc!CU$1),1)</f>
        <v>-2</v>
      </c>
      <c r="CV14" s="4">
        <f>ROUND((csv!$HG14/10+calc!CV$1),1)</f>
        <v>-1.9</v>
      </c>
      <c r="CW14" s="4">
        <f>ROUND((csv!$HG14/10+calc!CW$1),1)</f>
        <v>-1.8</v>
      </c>
      <c r="CX14" s="4">
        <f>ROUND((csv!$HG14/10+calc!CX$1),1)</f>
        <v>-1.7</v>
      </c>
      <c r="CY14" s="4">
        <f>ROUND((csv!$HG14/10+calc!CY$1),1)</f>
        <v>-1.6</v>
      </c>
      <c r="CZ14" s="4">
        <f>ROUND((csv!$HG14/10+calc!CZ$1),1)</f>
        <v>-1.5</v>
      </c>
      <c r="DA14" s="4">
        <f>ROUND((csv!$HG14/10+calc!DA$1),1)</f>
        <v>-1.4</v>
      </c>
      <c r="DB14" s="4">
        <f>ROUND((csv!$HG14/10+calc!DB$1),1)</f>
        <v>-1.3</v>
      </c>
      <c r="DC14" s="4">
        <f>ROUND((csv!$HG14/10+calc!DC$1),1)</f>
        <v>-1.2</v>
      </c>
      <c r="DD14" s="4">
        <f>ROUND((csv!$HG14/10+calc!DD$1),1)</f>
        <v>-1.1000000000000001</v>
      </c>
      <c r="DE14" s="4">
        <f>ROUND((csv!$HG14/10+calc!DE$1),1)</f>
        <v>-1</v>
      </c>
      <c r="DF14" s="4">
        <f>ROUND((csv!$HG14/10+calc!DF$1),1)</f>
        <v>-0.9</v>
      </c>
      <c r="DG14" s="4">
        <f>ROUND((csv!$HG14/10+calc!DG$1),1)</f>
        <v>-0.8</v>
      </c>
      <c r="DH14" s="4">
        <f>ROUND((csv!$HG14/10+calc!DH$1),1)</f>
        <v>-0.7</v>
      </c>
      <c r="DI14" s="4">
        <f>ROUND((csv!$HG14/10+calc!DI$1),1)</f>
        <v>-0.6</v>
      </c>
      <c r="DJ14" s="4">
        <f>ROUND((csv!$HG14/10+calc!DJ$1),1)</f>
        <v>-0.5</v>
      </c>
      <c r="DK14" s="4">
        <f>ROUND((csv!$HG14/10+calc!DK$1),1)</f>
        <v>-0.4</v>
      </c>
      <c r="DL14" s="4">
        <f>ROUND((csv!$HG14/10+calc!DL$1),1)</f>
        <v>-0.3</v>
      </c>
      <c r="DM14" s="4">
        <f>ROUND((csv!$HG14/10+calc!DM$1),1)</f>
        <v>-0.2</v>
      </c>
      <c r="DN14" s="4">
        <f>ROUND((csv!$HG14/10+calc!DN$1),1)</f>
        <v>-0.1</v>
      </c>
      <c r="DO14" s="4">
        <f>ROUND((csv!$HG14/10+calc!DO$1),1)</f>
        <v>0</v>
      </c>
      <c r="DP14" s="4">
        <f>ROUND((csv!$HG14/10+calc!DP$1),1)</f>
        <v>0.1</v>
      </c>
      <c r="DQ14" s="4">
        <f>ROUND((csv!$HG14/10+calc!DQ$1),1)</f>
        <v>0.2</v>
      </c>
      <c r="DR14" s="4">
        <f>ROUND((csv!$HG14/10+calc!DR$1),1)</f>
        <v>0.3</v>
      </c>
      <c r="DS14" s="4">
        <f>ROUND((csv!$HG14/10+calc!DS$1),1)</f>
        <v>0.4</v>
      </c>
      <c r="DT14" s="4">
        <f>ROUND((csv!$HG14/10+calc!DT$1),1)</f>
        <v>0.5</v>
      </c>
      <c r="DU14" s="4">
        <f>ROUND((csv!$HG14/10+calc!DU$1),1)</f>
        <v>0.6</v>
      </c>
      <c r="DV14" s="4">
        <f>ROUND((csv!$HG14/10+calc!DV$1),1)</f>
        <v>0.7</v>
      </c>
      <c r="DW14" s="4">
        <f>ROUND((csv!$HG14/10+calc!DW$1),1)</f>
        <v>0.8</v>
      </c>
      <c r="DX14" s="4">
        <f>ROUND((csv!$HG14/10+calc!DX$1),1)</f>
        <v>0.9</v>
      </c>
      <c r="DY14" s="4">
        <f>ROUND((csv!$HG14/10+calc!DY$1),1)</f>
        <v>1</v>
      </c>
      <c r="DZ14" s="4">
        <f>ROUND((csv!$HG14/10+calc!DZ$1),1)</f>
        <v>1.1000000000000001</v>
      </c>
      <c r="EA14" s="4">
        <f>ROUND((csv!$HG14/10+calc!EA$1),1)</f>
        <v>1.2</v>
      </c>
      <c r="EB14" s="4">
        <f>ROUND((csv!$HG14/10+calc!EB$1),1)</f>
        <v>1.3</v>
      </c>
      <c r="EC14" s="4">
        <f>ROUND((csv!$HG14/10+calc!EC$1),1)</f>
        <v>1.4</v>
      </c>
      <c r="ED14" s="4">
        <f>ROUND((csv!$HG14/10+calc!ED$1),1)</f>
        <v>1.5</v>
      </c>
      <c r="EE14" s="4">
        <f>ROUND((csv!$HG14/10+calc!EE$1),1)</f>
        <v>1.6</v>
      </c>
      <c r="EF14" s="4">
        <f>ROUND((csv!$HG14/10+calc!EF$1),1)</f>
        <v>1.7</v>
      </c>
      <c r="EG14" s="4">
        <f>ROUND((csv!$HG14/10+calc!EG$1),1)</f>
        <v>1.8</v>
      </c>
      <c r="EH14" s="4">
        <f>ROUND((csv!$HG14/10+calc!EH$1),1)</f>
        <v>1.9</v>
      </c>
      <c r="EI14" s="4">
        <f>ROUND((csv!$HG14/10+calc!EI$1),1)</f>
        <v>2</v>
      </c>
      <c r="EJ14" s="4">
        <f>ROUND((csv!$HG14/10+calc!EJ$1),1)</f>
        <v>2.1</v>
      </c>
      <c r="EK14" s="4">
        <f>ROUND((csv!$HG14/10+calc!EK$1),1)</f>
        <v>2.2000000000000002</v>
      </c>
      <c r="EL14" s="4">
        <f>ROUND((csv!$HG14/10+calc!EL$1),1)</f>
        <v>2.2999999999999998</v>
      </c>
      <c r="EM14" s="4">
        <f>ROUND((csv!$HG14/10+calc!EM$1),1)</f>
        <v>2.4</v>
      </c>
      <c r="EN14" s="4">
        <f>ROUND((csv!$HG14/10+calc!EN$1),1)</f>
        <v>2.5</v>
      </c>
      <c r="EO14" s="4">
        <f>ROUND((csv!$HG14/10+calc!EO$1),1)</f>
        <v>2.6</v>
      </c>
      <c r="EP14" s="4">
        <f>ROUND((csv!$HG14/10+calc!EP$1),1)</f>
        <v>2.7</v>
      </c>
      <c r="EQ14" s="4">
        <f>ROUND((csv!$HG14/10+calc!EQ$1),1)</f>
        <v>2.8</v>
      </c>
      <c r="ER14" s="4">
        <f>ROUND((csv!$HG14/10+calc!ER$1),1)</f>
        <v>2.9</v>
      </c>
      <c r="ES14" s="4">
        <f>ROUND((csv!$HG14/10+calc!ES$1),1)</f>
        <v>3</v>
      </c>
      <c r="ET14" s="4">
        <f>ROUND((csv!$HG14/10+calc!ET$1),1)</f>
        <v>3.1</v>
      </c>
      <c r="EU14" s="4">
        <f>ROUND((csv!$HG14/10+calc!EU$1),1)</f>
        <v>3.2</v>
      </c>
      <c r="EV14" s="4">
        <f>ROUND((csv!$HG14/10+calc!EV$1),1)</f>
        <v>3.3</v>
      </c>
      <c r="EW14" s="4">
        <f>ROUND((csv!$HG14/10+calc!EW$1),1)</f>
        <v>3.4</v>
      </c>
      <c r="EX14" s="4">
        <f>ROUND((csv!$HG14/10+calc!EX$1),1)</f>
        <v>3.5</v>
      </c>
      <c r="EY14" s="4">
        <f>ROUND((csv!$HG14/10+calc!EY$1),1)</f>
        <v>3.6</v>
      </c>
      <c r="EZ14" s="4">
        <f>ROUND((csv!$HG14/10+calc!EZ$1),1)</f>
        <v>3.7</v>
      </c>
      <c r="FA14" s="4">
        <f>ROUND((csv!$HG14/10+calc!FA$1),1)</f>
        <v>3.8</v>
      </c>
      <c r="FB14" s="4">
        <f>ROUND((csv!$HG14/10+calc!FB$1),1)</f>
        <v>3.9</v>
      </c>
      <c r="FC14" s="4">
        <f>ROUND((csv!$HG14/10+calc!FC$1),1)</f>
        <v>4</v>
      </c>
      <c r="FD14" s="4">
        <f>ROUND((csv!$HG14/10+calc!FD$1),1)</f>
        <v>4.0999999999999996</v>
      </c>
      <c r="FE14" s="4">
        <f>ROUND((csv!$HG14/10+calc!FE$1),1)</f>
        <v>4.2</v>
      </c>
      <c r="FF14" s="4">
        <f>ROUND((csv!$HG14/10+calc!FF$1),1)</f>
        <v>4.3</v>
      </c>
      <c r="FG14" s="4">
        <f>ROUND((csv!$HG14/10+calc!FG$1),1)</f>
        <v>4.4000000000000004</v>
      </c>
      <c r="FH14" s="4">
        <f>ROUND((csv!$HG14/10+calc!FH$1),1)</f>
        <v>4.5</v>
      </c>
      <c r="FI14" s="4">
        <f>ROUND((csv!$HG14/10+calc!FI$1),1)</f>
        <v>4.5999999999999996</v>
      </c>
      <c r="FJ14" s="4">
        <f>ROUND((csv!$HG14/10+calc!FJ$1),1)</f>
        <v>4.7</v>
      </c>
      <c r="FK14" s="4">
        <f>ROUND((csv!$HG14/10+calc!FK$1),1)</f>
        <v>4.8</v>
      </c>
      <c r="FL14" s="4">
        <f>ROUND((csv!$HG14/10+calc!FL$1),1)</f>
        <v>4.9000000000000004</v>
      </c>
      <c r="FM14" s="4">
        <f>ROUND((csv!$HG14/10+calc!FM$1),1)</f>
        <v>5</v>
      </c>
      <c r="FN14" s="4">
        <f>ROUND((csv!$HG14/10+calc!FN$1),1)</f>
        <v>5.0999999999999996</v>
      </c>
      <c r="FO14" s="4">
        <f>ROUND((csv!$HG14/10+calc!FO$1),1)</f>
        <v>5.2</v>
      </c>
      <c r="FP14" s="4">
        <f>ROUND((csv!$HG14/10+calc!FP$1),1)</f>
        <v>5.3</v>
      </c>
      <c r="FQ14" s="4">
        <f>ROUND((csv!$HG14/10+calc!FQ$1),1)</f>
        <v>5.4</v>
      </c>
      <c r="FR14" s="4">
        <f>ROUND((csv!$HG14/10+calc!FR$1),1)</f>
        <v>5.5</v>
      </c>
      <c r="FS14" s="4">
        <f>ROUND((csv!$HG14/10+calc!FS$1),1)</f>
        <v>5.6</v>
      </c>
      <c r="FT14" s="4">
        <f>ROUND((csv!$HG14/10+calc!FT$1),1)</f>
        <v>5.7</v>
      </c>
      <c r="FU14" s="4">
        <f>ROUND((csv!$HG14/10+calc!FU$1),1)</f>
        <v>5.8</v>
      </c>
      <c r="FV14" s="4">
        <f>ROUND((csv!$HG14/10+calc!FV$1),1)</f>
        <v>5.9</v>
      </c>
      <c r="FW14" s="4">
        <f>ROUND((csv!$HG14/10+calc!FW$1),1)</f>
        <v>6</v>
      </c>
      <c r="FX14" s="4">
        <f>ROUND((csv!$HG14/10+calc!FX$1),1)</f>
        <v>6.1</v>
      </c>
      <c r="FY14" s="4">
        <f>ROUND((csv!$HG14/10+calc!FY$1),1)</f>
        <v>6.2</v>
      </c>
      <c r="FZ14" s="4">
        <f>ROUND((csv!$HG14/10+calc!FZ$1),1)</f>
        <v>6.3</v>
      </c>
      <c r="GA14" s="4">
        <f>ROUND((csv!$HG14/10+calc!GA$1),1)</f>
        <v>6.4</v>
      </c>
      <c r="GB14" s="4">
        <f>ROUND((csv!$HG14/10+calc!GB$1),1)</f>
        <v>6.5</v>
      </c>
      <c r="GC14" s="4">
        <f>ROUND((csv!$HG14/10+calc!GC$1),1)</f>
        <v>6.6</v>
      </c>
      <c r="GD14" s="4">
        <f>ROUND((csv!$HG14/10+calc!GD$1),1)</f>
        <v>6.7</v>
      </c>
      <c r="GE14" s="4">
        <f>ROUND((csv!$HG14/10+calc!GE$1),1)</f>
        <v>6.8</v>
      </c>
      <c r="GF14" s="4">
        <f>ROUND((csv!$HG14/10+calc!GF$1),1)</f>
        <v>6.9</v>
      </c>
      <c r="GG14" s="4">
        <f>ROUND((csv!$HG14/10+calc!GG$1),1)</f>
        <v>7</v>
      </c>
      <c r="GH14" s="4">
        <f>ROUND((csv!$HG14/10+calc!GH$1),1)</f>
        <v>7.1</v>
      </c>
      <c r="GI14" s="4">
        <f>ROUND((csv!$HG14/10+calc!GI$1),1)</f>
        <v>7.2</v>
      </c>
      <c r="GJ14" s="4">
        <f>ROUND((csv!$HG14/10+calc!GJ$1),1)</f>
        <v>7.3</v>
      </c>
      <c r="GK14" s="4">
        <f>ROUND((csv!$HG14/10+calc!GK$1),1)</f>
        <v>7.4</v>
      </c>
      <c r="GL14" s="4">
        <f>ROUND((csv!$HG14/10+calc!GL$1),1)</f>
        <v>7.5</v>
      </c>
      <c r="GM14" s="4">
        <f>ROUND((csv!$HG14/10+calc!GM$1),1)</f>
        <v>7.6</v>
      </c>
      <c r="GN14" s="4">
        <f>ROUND((csv!$HG14/10+calc!GN$1),1)</f>
        <v>7.7</v>
      </c>
      <c r="GO14" s="4">
        <f>ROUND((csv!$HG14/10+calc!GO$1),1)</f>
        <v>7.8</v>
      </c>
      <c r="GP14" s="4">
        <f>ROUND((csv!$HG14/10+calc!GP$1),1)</f>
        <v>7.9</v>
      </c>
      <c r="GQ14" s="4">
        <f>ROUND((csv!$HG14/10+calc!GQ$1),1)</f>
        <v>8</v>
      </c>
      <c r="GR14" s="4">
        <f>ROUND((csv!$HG14/10+calc!GR$1),1)</f>
        <v>8.1</v>
      </c>
      <c r="GS14" s="4">
        <f>ROUND((csv!$HG14/10+calc!GS$1),1)</f>
        <v>8.1999999999999993</v>
      </c>
      <c r="GT14" s="4">
        <f>ROUND((csv!$HG14/10+calc!GT$1),1)</f>
        <v>8.3000000000000007</v>
      </c>
      <c r="GU14" s="4">
        <f>ROUND((csv!$HG14/10+calc!GU$1),1)</f>
        <v>8.4</v>
      </c>
      <c r="GV14" s="4">
        <f>ROUND((csv!$HG14/10+calc!GV$1),1)</f>
        <v>8.5</v>
      </c>
      <c r="GW14" s="4">
        <f>ROUND((csv!$HG14/10+calc!GW$1),1)</f>
        <v>8.6</v>
      </c>
      <c r="GX14" s="4">
        <f>ROUND((csv!$HG14/10+calc!GX$1),1)</f>
        <v>8.6999999999999993</v>
      </c>
      <c r="GY14" s="4">
        <f>ROUND((csv!$HG14/10+calc!GY$1),1)</f>
        <v>8.8000000000000007</v>
      </c>
      <c r="GZ14" s="4">
        <f>ROUND((csv!$HG14/10+calc!GZ$1),1)</f>
        <v>8.9</v>
      </c>
      <c r="HA14" s="4">
        <f>ROUND((csv!$HG14/10+calc!HA$1),1)</f>
        <v>9</v>
      </c>
      <c r="HB14" s="4">
        <f>ROUND((csv!$HG14/10+calc!HB$1),1)</f>
        <v>9.1</v>
      </c>
      <c r="HC14" s="4">
        <f>ROUND((csv!$HG14/10+calc!HC$1),1)</f>
        <v>9.1999999999999993</v>
      </c>
      <c r="HD14" s="4">
        <f>ROUND((csv!$HG14/10+calc!HD$1),1)</f>
        <v>9.3000000000000007</v>
      </c>
      <c r="HE14" s="4">
        <f>ROUND((csv!$HG14/10+calc!HE$1),1)</f>
        <v>9.4</v>
      </c>
      <c r="HF14" s="4">
        <f>ROUND((csv!$HG14/10+calc!HF$1),1)</f>
        <v>9.5</v>
      </c>
      <c r="HG14" s="4">
        <f>ROUND((csv!$HG14/10+calc!HG$1),1)</f>
        <v>9.6</v>
      </c>
      <c r="HH14" s="4">
        <f>ROUND((csv!$HG14/10+calc!HH$1),1)</f>
        <v>9.6999999999999993</v>
      </c>
      <c r="HI14" s="4">
        <f>ROUND((csv!$HG14/10+calc!HI$1),1)</f>
        <v>9.8000000000000007</v>
      </c>
      <c r="HJ14" s="4">
        <f>ROUND((csv!$HG14/10+calc!HJ$1),1)</f>
        <v>9.9</v>
      </c>
      <c r="HK14" s="4">
        <f>ROUND((csv!$HG14/10+calc!HK$1),1)</f>
        <v>10</v>
      </c>
      <c r="HM14" s="2">
        <f>csv!A14*10000+csv!B14*100+csv!C14</f>
        <v>0</v>
      </c>
      <c r="HN14" s="5">
        <f>IF(ISERROR(LOOKUP(HN$1,$S14:$HK14,csv!$L14:$HD14)),NA(),LOOKUP(HN$1,$S14:$HK14,csv!$L14:$HD14))</f>
        <v>0</v>
      </c>
      <c r="HO14" s="5">
        <f>IF(ISERROR(LOOKUP(HO$1,$S14:$HK14,csv!$L14:$HD14)),NA(),LOOKUP(HO$1,$S14:$HK14,csv!$L14:$HD14))</f>
        <v>0</v>
      </c>
      <c r="HP14" s="5">
        <f>IF(ISERROR(LOOKUP(HP$1,$S14:$HK14,csv!$L14:$HD14)),NA(),LOOKUP(HP$1,$S14:$HK14,csv!$L14:$HD14))</f>
        <v>0</v>
      </c>
      <c r="HQ14" s="5">
        <f>IF(ISERROR(LOOKUP(HQ$1,$S14:$HK14,csv!$L14:$HD14)),NA(),LOOKUP(HQ$1,$S14:$HK14,csv!$L14:$HD14))</f>
        <v>0</v>
      </c>
      <c r="HR14" s="5">
        <f>IF(ISERROR(LOOKUP(HR$1,$S14:$HK14,csv!$L14:$HD14)),NA(),LOOKUP(HR$1,$S14:$HK14,csv!$L14:$HD14))</f>
        <v>0</v>
      </c>
      <c r="HS14" s="5">
        <f>IF(ISERROR(LOOKUP(HS$1,$S14:$HK14,csv!$L14:$HD14)),NA(),LOOKUP(HS$1,$S14:$HK14,csv!$L14:$HD14))</f>
        <v>0</v>
      </c>
      <c r="HT14" s="5">
        <f>IF(ISERROR(LOOKUP(HT$1,$S14:$HK14,csv!$L14:$HD14)),NA(),LOOKUP(HT$1,$S14:$HK14,csv!$L14:$HD14))</f>
        <v>0</v>
      </c>
      <c r="HU14" s="5">
        <f>IF(ISERROR(LOOKUP(HU$1,$S14:$HK14,csv!$L14:$HD14)),NA(),LOOKUP(HU$1,$S14:$HK14,csv!$L14:$HD14))</f>
        <v>0</v>
      </c>
      <c r="HV14" s="5">
        <f>IF(ISERROR(LOOKUP(HV$1,$S14:$HK14,csv!$L14:$HD14)),NA(),LOOKUP(HV$1,$S14:$HK14,csv!$L14:$HD14))</f>
        <v>0</v>
      </c>
      <c r="HW14" s="5">
        <f>IF(ISERROR(LOOKUP(HW$1,$S14:$HK14,csv!$L14:$HD14)),NA(),LOOKUP(HW$1,$S14:$HK14,csv!$L14:$HD14))</f>
        <v>0</v>
      </c>
      <c r="HX14" s="5">
        <f>IF(ISERROR(LOOKUP(HX$1,$S14:$HK14,csv!$L14:$HD14)),NA(),LOOKUP(HX$1,$S14:$HK14,csv!$L14:$HD14))</f>
        <v>0</v>
      </c>
      <c r="HY14" s="5">
        <f>IF(ISERROR(LOOKUP(HY$1,$S14:$HK14,csv!$L14:$HD14)),NA(),LOOKUP(HY$1,$S14:$HK14,csv!$L14:$HD14))</f>
        <v>0</v>
      </c>
      <c r="HZ14" s="5">
        <f>IF(ISERROR(LOOKUP(HZ$1,$S14:$HK14,csv!$L14:$HD14)),NA(),LOOKUP(HZ$1,$S14:$HK14,csv!$L14:$HD14))</f>
        <v>0</v>
      </c>
      <c r="IA14" s="5">
        <f>IF(ISERROR(LOOKUP(IA$1,$S14:$HK14,csv!$L14:$HD14)),NA(),LOOKUP(IA$1,$S14:$HK14,csv!$L14:$HD14))</f>
        <v>0</v>
      </c>
      <c r="IB14" s="5">
        <f>IF(ISERROR(LOOKUP(IB$1,$S14:$HK14,csv!$L14:$HD14)),NA(),LOOKUP(IB$1,$S14:$HK14,csv!$L14:$HD14))</f>
        <v>0</v>
      </c>
      <c r="IC14" s="5">
        <f>IF(ISERROR(LOOKUP(IC$1,$S14:$HK14,csv!$L14:$HD14)),NA(),LOOKUP(IC$1,$S14:$HK14,csv!$L14:$HD14))</f>
        <v>0</v>
      </c>
      <c r="ID14" s="5">
        <f>IF(ISERROR(LOOKUP(ID$1,$S14:$HK14,csv!$L14:$HD14)),NA(),LOOKUP(ID$1,$S14:$HK14,csv!$L14:$HD14))</f>
        <v>0</v>
      </c>
      <c r="IE14" s="5">
        <f>IF(ISERROR(LOOKUP(IE$1,$S14:$HK14,csv!$L14:$HD14)),NA(),LOOKUP(IE$1,$S14:$HK14,csv!$L14:$HD14))</f>
        <v>0</v>
      </c>
      <c r="IF14" s="5">
        <f>IF(ISERROR(LOOKUP(IF$1,$S14:$HK14,csv!$L14:$HD14)),NA(),LOOKUP(IF$1,$S14:$HK14,csv!$L14:$HD14))</f>
        <v>0</v>
      </c>
      <c r="IG14" s="5">
        <f>IF(ISERROR(LOOKUP(IG$1,$S14:$HK14,csv!$L14:$HD14)),NA(),LOOKUP(IG$1,$S14:$HK14,csv!$L14:$HD14))</f>
        <v>0</v>
      </c>
      <c r="IH14" s="5">
        <f>IF(ISERROR(LOOKUP(IH$1,$S14:$HK14,csv!$L14:$HD14)),NA(),LOOKUP(IH$1,$S14:$HK14,csv!$L14:$HD14))</f>
        <v>0</v>
      </c>
      <c r="II14" s="5">
        <f>IF(ISERROR(LOOKUP(II$1,$S14:$HK14,csv!$L14:$HD14)),NA(),LOOKUP(II$1,$S14:$HK14,csv!$L14:$HD14))</f>
        <v>0</v>
      </c>
      <c r="IJ14" s="5">
        <f>IF(ISERROR(LOOKUP(IJ$1,$S14:$HK14,csv!$L14:$HD14)),NA(),LOOKUP(IJ$1,$S14:$HK14,csv!$L14:$HD14))</f>
        <v>0</v>
      </c>
      <c r="IK14" s="5">
        <f>IF(ISERROR(LOOKUP(IK$1,$S14:$HK14,csv!$L14:$HD14)),NA(),LOOKUP(IK$1,$S14:$HK14,csv!$L14:$HD14))</f>
        <v>0</v>
      </c>
      <c r="IL14" s="5">
        <f>IF(ISERROR(LOOKUP(IL$1,$S14:$HK14,csv!$L14:$HD14)),NA(),LOOKUP(IL$1,$S14:$HK14,csv!$L14:$HD14))</f>
        <v>0</v>
      </c>
      <c r="IM14" s="5">
        <f>IF(ISERROR(LOOKUP(IM$1,$S14:$HK14,csv!$L14:$HD14)),NA(),LOOKUP(IM$1,$S14:$HK14,csv!$L14:$HD14))</f>
        <v>0</v>
      </c>
      <c r="IN14" s="5">
        <f>IF(ISERROR(LOOKUP(IN$1,$S14:$HK14,csv!$L14:$HD14)),NA(),LOOKUP(IN$1,$S14:$HK14,csv!$L14:$HD14))</f>
        <v>0</v>
      </c>
      <c r="IO14" s="5">
        <f>IF(ISERROR(LOOKUP(IO$1,$S14:$HK14,csv!$L14:$HD14)),NA(),LOOKUP(IO$1,$S14:$HK14,csv!$L14:$HD14))</f>
        <v>0</v>
      </c>
      <c r="IP14" s="5">
        <f>IF(ISERROR(LOOKUP(IP$1,$S14:$HK14,csv!$L14:$HD14)),NA(),LOOKUP(IP$1,$S14:$HK14,csv!$L14:$HD14))</f>
        <v>0</v>
      </c>
      <c r="IQ14" s="5">
        <f>IF(ISERROR(LOOKUP(IQ$1,$S14:$HK14,csv!$L14:$HD14)),NA(),LOOKUP(IQ$1,$S14:$HK14,csv!$L14:$HD14))</f>
        <v>0</v>
      </c>
      <c r="IR14" s="5">
        <f>IF(ISERROR(LOOKUP(IR$1,$S14:$HK14,csv!$L14:$HD14)),NA(),LOOKUP(IR$1,$S14:$HK14,csv!$L14:$HD14))</f>
        <v>0</v>
      </c>
      <c r="IS14" s="5">
        <f>IF(ISERROR(LOOKUP(IS$1,$S14:$HK14,csv!$L14:$HD14)),NA(),LOOKUP(IS$1,$S14:$HK14,csv!$L14:$HD14))</f>
        <v>0</v>
      </c>
      <c r="IT14" s="5">
        <f>IF(ISERROR(LOOKUP(IT$1,$S14:$HK14,csv!$L14:$HD14)),NA(),LOOKUP(IT$1,$S14:$HK14,csv!$L14:$HD14))</f>
        <v>0</v>
      </c>
      <c r="IU14" s="5">
        <f>IF(ISERROR(LOOKUP(IU$1,$S14:$HK14,csv!$L14:$HD14)),NA(),LOOKUP(IU$1,$S14:$HK14,csv!$L14:$HD14))</f>
        <v>0</v>
      </c>
      <c r="IV14" s="5">
        <f>IF(ISERROR(LOOKUP(IV$1,$S14:$HK14,csv!$L14:$HD14)),NA(),LOOKUP(IV$1,$S14:$HK14,csv!$L14:$HD14))</f>
        <v>0</v>
      </c>
      <c r="IW14" s="5">
        <f>IF(ISERROR(LOOKUP(IW$1,$S14:$HK14,csv!$L14:$HD14)),NA(),LOOKUP(IW$1,$S14:$HK14,csv!$L14:$HD14))</f>
        <v>0</v>
      </c>
      <c r="IX14" s="5">
        <f>IF(ISERROR(LOOKUP(IX$1,$S14:$HK14,csv!$L14:$HD14)),NA(),LOOKUP(IX$1,$S14:$HK14,csv!$L14:$HD14))</f>
        <v>0</v>
      </c>
      <c r="IY14" s="5">
        <f>IF(ISERROR(LOOKUP(IY$1,$S14:$HK14,csv!$L14:$HD14)),NA(),LOOKUP(IY$1,$S14:$HK14,csv!$L14:$HD14))</f>
        <v>0</v>
      </c>
      <c r="IZ14" s="5">
        <f>IF(ISERROR(LOOKUP(IZ$1,$S14:$HK14,csv!$L14:$HD14)),NA(),LOOKUP(IZ$1,$S14:$HK14,csv!$L14:$HD14))</f>
        <v>0</v>
      </c>
      <c r="JA14" s="5">
        <f>IF(ISERROR(LOOKUP(JA$1,$S14:$HK14,csv!$L14:$HD14)),NA(),LOOKUP(JA$1,$S14:$HK14,csv!$L14:$HD14))</f>
        <v>0</v>
      </c>
      <c r="JB14" s="5">
        <f>IF(ISERROR(LOOKUP(JB$1,$S14:$HK14,csv!$L14:$HD14)),NA(),LOOKUP(JB$1,$S14:$HK14,csv!$L14:$HD14))</f>
        <v>0</v>
      </c>
      <c r="JC14" s="5">
        <f>IF(ISERROR(LOOKUP(JC$1,$S14:$HK14,csv!$L14:$HD14)),NA(),LOOKUP(JC$1,$S14:$HK14,csv!$L14:$HD14))</f>
        <v>0</v>
      </c>
      <c r="JD14" s="5">
        <f>IF(ISERROR(LOOKUP(JD$1,$S14:$HK14,csv!$L14:$HD14)),NA(),LOOKUP(JD$1,$S14:$HK14,csv!$L14:$HD14))</f>
        <v>0</v>
      </c>
      <c r="JE14" s="5">
        <f>IF(ISERROR(LOOKUP(JE$1,$S14:$HK14,csv!$L14:$HD14)),NA(),LOOKUP(JE$1,$S14:$HK14,csv!$L14:$HD14))</f>
        <v>0</v>
      </c>
      <c r="JF14" s="5">
        <f>IF(ISERROR(LOOKUP(JF$1,$S14:$HK14,csv!$L14:$HD14)),NA(),LOOKUP(JF$1,$S14:$HK14,csv!$L14:$HD14))</f>
        <v>0</v>
      </c>
      <c r="JG14" s="5">
        <f>IF(ISERROR(LOOKUP(JG$1,$S14:$HK14,csv!$L14:$HD14)),NA(),LOOKUP(JG$1,$S14:$HK14,csv!$L14:$HD14))</f>
        <v>0</v>
      </c>
      <c r="JH14" s="5">
        <f>IF(ISERROR(LOOKUP(JH$1,$S14:$HK14,csv!$L14:$HD14)),NA(),LOOKUP(JH$1,$S14:$HK14,csv!$L14:$HD14))</f>
        <v>0</v>
      </c>
      <c r="JI14" s="5">
        <f>IF(ISERROR(LOOKUP(JI$1,$S14:$HK14,csv!$L14:$HD14)),NA(),LOOKUP(JI$1,$S14:$HK14,csv!$L14:$HD14))</f>
        <v>0</v>
      </c>
      <c r="JJ14" s="5">
        <f>IF(ISERROR(LOOKUP(JJ$1,$S14:$HK14,csv!$L14:$HD14)),NA(),LOOKUP(JJ$1,$S14:$HK14,csv!$L14:$HD14))</f>
        <v>0</v>
      </c>
      <c r="JK14" s="5">
        <f>IF(ISERROR(LOOKUP(JK$1,$S14:$HK14,csv!$L14:$HD14)),NA(),LOOKUP(JK$1,$S14:$HK14,csv!$L14:$HD14))</f>
        <v>0</v>
      </c>
      <c r="JL14" s="5">
        <f>IF(ISERROR(LOOKUP(JL$1,$S14:$HK14,csv!$L14:$HD14)),NA(),LOOKUP(JL$1,$S14:$HK14,csv!$L14:$HD14))</f>
        <v>0</v>
      </c>
      <c r="JM14" s="5">
        <f>IF(ISERROR(LOOKUP(JM$1,$S14:$HK14,csv!$L14:$HD14)),NA(),LOOKUP(JM$1,$S14:$HK14,csv!$L14:$HD14))</f>
        <v>0</v>
      </c>
      <c r="JN14" s="5">
        <f>IF(ISERROR(LOOKUP(JN$1,$S14:$HK14,csv!$L14:$HD14)),NA(),LOOKUP(JN$1,$S14:$HK14,csv!$L14:$HD14))</f>
        <v>0</v>
      </c>
      <c r="JO14" s="5">
        <f>IF(ISERROR(LOOKUP(JO$1,$S14:$HK14,csv!$L14:$HD14)),NA(),LOOKUP(JO$1,$S14:$HK14,csv!$L14:$HD14))</f>
        <v>0</v>
      </c>
      <c r="JP14" s="5">
        <f>IF(ISERROR(LOOKUP(JP$1,$S14:$HK14,csv!$L14:$HD14)),NA(),LOOKUP(JP$1,$S14:$HK14,csv!$L14:$HD14))</f>
        <v>0</v>
      </c>
      <c r="JQ14" s="5">
        <f>IF(ISERROR(LOOKUP(JQ$1,$S14:$HK14,csv!$L14:$HD14)),NA(),LOOKUP(JQ$1,$S14:$HK14,csv!$L14:$HD14))</f>
        <v>0</v>
      </c>
      <c r="JR14" s="5">
        <f>IF(ISERROR(LOOKUP(JR$1,$S14:$HK14,csv!$L14:$HD14)),NA(),LOOKUP(JR$1,$S14:$HK14,csv!$L14:$HD14))</f>
        <v>0</v>
      </c>
      <c r="JS14" s="5">
        <f>IF(ISERROR(LOOKUP(JS$1,$S14:$HK14,csv!$L14:$HD14)),NA(),LOOKUP(JS$1,$S14:$HK14,csv!$L14:$HD14))</f>
        <v>0</v>
      </c>
      <c r="JT14" s="5">
        <f>IF(ISERROR(LOOKUP(JT$1,$S14:$HK14,csv!$L14:$HD14)),NA(),LOOKUP(JT$1,$S14:$HK14,csv!$L14:$HD14))</f>
        <v>0</v>
      </c>
      <c r="JU14" s="5">
        <f>IF(ISERROR(LOOKUP(JU$1,$S14:$HK14,csv!$L14:$HD14)),NA(),LOOKUP(JU$1,$S14:$HK14,csv!$L14:$HD14))</f>
        <v>0</v>
      </c>
      <c r="JV14" s="5">
        <f>IF(ISERROR(LOOKUP(JV$1,$S14:$HK14,csv!$L14:$HD14)),NA(),LOOKUP(JV$1,$S14:$HK14,csv!$L14:$HD14))</f>
        <v>0</v>
      </c>
      <c r="JW14" s="5">
        <f>IF(ISERROR(LOOKUP(JW$1,$S14:$HK14,csv!$L14:$HD14)),NA(),LOOKUP(JW$1,$S14:$HK14,csv!$L14:$HD14))</f>
        <v>0</v>
      </c>
      <c r="JX14" s="5">
        <f>IF(ISERROR(LOOKUP(JX$1,$S14:$HK14,csv!$L14:$HD14)),NA(),LOOKUP(JX$1,$S14:$HK14,csv!$L14:$HD14))</f>
        <v>0</v>
      </c>
      <c r="JY14" s="5">
        <f>IF(ISERROR(LOOKUP(JY$1,$S14:$HK14,csv!$L14:$HD14)),NA(),LOOKUP(JY$1,$S14:$HK14,csv!$L14:$HD14))</f>
        <v>0</v>
      </c>
      <c r="JZ14" s="5">
        <f>IF(ISERROR(LOOKUP(JZ$1,$S14:$HK14,csv!$L14:$HD14)),NA(),LOOKUP(JZ$1,$S14:$HK14,csv!$L14:$HD14))</f>
        <v>0</v>
      </c>
      <c r="KA14" s="5">
        <f>IF(ISERROR(LOOKUP(KA$1,$S14:$HK14,csv!$L14:$HD14)),NA(),LOOKUP(KA$1,$S14:$HK14,csv!$L14:$HD14))</f>
        <v>0</v>
      </c>
      <c r="KB14" s="5">
        <f>IF(ISERROR(LOOKUP(KB$1,$S14:$HK14,csv!$L14:$HD14)),NA(),LOOKUP(KB$1,$S14:$HK14,csv!$L14:$HD14))</f>
        <v>0</v>
      </c>
      <c r="KC14" s="5">
        <f>IF(ISERROR(LOOKUP(KC$1,$S14:$HK14,csv!$L14:$HD14)),NA(),LOOKUP(KC$1,$S14:$HK14,csv!$L14:$HD14))</f>
        <v>0</v>
      </c>
      <c r="KD14" s="5">
        <f>IF(ISERROR(LOOKUP(KD$1,$S14:$HK14,csv!$L14:$HD14)),NA(),LOOKUP(KD$1,$S14:$HK14,csv!$L14:$HD14))</f>
        <v>0</v>
      </c>
      <c r="KE14" s="5">
        <f>IF(ISERROR(LOOKUP(KE$1,$S14:$HK14,csv!$L14:$HD14)),NA(),LOOKUP(KE$1,$S14:$HK14,csv!$L14:$HD14))</f>
        <v>0</v>
      </c>
      <c r="KF14" s="5">
        <f>IF(ISERROR(LOOKUP(KF$1,$S14:$HK14,csv!$L14:$HD14)),NA(),LOOKUP(KF$1,$S14:$HK14,csv!$L14:$HD14))</f>
        <v>0</v>
      </c>
      <c r="KG14" s="5">
        <f>IF(ISERROR(LOOKUP(KG$1,$S14:$HK14,csv!$L14:$HD14)),NA(),LOOKUP(KG$1,$S14:$HK14,csv!$L14:$HD14))</f>
        <v>0</v>
      </c>
      <c r="KH14" s="5">
        <f>IF(ISERROR(LOOKUP(KH$1,$S14:$HK14,csv!$L14:$HD14)),NA(),LOOKUP(KH$1,$S14:$HK14,csv!$L14:$HD14))</f>
        <v>0</v>
      </c>
      <c r="KI14" s="5">
        <f>IF(ISERROR(LOOKUP(KI$1,$S14:$HK14,csv!$L14:$HD14)),NA(),LOOKUP(KI$1,$S14:$HK14,csv!$L14:$HD14))</f>
        <v>0</v>
      </c>
      <c r="KJ14" s="5">
        <f>IF(ISERROR(LOOKUP(KJ$1,$S14:$HK14,csv!$L14:$HD14)),NA(),LOOKUP(KJ$1,$S14:$HK14,csv!$L14:$HD14))</f>
        <v>0</v>
      </c>
      <c r="KK14" s="5">
        <f>IF(ISERROR(LOOKUP(KK$1,$S14:$HK14,csv!$L14:$HD14)),NA(),LOOKUP(KK$1,$S14:$HK14,csv!$L14:$HD14))</f>
        <v>0</v>
      </c>
      <c r="KL14" s="5">
        <f>IF(ISERROR(LOOKUP(KL$1,$S14:$HK14,csv!$L14:$HD14)),NA(),LOOKUP(KL$1,$S14:$HK14,csv!$L14:$HD14))</f>
        <v>0</v>
      </c>
      <c r="KM14" s="5">
        <f>IF(ISERROR(LOOKUP(KM$1,$S14:$HK14,csv!$L14:$HD14)),NA(),LOOKUP(KM$1,$S14:$HK14,csv!$L14:$HD14))</f>
        <v>0</v>
      </c>
      <c r="KN14" s="5">
        <f>IF(ISERROR(LOOKUP(KN$1,$S14:$HK14,csv!$L14:$HD14)),NA(),LOOKUP(KN$1,$S14:$HK14,csv!$L14:$HD14))</f>
        <v>0</v>
      </c>
      <c r="KO14" s="5">
        <f>IF(ISERROR(LOOKUP(KO$1,$S14:$HK14,csv!$L14:$HD14)),NA(),LOOKUP(KO$1,$S14:$HK14,csv!$L14:$HD14))</f>
        <v>0</v>
      </c>
      <c r="KP14" s="5">
        <f>IF(ISERROR(LOOKUP(KP$1,$S14:$HK14,csv!$L14:$HD14)),NA(),LOOKUP(KP$1,$S14:$HK14,csv!$L14:$HD14))</f>
        <v>0</v>
      </c>
      <c r="KQ14" s="5">
        <f>IF(ISERROR(LOOKUP(KQ$1,$S14:$HK14,csv!$L14:$HD14)),NA(),LOOKUP(KQ$1,$S14:$HK14,csv!$L14:$HD14))</f>
        <v>0</v>
      </c>
      <c r="KR14" s="5">
        <f>IF(ISERROR(LOOKUP(KR$1,$S14:$HK14,csv!$L14:$HD14)),NA(),LOOKUP(KR$1,$S14:$HK14,csv!$L14:$HD14))</f>
        <v>0</v>
      </c>
      <c r="KS14" s="5">
        <f>IF(ISERROR(LOOKUP(KS$1,$S14:$HK14,csv!$L14:$HD14)),NA(),LOOKUP(KS$1,$S14:$HK14,csv!$L14:$HD14))</f>
        <v>0</v>
      </c>
      <c r="KT14" s="5">
        <f>IF(ISERROR(LOOKUP(KT$1,$S14:$HK14,csv!$L14:$HD14)),NA(),LOOKUP(KT$1,$S14:$HK14,csv!$L14:$HD14))</f>
        <v>0</v>
      </c>
      <c r="KU14" s="5">
        <f>IF(ISERROR(LOOKUP(KU$1,$S14:$HK14,csv!$L14:$HD14)),NA(),LOOKUP(KU$1,$S14:$HK14,csv!$L14:$HD14))</f>
        <v>0</v>
      </c>
      <c r="KV14" s="5">
        <f>IF(ISERROR(LOOKUP(KV$1,$S14:$HK14,csv!$L14:$HD14)),NA(),LOOKUP(KV$1,$S14:$HK14,csv!$L14:$HD14))</f>
        <v>0</v>
      </c>
      <c r="KW14" s="5">
        <f>IF(ISERROR(LOOKUP(KW$1,$S14:$HK14,csv!$L14:$HD14)),NA(),LOOKUP(KW$1,$S14:$HK14,csv!$L14:$HD14))</f>
        <v>0</v>
      </c>
      <c r="KX14" s="5">
        <f>IF(ISERROR(LOOKUP(KX$1,$S14:$HK14,csv!$L14:$HD14)),NA(),LOOKUP(KX$1,$S14:$HK14,csv!$L14:$HD14))</f>
        <v>0</v>
      </c>
      <c r="KY14" s="5">
        <f>IF(ISERROR(LOOKUP(KY$1,$S14:$HK14,csv!$L14:$HD14)),NA(),LOOKUP(KY$1,$S14:$HK14,csv!$L14:$HD14))</f>
        <v>0</v>
      </c>
      <c r="KZ14" s="5">
        <f>IF(ISERROR(LOOKUP(KZ$1,$S14:$HK14,csv!$L14:$HD14)),NA(),LOOKUP(KZ$1,$S14:$HK14,csv!$L14:$HD14))</f>
        <v>0</v>
      </c>
      <c r="LA14" s="5">
        <f>IF(ISERROR(LOOKUP(LA$1,$S14:$HK14,csv!$L14:$HD14)),NA(),LOOKUP(LA$1,$S14:$HK14,csv!$L14:$HD14))</f>
        <v>0</v>
      </c>
      <c r="LB14" s="5">
        <f>IF(ISERROR(LOOKUP(LB$1,$S14:$HK14,csv!$L14:$HD14)),NA(),LOOKUP(LB$1,$S14:$HK14,csv!$L14:$HD14))</f>
        <v>0</v>
      </c>
      <c r="LC14" s="5">
        <f>IF(ISERROR(LOOKUP(LC$1,$S14:$HK14,csv!$L14:$HD14)),NA(),LOOKUP(LC$1,$S14:$HK14,csv!$L14:$HD14))</f>
        <v>0</v>
      </c>
      <c r="LD14" s="5">
        <f>IF(ISERROR(LOOKUP(LD$1,$S14:$HK14,csv!$L14:$HD14)),NA(),LOOKUP(LD$1,$S14:$HK14,csv!$L14:$HD14))</f>
        <v>0</v>
      </c>
      <c r="LE14" s="5">
        <f>IF(ISERROR(LOOKUP(LE$1,$S14:$HK14,csv!$L14:$HD14)),NA(),LOOKUP(LE$1,$S14:$HK14,csv!$L14:$HD14))</f>
        <v>0</v>
      </c>
      <c r="LF14" s="5">
        <f>IF(ISERROR(LOOKUP(LF$1,$S14:$HK14,csv!$L14:$HD14)),NA(),LOOKUP(LF$1,$S14:$HK14,csv!$L14:$HD14))</f>
        <v>0</v>
      </c>
      <c r="LG14" s="5">
        <f>IF(ISERROR(LOOKUP(LG$1,$S14:$HK14,csv!$L14:$HD14)),NA(),LOOKUP(LG$1,$S14:$HK14,csv!$L14:$HD14))</f>
        <v>0</v>
      </c>
      <c r="LH14" s="5">
        <f>IF(ISERROR(LOOKUP(LH$1,$S14:$HK14,csv!$L14:$HD14)),NA(),LOOKUP(LH$1,$S14:$HK14,csv!$L14:$HD14))</f>
        <v>0</v>
      </c>
      <c r="LI14" s="5">
        <f>IF(ISERROR(LOOKUP(LI$1,$S14:$HK14,csv!$L14:$HD14)),NA(),LOOKUP(LI$1,$S14:$HK14,csv!$L14:$HD14))</f>
        <v>0</v>
      </c>
      <c r="LJ14" s="5">
        <f>IF(ISERROR(LOOKUP(LJ$1,$S14:$HK14,csv!$L14:$HD14)),NA(),LOOKUP(LJ$1,$S14:$HK14,csv!$L14:$HD14))</f>
        <v>0</v>
      </c>
      <c r="LK14" s="5">
        <f>IF(ISERROR(LOOKUP(LK$1,$S14:$HK14,csv!$L14:$HD14)),NA(),LOOKUP(LK$1,$S14:$HK14,csv!$L14:$HD14))</f>
        <v>0</v>
      </c>
      <c r="LL14" s="5">
        <f>IF(ISERROR(LOOKUP(LL$1,$S14:$HK14,csv!$L14:$HD14)),NA(),LOOKUP(LL$1,$S14:$HK14,csv!$L14:$HD14))</f>
        <v>0</v>
      </c>
      <c r="LM14" s="5">
        <f>IF(ISERROR(LOOKUP(LM$1,$S14:$HK14,csv!$L14:$HD14)),NA(),LOOKUP(LM$1,$S14:$HK14,csv!$L14:$HD14))</f>
        <v>0</v>
      </c>
      <c r="LN14" s="5">
        <f>IF(ISERROR(LOOKUP(LN$1,$S14:$HK14,csv!$L14:$HD14)),NA(),LOOKUP(LN$1,$S14:$HK14,csv!$L14:$HD14))</f>
        <v>0</v>
      </c>
      <c r="LO14" s="5">
        <f>IF(ISERROR(LOOKUP(LO$1,$S14:$HK14,csv!$L14:$HD14)),NA(),LOOKUP(LO$1,$S14:$HK14,csv!$L14:$HD14))</f>
        <v>0</v>
      </c>
      <c r="LP14" s="5">
        <f>IF(ISERROR(LOOKUP(LP$1,$S14:$HK14,csv!$L14:$HD14)),NA(),LOOKUP(LP$1,$S14:$HK14,csv!$L14:$HD14))</f>
        <v>0</v>
      </c>
      <c r="LQ14" s="5">
        <f>IF(ISERROR(LOOKUP(LQ$1,$S14:$HK14,csv!$L14:$HD14)),NA(),LOOKUP(LQ$1,$S14:$HK14,csv!$L14:$HD14))</f>
        <v>0</v>
      </c>
      <c r="LR14" s="5">
        <f>IF(ISERROR(LOOKUP(LR$1,$S14:$HK14,csv!$L14:$HD14)),NA(),LOOKUP(LR$1,$S14:$HK14,csv!$L14:$HD14))</f>
        <v>0</v>
      </c>
      <c r="LS14" s="5">
        <f>IF(ISERROR(LOOKUP(LS$1,$S14:$HK14,csv!$L14:$HD14)),NA(),LOOKUP(LS$1,$S14:$HK14,csv!$L14:$HD14))</f>
        <v>0</v>
      </c>
      <c r="LT14" s="5">
        <f>IF(ISERROR(LOOKUP(LT$1,$S14:$HK14,csv!$L14:$HD14)),NA(),LOOKUP(LT$1,$S14:$HK14,csv!$L14:$HD14))</f>
        <v>0</v>
      </c>
      <c r="LU14" s="5">
        <f>IF(ISERROR(LOOKUP(LU$1,$S14:$HK14,csv!$L14:$HD14)),NA(),LOOKUP(LU$1,$S14:$HK14,csv!$L14:$HD14))</f>
        <v>0</v>
      </c>
      <c r="LV14" s="5">
        <f>IF(ISERROR(LOOKUP(LV$1,$S14:$HK14,csv!$L14:$HD14)),NA(),LOOKUP(LV$1,$S14:$HK14,csv!$L14:$HD14))</f>
        <v>0</v>
      </c>
      <c r="LW14" s="5">
        <f>IF(ISERROR(LOOKUP(LW$1,$S14:$HK14,csv!$L14:$HD14)),NA(),LOOKUP(LW$1,$S14:$HK14,csv!$L14:$HD14))</f>
        <v>0</v>
      </c>
      <c r="LX14" s="5">
        <f>IF(ISERROR(LOOKUP(LX$1,$S14:$HK14,csv!$L14:$HD14)),NA(),LOOKUP(LX$1,$S14:$HK14,csv!$L14:$HD14))</f>
        <v>0</v>
      </c>
      <c r="LY14" s="5">
        <f>IF(ISERROR(LOOKUP(LY$1,$S14:$HK14,csv!$L14:$HD14)),NA(),LOOKUP(LY$1,$S14:$HK14,csv!$L14:$HD14))</f>
        <v>0</v>
      </c>
      <c r="LZ14" s="5">
        <f>IF(ISERROR(LOOKUP(LZ$1,$S14:$HK14,csv!$L14:$HD14)),NA(),LOOKUP(LZ$1,$S14:$HK14,csv!$L14:$HD14))</f>
        <v>0</v>
      </c>
      <c r="MA14" s="5">
        <f>IF(ISERROR(LOOKUP(MA$1,$S14:$HK14,csv!$L14:$HD14)),NA(),LOOKUP(MA$1,$S14:$HK14,csv!$L14:$HD14))</f>
        <v>0</v>
      </c>
      <c r="MB14" s="5">
        <f>IF(ISERROR(LOOKUP(MB$1,$S14:$HK14,csv!$L14:$HD14)),NA(),LOOKUP(MB$1,$S14:$HK14,csv!$L14:$HD14))</f>
        <v>0</v>
      </c>
      <c r="MC14" s="5">
        <f>IF(ISERROR(LOOKUP(MC$1,$S14:$HK14,csv!$L14:$HD14)),NA(),LOOKUP(MC$1,$S14:$HK14,csv!$L14:$HD14))</f>
        <v>0</v>
      </c>
      <c r="MD14" s="5">
        <f>IF(ISERROR(LOOKUP(MD$1,$S14:$HK14,csv!$L14:$HD14)),NA(),LOOKUP(MD$1,$S14:$HK14,csv!$L14:$HD14))</f>
        <v>0</v>
      </c>
      <c r="ME14" s="5">
        <f>IF(ISERROR(LOOKUP(ME$1,$S14:$HK14,csv!$L14:$HD14)),NA(),LOOKUP(ME$1,$S14:$HK14,csv!$L14:$HD14))</f>
        <v>0</v>
      </c>
      <c r="MF14" s="5">
        <f>IF(ISERROR(LOOKUP(MF$1,$S14:$HK14,csv!$L14:$HD14)),NA(),LOOKUP(MF$1,$S14:$HK14,csv!$L14:$HD14))</f>
        <v>0</v>
      </c>
      <c r="MG14" s="5">
        <f>IF(ISERROR(LOOKUP(MG$1,$S14:$HK14,csv!$L14:$HD14)),NA(),LOOKUP(MG$1,$S14:$HK14,csv!$L14:$HD14))</f>
        <v>0</v>
      </c>
      <c r="MH14" s="5">
        <f>IF(ISERROR(LOOKUP(MH$1,$S14:$HK14,csv!$L14:$HD14)),NA(),LOOKUP(MH$1,$S14:$HK14,csv!$L14:$HD14))</f>
        <v>0</v>
      </c>
      <c r="MI14" s="5">
        <f>IF(ISERROR(LOOKUP(MI$1,$S14:$HK14,csv!$L14:$HD14)),NA(),LOOKUP(MI$1,$S14:$HK14,csv!$L14:$HD14))</f>
        <v>0</v>
      </c>
      <c r="MJ14" s="5">
        <f>IF(ISERROR(LOOKUP(MJ$1,$S14:$HK14,csv!$L14:$HD14)),NA(),LOOKUP(MJ$1,$S14:$HK14,csv!$L14:$HD14))</f>
        <v>0</v>
      </c>
      <c r="MK14" s="5">
        <f>IF(ISERROR(LOOKUP(MK$1,$S14:$HK14,csv!$L14:$HD14)),NA(),LOOKUP(MK$1,$S14:$HK14,csv!$L14:$HD14))</f>
        <v>0</v>
      </c>
      <c r="ML14" s="5">
        <f>IF(ISERROR(LOOKUP(ML$1,$S14:$HK14,csv!$L14:$HD14)),NA(),LOOKUP(ML$1,$S14:$HK14,csv!$L14:$HD14))</f>
        <v>0</v>
      </c>
      <c r="MM14" s="5">
        <f>IF(ISERROR(LOOKUP(MM$1,$S14:$HK14,csv!$L14:$HD14)),NA(),LOOKUP(MM$1,$S14:$HK14,csv!$L14:$HD14))</f>
        <v>0</v>
      </c>
      <c r="MN14" s="5">
        <f>IF(ISERROR(LOOKUP(MN$1,$S14:$HK14,csv!$L14:$HD14)),NA(),LOOKUP(MN$1,$S14:$HK14,csv!$L14:$HD14))</f>
        <v>0</v>
      </c>
      <c r="MO14" s="5">
        <f>IF(ISERROR(LOOKUP(MO$1,$S14:$HK14,csv!$L14:$HD14)),NA(),LOOKUP(MO$1,$S14:$HK14,csv!$L14:$HD14))</f>
        <v>0</v>
      </c>
      <c r="MP14" s="5">
        <f>IF(ISERROR(LOOKUP(MP$1,$S14:$HK14,csv!$L14:$HD14)),NA(),LOOKUP(MP$1,$S14:$HK14,csv!$L14:$HD14))</f>
        <v>0</v>
      </c>
      <c r="MQ14" s="5">
        <f>IF(ISERROR(LOOKUP(MQ$1,$S14:$HK14,csv!$L14:$HD14)),NA(),LOOKUP(MQ$1,$S14:$HK14,csv!$L14:$HD14))</f>
        <v>0</v>
      </c>
      <c r="MR14" s="5">
        <f>IF(ISERROR(LOOKUP(MR$1,$S14:$HK14,csv!$L14:$HD14)),NA(),LOOKUP(MR$1,$S14:$HK14,csv!$L14:$HD14))</f>
        <v>0</v>
      </c>
      <c r="MS14" s="5">
        <f>IF(ISERROR(LOOKUP(MS$1,$S14:$HK14,csv!$L14:$HD14)),NA(),LOOKUP(MS$1,$S14:$HK14,csv!$L14:$HD14))</f>
        <v>0</v>
      </c>
      <c r="MT14" s="5">
        <f>IF(ISERROR(LOOKUP(MT$1,$S14:$HK14,csv!$L14:$HD14)),NA(),LOOKUP(MT$1,$S14:$HK14,csv!$L14:$HD14))</f>
        <v>0</v>
      </c>
      <c r="MU14" s="5">
        <f>IF(ISERROR(LOOKUP(MU$1,$S14:$HK14,csv!$L14:$HD14)),NA(),LOOKUP(MU$1,$S14:$HK14,csv!$L14:$HD14))</f>
        <v>0</v>
      </c>
      <c r="MV14" s="5">
        <f>IF(ISERROR(LOOKUP(MV$1,$S14:$HK14,csv!$L14:$HD14)),NA(),LOOKUP(MV$1,$S14:$HK14,csv!$L14:$HD14))</f>
        <v>0</v>
      </c>
      <c r="MW14" s="5">
        <f>IF(ISERROR(LOOKUP(MW$1,$S14:$HK14,csv!$L14:$HD14)),NA(),LOOKUP(MW$1,$S14:$HK14,csv!$L14:$HD14))</f>
        <v>0</v>
      </c>
      <c r="MX14" s="5">
        <f>IF(ISERROR(LOOKUP(MX$1,$S14:$HK14,csv!$L14:$HD14)),NA(),LOOKUP(MX$1,$S14:$HK14,csv!$L14:$HD14))</f>
        <v>0</v>
      </c>
      <c r="MY14" s="5">
        <f>IF(ISERROR(LOOKUP(MY$1,$S14:$HK14,csv!$L14:$HD14)),NA(),LOOKUP(MY$1,$S14:$HK14,csv!$L14:$HD14))</f>
        <v>0</v>
      </c>
      <c r="MZ14" s="5">
        <f>IF(ISERROR(LOOKUP(MZ$1,$S14:$HK14,csv!$L14:$HD14)),NA(),LOOKUP(MZ$1,$S14:$HK14,csv!$L14:$HD14))</f>
        <v>0</v>
      </c>
      <c r="NA14" s="5">
        <f>IF(ISERROR(LOOKUP(NA$1,$S14:$HK14,csv!$L14:$HD14)),NA(),LOOKUP(NA$1,$S14:$HK14,csv!$L14:$HD14))</f>
        <v>0</v>
      </c>
      <c r="NB14" s="5">
        <f>IF(ISERROR(LOOKUP(NB$1,$S14:$HK14,csv!$L14:$HD14)),NA(),LOOKUP(NB$1,$S14:$HK14,csv!$L14:$HD14))</f>
        <v>0</v>
      </c>
      <c r="NC14" s="5">
        <f>IF(ISERROR(LOOKUP(NC$1,$S14:$HK14,csv!$L14:$HD14)),NA(),LOOKUP(NC$1,$S14:$HK14,csv!$L14:$HD14))</f>
        <v>0</v>
      </c>
      <c r="ND14" s="5">
        <f>IF(ISERROR(LOOKUP(ND$1,$S14:$HK14,csv!$L14:$HD14)),NA(),LOOKUP(ND$1,$S14:$HK14,csv!$L14:$HD14))</f>
        <v>0</v>
      </c>
      <c r="NE14" s="5">
        <f>IF(ISERROR(LOOKUP(NE$1,$S14:$HK14,csv!$L14:$HD14)),NA(),LOOKUP(NE$1,$S14:$HK14,csv!$L14:$HD14))</f>
        <v>0</v>
      </c>
      <c r="NF14" s="5">
        <f>IF(ISERROR(LOOKUP(NF$1,$S14:$HK14,csv!$L14:$HD14)),NA(),LOOKUP(NF$1,$S14:$HK14,csv!$L14:$HD14))</f>
        <v>0</v>
      </c>
      <c r="NG14" s="5">
        <f>IF(ISERROR(LOOKUP(NG$1,$S14:$HK14,csv!$L14:$HD14)),NA(),LOOKUP(NG$1,$S14:$HK14,csv!$L14:$HD14))</f>
        <v>0</v>
      </c>
      <c r="NH14" s="5">
        <f>IF(ISERROR(LOOKUP(NH$1,$S14:$HK14,csv!$L14:$HD14)),NA(),LOOKUP(NH$1,$S14:$HK14,csv!$L14:$HD14))</f>
        <v>0</v>
      </c>
      <c r="NI14" s="5">
        <f>IF(ISERROR(LOOKUP(NI$1,$S14:$HK14,csv!$L14:$HD14)),NA(),LOOKUP(NI$1,$S14:$HK14,csv!$L14:$HD14))</f>
        <v>0</v>
      </c>
      <c r="NJ14" s="5">
        <f>IF(ISERROR(LOOKUP(NJ$1,$S14:$HK14,csv!$L14:$HD14)),NA(),LOOKUP(NJ$1,$S14:$HK14,csv!$L14:$HD14))</f>
        <v>0</v>
      </c>
      <c r="NK14" s="5">
        <f>IF(ISERROR(LOOKUP(NK$1,$S14:$HK14,csv!$L14:$HD14)),NA(),LOOKUP(NK$1,$S14:$HK14,csv!$L14:$HD14))</f>
        <v>0</v>
      </c>
      <c r="NL14" s="5">
        <f>IF(ISERROR(LOOKUP(NL$1,$S14:$HK14,csv!$L14:$HD14)),NA(),LOOKUP(NL$1,$S14:$HK14,csv!$L14:$HD14))</f>
        <v>0</v>
      </c>
      <c r="NM14" s="5">
        <f>IF(ISERROR(LOOKUP(NM$1,$S14:$HK14,csv!$L14:$HD14)),NA(),LOOKUP(NM$1,$S14:$HK14,csv!$L14:$HD14))</f>
        <v>0</v>
      </c>
      <c r="NN14" s="5">
        <f>IF(ISERROR(LOOKUP(NN$1,$S14:$HK14,csv!$L14:$HD14)),NA(),LOOKUP(NN$1,$S14:$HK14,csv!$L14:$HD14))</f>
        <v>0</v>
      </c>
      <c r="NO14" s="5">
        <f>IF(ISERROR(LOOKUP(NO$1,$S14:$HK14,csv!$L14:$HD14)),NA(),LOOKUP(NO$1,$S14:$HK14,csv!$L14:$HD14))</f>
        <v>0</v>
      </c>
      <c r="NP14" s="5">
        <f>IF(ISERROR(LOOKUP(NP$1,$S14:$HK14,csv!$L14:$HD14)),NA(),LOOKUP(NP$1,$S14:$HK14,csv!$L14:$HD14))</f>
        <v>0</v>
      </c>
      <c r="NQ14" s="5">
        <f>IF(ISERROR(LOOKUP(NQ$1,$S14:$HK14,csv!$L14:$HD14)),NA(),LOOKUP(NQ$1,$S14:$HK14,csv!$L14:$HD14))</f>
        <v>0</v>
      </c>
      <c r="NR14" s="5">
        <f>IF(ISERROR(LOOKUP(NR$1,$S14:$HK14,csv!$L14:$HD14)),NA(),LOOKUP(NR$1,$S14:$HK14,csv!$L14:$HD14))</f>
        <v>0</v>
      </c>
      <c r="NS14" s="5">
        <f>IF(ISERROR(LOOKUP(NS$1,$S14:$HK14,csv!$L14:$HD14)),NA(),LOOKUP(NS$1,$S14:$HK14,csv!$L14:$HD14))</f>
        <v>0</v>
      </c>
      <c r="NT14" s="5">
        <f>IF(ISERROR(LOOKUP(NT$1,$S14:$HK14,csv!$L14:$HD14)),NA(),LOOKUP(NT$1,$S14:$HK14,csv!$L14:$HD14))</f>
        <v>0</v>
      </c>
      <c r="NU14" s="5">
        <f>IF(ISERROR(LOOKUP(NU$1,$S14:$HK14,csv!$L14:$HD14)),NA(),LOOKUP(NU$1,$S14:$HK14,csv!$L14:$HD14))</f>
        <v>0</v>
      </c>
      <c r="NV14" s="5">
        <f>IF(ISERROR(LOOKUP(NV$1,$S14:$HK14,csv!$L14:$HD14)),NA(),LOOKUP(NV$1,$S14:$HK14,csv!$L14:$HD14))</f>
        <v>0</v>
      </c>
      <c r="NW14" s="5">
        <f>IF(ISERROR(LOOKUP(NW$1,$S14:$HK14,csv!$L14:$HD14)),NA(),LOOKUP(NW$1,$S14:$HK14,csv!$L14:$HD14))</f>
        <v>0</v>
      </c>
      <c r="NX14" s="5">
        <f>IF(ISERROR(LOOKUP(NX$1,$S14:$HK14,csv!$L14:$HD14)),NA(),LOOKUP(NX$1,$S14:$HK14,csv!$L14:$HD14))</f>
        <v>0</v>
      </c>
      <c r="NY14" s="5">
        <f>IF(ISERROR(LOOKUP(NY$1,$S14:$HK14,csv!$L14:$HD14)),NA(),LOOKUP(NY$1,$S14:$HK14,csv!$L14:$HD14))</f>
        <v>0</v>
      </c>
      <c r="NZ14" s="5">
        <f>IF(ISERROR(LOOKUP(NZ$1,$S14:$HK14,csv!$L14:$HD14)),NA(),LOOKUP(NZ$1,$S14:$HK14,csv!$L14:$HD14))</f>
        <v>0</v>
      </c>
      <c r="OA14" s="5">
        <f>IF(ISERROR(LOOKUP(OA$1,$S14:$HK14,csv!$L14:$HD14)),NA(),LOOKUP(OA$1,$S14:$HK14,csv!$L14:$HD14))</f>
        <v>0</v>
      </c>
      <c r="OB14" s="5">
        <f>IF(ISERROR(LOOKUP(OB$1,$S14:$HK14,csv!$L14:$HD14)),NA(),LOOKUP(OB$1,$S14:$HK14,csv!$L14:$HD14))</f>
        <v>0</v>
      </c>
      <c r="OC14" s="5">
        <f>IF(ISERROR(LOOKUP(OC$1,$S14:$HK14,csv!$L14:$HD14)),NA(),LOOKUP(OC$1,$S14:$HK14,csv!$L14:$HD14))</f>
        <v>0</v>
      </c>
      <c r="OD14" s="5">
        <f>IF(ISERROR(LOOKUP(OD$1,$S14:$HK14,csv!$L14:$HD14)),NA(),LOOKUP(OD$1,$S14:$HK14,csv!$L14:$HD14))</f>
        <v>0</v>
      </c>
      <c r="OE14" s="5">
        <f>IF(ISERROR(LOOKUP(OE$1,$S14:$HK14,csv!$L14:$HD14)),NA(),LOOKUP(OE$1,$S14:$HK14,csv!$L14:$HD14))</f>
        <v>0</v>
      </c>
      <c r="OF14" s="5">
        <f>IF(ISERROR(LOOKUP(OF$1,$S14:$HK14,csv!$L14:$HD14)),NA(),LOOKUP(OF$1,$S14:$HK14,csv!$L14:$HD14))</f>
        <v>0</v>
      </c>
      <c r="OG14" s="5">
        <f>IF(ISERROR(LOOKUP(OG$1,$S14:$HK14,csv!$L14:$HD14)),NA(),LOOKUP(OG$1,$S14:$HK14,csv!$L14:$HD14))</f>
        <v>0</v>
      </c>
      <c r="OH14" s="5">
        <f>IF(ISERROR(LOOKUP(OH$1,$S14:$HK14,csv!$L14:$HD14)),NA(),LOOKUP(OH$1,$S14:$HK14,csv!$L14:$HD14))</f>
        <v>0</v>
      </c>
      <c r="OI14" s="5">
        <f>IF(ISERROR(LOOKUP(OI$1,$S14:$HK14,csv!$L14:$HD14)),NA(),LOOKUP(OI$1,$S14:$HK14,csv!$L14:$HD14))</f>
        <v>0</v>
      </c>
      <c r="OJ14" s="5">
        <f>IF(ISERROR(LOOKUP(OJ$1,$S14:$HK14,csv!$L14:$HD14)),NA(),LOOKUP(OJ$1,$S14:$HK14,csv!$L14:$HD14))</f>
        <v>0</v>
      </c>
      <c r="OK14" s="5">
        <f>IF(ISERROR(LOOKUP(OK$1,$S14:$HK14,csv!$L14:$HD14)),NA(),LOOKUP(OK$1,$S14:$HK14,csv!$L14:$HD14))</f>
        <v>0</v>
      </c>
      <c r="OL14" s="5">
        <f>IF(ISERROR(LOOKUP(OL$1,$S14:$HK14,csv!$L14:$HD14)),NA(),LOOKUP(OL$1,$S14:$HK14,csv!$L14:$HD14))</f>
        <v>0</v>
      </c>
      <c r="OM14" s="5">
        <f>IF(ISERROR(LOOKUP(OM$1,$S14:$HK14,csv!$L14:$HD14)),NA(),LOOKUP(OM$1,$S14:$HK14,csv!$L14:$HD14))</f>
        <v>0</v>
      </c>
      <c r="ON14" s="5">
        <f>IF(ISERROR(LOOKUP(ON$1,$S14:$HK14,csv!$L14:$HD14)),NA(),LOOKUP(ON$1,$S14:$HK14,csv!$L14:$HD14))</f>
        <v>0</v>
      </c>
      <c r="OO14" s="5">
        <f>IF(ISERROR(LOOKUP(OO$1,$S14:$HK14,csv!$L14:$HD14)),NA(),LOOKUP(OO$1,$S14:$HK14,csv!$L14:$HD14))</f>
        <v>0</v>
      </c>
      <c r="OP14" s="5">
        <f>IF(ISERROR(LOOKUP(OP$1,$S14:$HK14,csv!$L14:$HD14)),NA(),LOOKUP(OP$1,$S14:$HK14,csv!$L14:$HD14))</f>
        <v>0</v>
      </c>
      <c r="OQ14" s="5">
        <f>IF(ISERROR(LOOKUP(OQ$1,$S14:$HK14,csv!$L14:$HD14)),NA(),LOOKUP(OQ$1,$S14:$HK14,csv!$L14:$HD14))</f>
        <v>0</v>
      </c>
      <c r="OR14" s="5">
        <f>IF(ISERROR(LOOKUP(OR$1,$S14:$HK14,csv!$L14:$HD14)),NA(),LOOKUP(OR$1,$S14:$HK14,csv!$L14:$HD14))</f>
        <v>0</v>
      </c>
      <c r="OS14" s="5">
        <f>IF(ISERROR(LOOKUP(OS$1,$S14:$HK14,csv!$L14:$HD14)),NA(),LOOKUP(OS$1,$S14:$HK14,csv!$L14:$HD14))</f>
        <v>0</v>
      </c>
      <c r="OT14" s="5">
        <f>IF(ISERROR(LOOKUP(OT$1,$S14:$HK14,csv!$L14:$HD14)),NA(),LOOKUP(OT$1,$S14:$HK14,csv!$L14:$HD14))</f>
        <v>0</v>
      </c>
      <c r="OU14" s="5">
        <f>IF(ISERROR(LOOKUP(OU$1,$S14:$HK14,csv!$L14:$HD14)),NA(),LOOKUP(OU$1,$S14:$HK14,csv!$L14:$HD14))</f>
        <v>0</v>
      </c>
      <c r="OV14" s="5">
        <f>IF(ISERROR(LOOKUP(OV$1,$S14:$HK14,csv!$L14:$HD14)),NA(),LOOKUP(OV$1,$S14:$HK14,csv!$L14:$HD14))</f>
        <v>0</v>
      </c>
      <c r="OW14" s="5">
        <f>IF(ISERROR(LOOKUP(OW$1,$S14:$HK14,csv!$L14:$HD14)),NA(),LOOKUP(OW$1,$S14:$HK14,csv!$L14:$HD14))</f>
        <v>0</v>
      </c>
      <c r="OX14" s="5">
        <f>IF(ISERROR(LOOKUP(OX$1,$S14:$HK14,csv!$L14:$HD14)),NA(),LOOKUP(OX$1,$S14:$HK14,csv!$L14:$HD14))</f>
        <v>0</v>
      </c>
      <c r="OY14" s="5">
        <f>IF(ISERROR(LOOKUP(OY$1,$S14:$HK14,csv!$L14:$HD14)),NA(),LOOKUP(OY$1,$S14:$HK14,csv!$L14:$HD14))</f>
        <v>0</v>
      </c>
      <c r="OZ14" s="5">
        <f>IF(ISERROR(LOOKUP(OZ$1,$S14:$HK14,csv!$L14:$HD14)),NA(),LOOKUP(OZ$1,$S14:$HK14,csv!$L14:$HD14))</f>
        <v>0</v>
      </c>
      <c r="PA14" s="5">
        <f>IF(ISERROR(LOOKUP(PA$1,$S14:$HK14,csv!$L14:$HD14)),NA(),LOOKUP(PA$1,$S14:$HK14,csv!$L14:$HD14))</f>
        <v>0</v>
      </c>
      <c r="PB14" s="5">
        <f>IF(ISERROR(LOOKUP(PB$1,$S14:$HK14,csv!$L14:$HD14)),NA(),LOOKUP(PB$1,$S14:$HK14,csv!$L14:$HD14))</f>
        <v>0</v>
      </c>
      <c r="PC14" s="5">
        <f>IF(ISERROR(LOOKUP(PC$1,$S14:$HK14,csv!$L14:$HD14)),NA(),LOOKUP(PC$1,$S14:$HK14,csv!$L14:$HD14))</f>
        <v>0</v>
      </c>
      <c r="PD14" s="5">
        <f>IF(ISERROR(LOOKUP(PD$1,$S14:$HK14,csv!$L14:$HD14)),NA(),LOOKUP(PD$1,$S14:$HK14,csv!$L14:$HD14))</f>
        <v>0</v>
      </c>
      <c r="PE14" s="5">
        <f>IF(ISERROR(LOOKUP(PE$1,$S14:$HK14,csv!$L14:$HD14)),NA(),LOOKUP(PE$1,$S14:$HK14,csv!$L14:$HD14))</f>
        <v>0</v>
      </c>
      <c r="PF14" s="5">
        <f>IF(ISERROR(LOOKUP(PF$1,$S14:$HK14,csv!$L14:$HD14)),NA(),LOOKUP(PF$1,$S14:$HK14,csv!$L14:$HD14))</f>
        <v>0</v>
      </c>
      <c r="PG14" s="5">
        <f>IF(ISERROR(LOOKUP(PG$1,$S14:$HK14,csv!$L14:$HD14)),NA(),LOOKUP(PG$1,$S14:$HK14,csv!$L14:$HD14))</f>
        <v>0</v>
      </c>
      <c r="PH14" s="5">
        <f>IF(ISERROR(LOOKUP(PH$1,$S14:$HK14,csv!$L14:$HD14)),NA(),LOOKUP(PH$1,$S14:$HK14,csv!$L14:$HD14))</f>
        <v>0</v>
      </c>
      <c r="PI14" s="5">
        <f>IF(ISERROR(LOOKUP(PI$1,$S14:$HK14,csv!$L14:$HD14)),NA(),LOOKUP(PI$1,$S14:$HK14,csv!$L14:$HD14))</f>
        <v>0</v>
      </c>
      <c r="PJ14" s="5">
        <f>IF(ISERROR(LOOKUP(PJ$1,$S14:$HK14,csv!$L14:$HD14)),NA(),LOOKUP(PJ$1,$S14:$HK14,csv!$L14:$HD14))</f>
        <v>0</v>
      </c>
      <c r="PK14" s="5">
        <f>IF(ISERROR(LOOKUP(PK$1,$S14:$HK14,csv!$L14:$HD14)),NA(),LOOKUP(PK$1,$S14:$HK14,csv!$L14:$HD14))</f>
        <v>0</v>
      </c>
      <c r="PL14" s="5">
        <f>IF(ISERROR(LOOKUP(PL$1,$S14:$HK14,csv!$L14:$HD14)),NA(),LOOKUP(PL$1,$S14:$HK14,csv!$L14:$HD14))</f>
        <v>0</v>
      </c>
      <c r="PM14" s="5">
        <f>IF(ISERROR(LOOKUP(PM$1,$S14:$HK14,csv!$L14:$HD14)),NA(),LOOKUP(PM$1,$S14:$HK14,csv!$L14:$HD14))</f>
        <v>0</v>
      </c>
      <c r="PN14" s="5">
        <f>IF(ISERROR(LOOKUP(PN$1,$S14:$HK14,csv!$L14:$HD14)),NA(),LOOKUP(PN$1,$S14:$HK14,csv!$L14:$HD14))</f>
        <v>0</v>
      </c>
      <c r="PO14" s="5">
        <f>IF(ISERROR(LOOKUP(PO$1,$S14:$HK14,csv!$L14:$HD14)),NA(),LOOKUP(PO$1,$S14:$HK14,csv!$L14:$HD14))</f>
        <v>0</v>
      </c>
      <c r="PP14" s="5">
        <f>IF(ISERROR(LOOKUP(PP$1,$S14:$HK14,csv!$L14:$HD14)),NA(),LOOKUP(PP$1,$S14:$HK14,csv!$L14:$HD14))</f>
        <v>0</v>
      </c>
      <c r="PQ14" s="5">
        <f>IF(ISERROR(LOOKUP(PQ$1,$S14:$HK14,csv!$L14:$HD14)),NA(),LOOKUP(PQ$1,$S14:$HK14,csv!$L14:$HD14))</f>
        <v>0</v>
      </c>
      <c r="PR14" s="5">
        <f>IF(ISERROR(LOOKUP(PR$1,$S14:$HK14,csv!$L14:$HD14)),NA(),LOOKUP(PR$1,$S14:$HK14,csv!$L14:$HD14))</f>
        <v>0</v>
      </c>
      <c r="PS14" s="5">
        <f>IF(ISERROR(LOOKUP(PS$1,$S14:$HK14,csv!$L14:$HD14)),NA(),LOOKUP(PS$1,$S14:$HK14,csv!$L14:$HD14))</f>
        <v>0</v>
      </c>
      <c r="PT14" s="5">
        <f>IF(ISERROR(LOOKUP(PT$1,$S14:$HK14,csv!$L14:$HD14)),NA(),LOOKUP(PT$1,$S14:$HK14,csv!$L14:$HD14))</f>
        <v>0</v>
      </c>
      <c r="PU14" s="5">
        <f>IF(ISERROR(LOOKUP(PU$1,$S14:$HK14,csv!$L14:$HD14)),NA(),LOOKUP(PU$1,$S14:$HK14,csv!$L14:$HD14))</f>
        <v>0</v>
      </c>
      <c r="PV14" s="5">
        <f>IF(ISERROR(LOOKUP(PV$1,$S14:$HK14,csv!$L14:$HD14)),NA(),LOOKUP(PV$1,$S14:$HK14,csv!$L14:$HD14))</f>
        <v>0</v>
      </c>
      <c r="PW14" s="5">
        <f>IF(ISERROR(LOOKUP(PW$1,$S14:$HK14,csv!$L14:$HD14)),NA(),LOOKUP(PW$1,$S14:$HK14,csv!$L14:$HD14))</f>
        <v>0</v>
      </c>
      <c r="PX14" s="5">
        <f>IF(ISERROR(LOOKUP(PX$1,$S14:$HK14,csv!$L14:$HD14)),NA(),LOOKUP(PX$1,$S14:$HK14,csv!$L14:$HD14))</f>
        <v>0</v>
      </c>
      <c r="PY14" s="5">
        <f>IF(ISERROR(LOOKUP(PY$1,$S14:$HK14,csv!$L14:$HD14)),NA(),LOOKUP(PY$1,$S14:$HK14,csv!$L14:$HD14))</f>
        <v>0</v>
      </c>
      <c r="PZ14" s="5">
        <f>IF(ISERROR(LOOKUP(PZ$1,$S14:$HK14,csv!$L14:$HD14)),NA(),LOOKUP(PZ$1,$S14:$HK14,csv!$L14:$HD14))</f>
        <v>0</v>
      </c>
      <c r="QA14" s="5">
        <f>IF(ISERROR(LOOKUP(QA$1,$S14:$HK14,csv!$L14:$HD14)),NA(),LOOKUP(QA$1,$S14:$HK14,csv!$L14:$HD14))</f>
        <v>0</v>
      </c>
      <c r="QB14" s="5">
        <f>IF(ISERROR(LOOKUP(QB$1,$S14:$HK14,csv!$L14:$HD14)),NA(),LOOKUP(QB$1,$S14:$HK14,csv!$L14:$HD14))</f>
        <v>0</v>
      </c>
      <c r="QC14" s="5">
        <f>IF(ISERROR(LOOKUP(QC$1,$S14:$HK14,csv!$L14:$HD14)),NA(),LOOKUP(QC$1,$S14:$HK14,csv!$L14:$HD14))</f>
        <v>0</v>
      </c>
      <c r="QD14" s="5">
        <f>IF(ISERROR(LOOKUP(QD$1,$S14:$HK14,csv!$L14:$HD14)),NA(),LOOKUP(QD$1,$S14:$HK14,csv!$L14:$HD14))</f>
        <v>0</v>
      </c>
      <c r="QE14" s="5">
        <f>IF(ISERROR(LOOKUP(QE$1,$S14:$HK14,csv!$L14:$HD14)),NA(),LOOKUP(QE$1,$S14:$HK14,csv!$L14:$HD14))</f>
        <v>0</v>
      </c>
      <c r="QF14" s="5">
        <f>IF(ISERROR(LOOKUP(QF$1,$S14:$HK14,csv!$L14:$HD14)),NA(),LOOKUP(QF$1,$S14:$HK14,csv!$L14:$HD14))</f>
        <v>0</v>
      </c>
      <c r="QG14" s="5">
        <f>IF(ISERROR(LOOKUP(QG$1,$S14:$HK14,csv!$L14:$HD14)),NA(),LOOKUP(QG$1,$S14:$HK14,csv!$L14:$HD14))</f>
        <v>0</v>
      </c>
      <c r="QH14" s="5">
        <f>IF(ISERROR(LOOKUP(QH$1,$S14:$HK14,csv!$L14:$HD14)),NA(),LOOKUP(QH$1,$S14:$HK14,csv!$L14:$HD14))</f>
        <v>0</v>
      </c>
      <c r="QI14" s="5">
        <f>IF(ISERROR(LOOKUP(QI$1,$S14:$HK14,csv!$L14:$HD14)),NA(),LOOKUP(QI$1,$S14:$HK14,csv!$L14:$HD14))</f>
        <v>0</v>
      </c>
      <c r="QJ14" s="5">
        <f>IF(ISERROR(LOOKUP(QJ$1,$S14:$HK14,csv!$L14:$HD14)),NA(),LOOKUP(QJ$1,$S14:$HK14,csv!$L14:$HD14))</f>
        <v>0</v>
      </c>
      <c r="QK14" s="5">
        <f>IF(ISERROR(LOOKUP(QK$1,$S14:$HK14,csv!$L14:$HD14)),NA(),LOOKUP(QK$1,$S14:$HK14,csv!$L14:$HD14))</f>
        <v>0</v>
      </c>
      <c r="QL14" s="5">
        <f>IF(ISERROR(LOOKUP(QL$1,$S14:$HK14,csv!$L14:$HD14)),NA(),LOOKUP(QL$1,$S14:$HK14,csv!$L14:$HD14))</f>
        <v>0</v>
      </c>
      <c r="QM14" s="5">
        <f>IF(ISERROR(LOOKUP(QM$1,$S14:$HK14,csv!$L14:$HD14)),NA(),LOOKUP(QM$1,$S14:$HK14,csv!$L14:$HD14))</f>
        <v>0</v>
      </c>
      <c r="QN14" s="5">
        <f>IF(ISERROR(LOOKUP(QN$1,$S14:$HK14,csv!$L14:$HD14)),NA(),LOOKUP(QN$1,$S14:$HK14,csv!$L14:$HD14))</f>
        <v>0</v>
      </c>
      <c r="QO14" s="5">
        <f>IF(ISERROR(LOOKUP(QO$1,$S14:$HK14,csv!$L14:$HD14)),NA(),LOOKUP(QO$1,$S14:$HK14,csv!$L14:$HD14))</f>
        <v>0</v>
      </c>
      <c r="QP14" s="5">
        <f>IF(ISERROR(LOOKUP(QP$1,$S14:$HK14,csv!$L14:$HD14)),NA(),LOOKUP(QP$1,$S14:$HK14,csv!$L14:$HD14))</f>
        <v>0</v>
      </c>
      <c r="QQ14" s="5">
        <f>IF(ISERROR(LOOKUP(QQ$1,$S14:$HK14,csv!$L14:$HD14)),NA(),LOOKUP(QQ$1,$S14:$HK14,csv!$L14:$HD14))</f>
        <v>0</v>
      </c>
      <c r="QR14" s="5">
        <f>IF(ISERROR(LOOKUP(QR$1,$S14:$HK14,csv!$L14:$HD14)),NA(),LOOKUP(QR$1,$S14:$HK14,csv!$L14:$HD14))</f>
        <v>0</v>
      </c>
      <c r="QS14" s="5">
        <f>IF(ISERROR(LOOKUP(QS$1,$S14:$HK14,csv!$L14:$HD14)),NA(),LOOKUP(QS$1,$S14:$HK14,csv!$L14:$HD14))</f>
        <v>0</v>
      </c>
      <c r="QT14" s="5">
        <f>IF(ISERROR(LOOKUP(QT$1,$S14:$HK14,csv!$L14:$HD14)),NA(),LOOKUP(QT$1,$S14:$HK14,csv!$L14:$HD14))</f>
        <v>0</v>
      </c>
      <c r="QU14" s="5">
        <f>IF(ISERROR(LOOKUP(QU$1,$S14:$HK14,csv!$L14:$HD14)),NA(),LOOKUP(QU$1,$S14:$HK14,csv!$L14:$HD14))</f>
        <v>0</v>
      </c>
      <c r="QV14" s="5">
        <f>IF(ISERROR(LOOKUP(QV$1,$S14:$HK14,csv!$L14:$HD14)),NA(),LOOKUP(QV$1,$S14:$HK14,csv!$L14:$HD14))</f>
        <v>0</v>
      </c>
      <c r="QW14" s="5">
        <f>IF(ISERROR(LOOKUP(QW$1,$S14:$HK14,csv!$L14:$HD14)),NA(),LOOKUP(QW$1,$S14:$HK14,csv!$L14:$HD14))</f>
        <v>0</v>
      </c>
      <c r="QX14" s="5">
        <f>IF(ISERROR(LOOKUP(QX$1,$S14:$HK14,csv!$L14:$HD14)),NA(),LOOKUP(QX$1,$S14:$HK14,csv!$L14:$HD14))</f>
        <v>0</v>
      </c>
      <c r="QY14" s="5">
        <f>IF(ISERROR(LOOKUP(QY$1,$S14:$HK14,csv!$L14:$HD14)),NA(),LOOKUP(QY$1,$S14:$HK14,csv!$L14:$HD14))</f>
        <v>0</v>
      </c>
      <c r="QZ14" s="5">
        <f>IF(ISERROR(LOOKUP(QZ$1,$S14:$HK14,csv!$L14:$HD14)),NA(),LOOKUP(QZ$1,$S14:$HK14,csv!$L14:$HD14))</f>
        <v>0</v>
      </c>
      <c r="RA14" s="5">
        <f>IF(ISERROR(LOOKUP(RA$1,$S14:$HK14,csv!$L14:$HD14)),NA(),LOOKUP(RA$1,$S14:$HK14,csv!$L14:$HD14))</f>
        <v>0</v>
      </c>
      <c r="RB14" s="5">
        <f>IF(ISERROR(LOOKUP(RB$1,$S14:$HK14,csv!$L14:$HD14)),NA(),LOOKUP(RB$1,$S14:$HK14,csv!$L14:$HD14))</f>
        <v>0</v>
      </c>
      <c r="RC14" s="5">
        <f>IF(ISERROR(LOOKUP(RC$1,$S14:$HK14,csv!$L14:$HD14)),NA(),LOOKUP(RC$1,$S14:$HK14,csv!$L14:$HD14))</f>
        <v>0</v>
      </c>
      <c r="RD14" s="5">
        <f>IF(ISERROR(LOOKUP(RD$1,$S14:$HK14,csv!$L14:$HD14)),NA(),LOOKUP(RD$1,$S14:$HK14,csv!$L14:$HD14))</f>
        <v>0</v>
      </c>
      <c r="RE14" s="5">
        <f>IF(ISERROR(LOOKUP(RE$1,$S14:$HK14,csv!$L14:$HD14)),NA(),LOOKUP(RE$1,$S14:$HK14,csv!$L14:$HD14))</f>
        <v>0</v>
      </c>
      <c r="RF14" s="5">
        <f>IF(ISERROR(LOOKUP(RF$1,$S14:$HK14,csv!$L14:$HD14)),NA(),LOOKUP(RF$1,$S14:$HK14,csv!$L14:$HD14))</f>
        <v>0</v>
      </c>
      <c r="RG14" s="5">
        <f>IF(ISERROR(LOOKUP(RG$1,$S14:$HK14,csv!$L14:$HD14)),NA(),LOOKUP(RG$1,$S14:$HK14,csv!$L14:$HD14))</f>
        <v>0</v>
      </c>
      <c r="RH14" s="5">
        <f>IF(ISERROR(LOOKUP(RH$1,$S14:$HK14,csv!$L14:$HD14)),NA(),LOOKUP(RH$1,$S14:$HK14,csv!$L14:$HD14))</f>
        <v>0</v>
      </c>
      <c r="RI14" s="5">
        <f>IF(ISERROR(LOOKUP(RI$1,$S14:$HK14,csv!$L14:$HD14)),NA(),LOOKUP(RI$1,$S14:$HK14,csv!$L14:$HD14))</f>
        <v>0</v>
      </c>
      <c r="RJ14" s="5">
        <f>IF(ISERROR(LOOKUP(RJ$1,$S14:$HK14,csv!$L14:$HD14)),NA(),LOOKUP(RJ$1,$S14:$HK14,csv!$L14:$HD14))</f>
        <v>0</v>
      </c>
      <c r="RK14" s="5">
        <f>IF(ISERROR(LOOKUP(RK$1,$S14:$HK14,csv!$L14:$HD14)),NA(),LOOKUP(RK$1,$S14:$HK14,csv!$L14:$HD14))</f>
        <v>0</v>
      </c>
      <c r="RL14" s="5">
        <f>IF(ISERROR(LOOKUP(RL$1,$S14:$HK14,csv!$L14:$HD14)),NA(),LOOKUP(RL$1,$S14:$HK14,csv!$L14:$HD14))</f>
        <v>0</v>
      </c>
      <c r="RM14" s="5">
        <f>IF(ISERROR(LOOKUP(RM$1,$S14:$HK14,csv!$L14:$HD14)),NA(),LOOKUP(RM$1,$S14:$HK14,csv!$L14:$HD14))</f>
        <v>0</v>
      </c>
      <c r="RN14" s="5">
        <f>IF(ISERROR(LOOKUP(RN$1,$S14:$HK14,csv!$L14:$HD14)),NA(),LOOKUP(RN$1,$S14:$HK14,csv!$L14:$HD14))</f>
        <v>0</v>
      </c>
      <c r="RO14" s="5">
        <f>IF(ISERROR(LOOKUP(RO$1,$S14:$HK14,csv!$L14:$HD14)),NA(),LOOKUP(RO$1,$S14:$HK14,csv!$L14:$HD14))</f>
        <v>0</v>
      </c>
      <c r="RP14" s="5">
        <f>IF(ISERROR(LOOKUP(RP$1,$S14:$HK14,csv!$L14:$HD14)),NA(),LOOKUP(RP$1,$S14:$HK14,csv!$L14:$HD14))</f>
        <v>0</v>
      </c>
      <c r="RQ14" s="5">
        <f>IF(ISERROR(LOOKUP(RQ$1,$S14:$HK14,csv!$L14:$HD14)),NA(),LOOKUP(RQ$1,$S14:$HK14,csv!$L14:$HD14))</f>
        <v>0</v>
      </c>
      <c r="RR14" s="5">
        <f>IF(ISERROR(LOOKUP(RR$1,$S14:$HK14,csv!$L14:$HD14)),NA(),LOOKUP(RR$1,$S14:$HK14,csv!$L14:$HD14))</f>
        <v>0</v>
      </c>
      <c r="RS14" s="5">
        <f>IF(ISERROR(LOOKUP(RS$1,$S14:$HK14,csv!$L14:$HD14)),NA(),LOOKUP(RS$1,$S14:$HK14,csv!$L14:$HD14))</f>
        <v>0</v>
      </c>
      <c r="RT14" s="5">
        <f>IF(ISERROR(LOOKUP(RT$1,$S14:$HK14,csv!$L14:$HD14)),NA(),LOOKUP(RT$1,$S14:$HK14,csv!$L14:$HD14))</f>
        <v>0</v>
      </c>
      <c r="RU14" s="5">
        <f>IF(ISERROR(LOOKUP(RU$1,$S14:$HK14,csv!$L14:$HD14)),NA(),LOOKUP(RU$1,$S14:$HK14,csv!$L14:$HD14))</f>
        <v>0</v>
      </c>
      <c r="RV14" s="5">
        <f>IF(ISERROR(LOOKUP(RV$1,$S14:$HK14,csv!$L14:$HD14)),NA(),LOOKUP(RV$1,$S14:$HK14,csv!$L14:$HD14))</f>
        <v>0</v>
      </c>
      <c r="RW14" s="5">
        <f>IF(ISERROR(LOOKUP(RW$1,$S14:$HK14,csv!$L14:$HD14)),NA(),LOOKUP(RW$1,$S14:$HK14,csv!$L14:$HD14))</f>
        <v>0</v>
      </c>
      <c r="RX14" s="5">
        <f>IF(ISERROR(LOOKUP(RX$1,$S14:$HK14,csv!$L14:$HD14)),NA(),LOOKUP(RX$1,$S14:$HK14,csv!$L14:$HD14))</f>
        <v>0</v>
      </c>
      <c r="RY14" s="5">
        <f>IF(ISERROR(LOOKUP(RY$1,$S14:$HK14,csv!$L14:$HD14)),NA(),LOOKUP(RY$1,$S14:$HK14,csv!$L14:$HD14))</f>
        <v>0</v>
      </c>
      <c r="RZ14" s="5">
        <f>IF(ISERROR(LOOKUP(RZ$1,$S14:$HK14,csv!$L14:$HD14)),NA(),LOOKUP(RZ$1,$S14:$HK14,csv!$L14:$HD14))</f>
        <v>0</v>
      </c>
      <c r="SA14" s="5">
        <f>IF(ISERROR(LOOKUP(SA$1,$S14:$HK14,csv!$L14:$HD14)),NA(),LOOKUP(SA$1,$S14:$HK14,csv!$L14:$HD14))</f>
        <v>0</v>
      </c>
      <c r="SB14" s="5">
        <f>IF(ISERROR(LOOKUP(SB$1,$S14:$HK14,csv!$L14:$HD14)),NA(),LOOKUP(SB$1,$S14:$HK14,csv!$L14:$HD14))</f>
        <v>0</v>
      </c>
      <c r="SC14" s="5">
        <f>IF(ISERROR(LOOKUP(SC$1,$S14:$HK14,csv!$L14:$HD14)),NA(),LOOKUP(SC$1,$S14:$HK14,csv!$L14:$HD14))</f>
        <v>0</v>
      </c>
      <c r="SD14" s="5">
        <f>IF(ISERROR(LOOKUP(SD$1,$S14:$HK14,csv!$L14:$HD14)),NA(),LOOKUP(SD$1,$S14:$HK14,csv!$L14:$HD14))</f>
        <v>0</v>
      </c>
      <c r="SE14" s="5">
        <f>IF(ISERROR(LOOKUP(SE$1,$S14:$HK14,csv!$L14:$HD14)),NA(),LOOKUP(SE$1,$S14:$HK14,csv!$L14:$HD14))</f>
        <v>0</v>
      </c>
      <c r="SF14" s="5">
        <f>IF(ISERROR(LOOKUP(SF$1,$S14:$HK14,csv!$L14:$HD14)),NA(),LOOKUP(SF$1,$S14:$HK14,csv!$L14:$HD14))</f>
        <v>0</v>
      </c>
      <c r="SG14" s="5">
        <f>IF(ISERROR(LOOKUP(SG$1,$S14:$HK14,csv!$L14:$HD14)),NA(),LOOKUP(SG$1,$S14:$HK14,csv!$L14:$HD14))</f>
        <v>0</v>
      </c>
      <c r="SH14" s="5">
        <f>IF(ISERROR(LOOKUP(SH$1,$S14:$HK14,csv!$L14:$HD14)),NA(),LOOKUP(SH$1,$S14:$HK14,csv!$L14:$HD14))</f>
        <v>0</v>
      </c>
      <c r="SI14" s="5">
        <f>IF(ISERROR(LOOKUP(SI$1,$S14:$HK14,csv!$L14:$HD14)),NA(),LOOKUP(SI$1,$S14:$HK14,csv!$L14:$HD14))</f>
        <v>0</v>
      </c>
      <c r="SJ14" s="5">
        <f>IF(ISERROR(LOOKUP(SJ$1,$S14:$HK14,csv!$L14:$HD14)),NA(),LOOKUP(SJ$1,$S14:$HK14,csv!$L14:$HD14))</f>
        <v>0</v>
      </c>
      <c r="SK14" s="5">
        <f>IF(ISERROR(LOOKUP(SK$1,$S14:$HK14,csv!$L14:$HD14)),NA(),LOOKUP(SK$1,$S14:$HK14,csv!$L14:$HD14))</f>
        <v>0</v>
      </c>
      <c r="SL14" s="5">
        <f>IF(ISERROR(LOOKUP(SL$1,$S14:$HK14,csv!$L14:$HD14)),NA(),LOOKUP(SL$1,$S14:$HK14,csv!$L14:$HD14))</f>
        <v>0</v>
      </c>
      <c r="SM14" s="5">
        <f>IF(ISERROR(LOOKUP(SM$1,$S14:$HK14,csv!$L14:$HD14)),NA(),LOOKUP(SM$1,$S14:$HK14,csv!$L14:$HD14))</f>
        <v>0</v>
      </c>
      <c r="SN14" s="5">
        <f>IF(ISERROR(LOOKUP(SN$1,$S14:$HK14,csv!$L14:$HD14)),NA(),LOOKUP(SN$1,$S14:$HK14,csv!$L14:$HD14))</f>
        <v>0</v>
      </c>
      <c r="SO14" s="5">
        <f>IF(ISERROR(LOOKUP(SO$1,$S14:$HK14,csv!$L14:$HD14)),NA(),LOOKUP(SO$1,$S14:$HK14,csv!$L14:$HD14))</f>
        <v>0</v>
      </c>
      <c r="SP14" s="5">
        <f>IF(ISERROR(LOOKUP(SP$1,$S14:$HK14,csv!$L14:$HD14)),NA(),LOOKUP(SP$1,$S14:$HK14,csv!$L14:$HD14))</f>
        <v>0</v>
      </c>
      <c r="SQ14" s="5">
        <f>IF(ISERROR(LOOKUP(SQ$1,$S14:$HK14,csv!$L14:$HD14)),NA(),LOOKUP(SQ$1,$S14:$HK14,csv!$L14:$HD14))</f>
        <v>0</v>
      </c>
      <c r="SR14" s="5">
        <f>IF(ISERROR(LOOKUP(SR$1,$S14:$HK14,csv!$L14:$HD14)),NA(),LOOKUP(SR$1,$S14:$HK14,csv!$L14:$HD14))</f>
        <v>0</v>
      </c>
      <c r="SS14" s="5">
        <f>IF(ISERROR(LOOKUP(SS$1,$S14:$HK14,csv!$L14:$HD14)),NA(),LOOKUP(SS$1,$S14:$HK14,csv!$L14:$HD14))</f>
        <v>0</v>
      </c>
      <c r="ST14" s="5">
        <f>IF(ISERROR(LOOKUP(ST$1,$S14:$HK14,csv!$L14:$HD14)),NA(),LOOKUP(ST$1,$S14:$HK14,csv!$L14:$HD14))</f>
        <v>0</v>
      </c>
      <c r="SU14" s="5">
        <f>IF(ISERROR(LOOKUP(SU$1,$S14:$HK14,csv!$L14:$HD14)),NA(),LOOKUP(SU$1,$S14:$HK14,csv!$L14:$HD14))</f>
        <v>0</v>
      </c>
      <c r="SV14" s="5">
        <f>IF(ISERROR(LOOKUP(SV$1,$S14:$HK14,csv!$L14:$HD14)),NA(),LOOKUP(SV$1,$S14:$HK14,csv!$L14:$HD14))</f>
        <v>0</v>
      </c>
      <c r="SW14" s="5">
        <f>IF(ISERROR(LOOKUP(SW$1,$S14:$HK14,csv!$L14:$HD14)),NA(),LOOKUP(SW$1,$S14:$HK14,csv!$L14:$HD14))</f>
        <v>0</v>
      </c>
      <c r="SX14" s="5">
        <f>IF(ISERROR(LOOKUP(SX$1,$S14:$HK14,csv!$L14:$HD14)),NA(),LOOKUP(SX$1,$S14:$HK14,csv!$L14:$HD14))</f>
        <v>0</v>
      </c>
      <c r="SY14" s="5">
        <f>IF(ISERROR(LOOKUP(SY$1,$S14:$HK14,csv!$L14:$HD14)),NA(),LOOKUP(SY$1,$S14:$HK14,csv!$L14:$HD14))</f>
        <v>0</v>
      </c>
      <c r="SZ14" s="5">
        <f>IF(ISERROR(LOOKUP(SZ$1,$S14:$HK14,csv!$L14:$HD14)),NA(),LOOKUP(SZ$1,$S14:$HK14,csv!$L14:$HD14))</f>
        <v>0</v>
      </c>
      <c r="TA14" s="5">
        <f>IF(ISERROR(LOOKUP(TA$1,$S14:$HK14,csv!$L14:$HD14)),NA(),LOOKUP(TA$1,$S14:$HK14,csv!$L14:$HD14))</f>
        <v>0</v>
      </c>
      <c r="TB14" s="5">
        <f>IF(ISERROR(LOOKUP(TB$1,$S14:$HK14,csv!$L14:$HD14)),NA(),LOOKUP(TB$1,$S14:$HK14,csv!$L14:$HD14))</f>
        <v>0</v>
      </c>
      <c r="TD14">
        <f>csv!HG14/10</f>
        <v>0</v>
      </c>
    </row>
    <row r="15" spans="1:524" x14ac:dyDescent="0.15">
      <c r="C15" s="32"/>
      <c r="R15" t="s">
        <v>179</v>
      </c>
      <c r="S15" s="4">
        <f>ROUND((csv!$HG15/10+calc!S$1),1)</f>
        <v>-10</v>
      </c>
      <c r="T15" s="4">
        <f>ROUND((csv!$HG15/10+calc!T$1),1)</f>
        <v>-9.9</v>
      </c>
      <c r="U15" s="4">
        <f>ROUND((csv!$HG15/10+calc!U$1),1)</f>
        <v>-9.8000000000000007</v>
      </c>
      <c r="V15" s="4">
        <f>ROUND((csv!$HG15/10+calc!V$1),1)</f>
        <v>-9.6999999999999993</v>
      </c>
      <c r="W15" s="4">
        <f>ROUND((csv!$HG15/10+calc!W$1),1)</f>
        <v>-9.6</v>
      </c>
      <c r="X15" s="4">
        <f>ROUND((csv!$HG15/10+calc!X$1),1)</f>
        <v>-9.5</v>
      </c>
      <c r="Y15" s="4">
        <f>ROUND((csv!$HG15/10+calc!Y$1),1)</f>
        <v>-9.4</v>
      </c>
      <c r="Z15" s="4">
        <f>ROUND((csv!$HG15/10+calc!Z$1),1)</f>
        <v>-9.3000000000000007</v>
      </c>
      <c r="AA15" s="4">
        <f>ROUND((csv!$HG15/10+calc!AA$1),1)</f>
        <v>-9.1999999999999993</v>
      </c>
      <c r="AB15" s="4">
        <f>ROUND((csv!$HG15/10+calc!AB$1),1)</f>
        <v>-9.1</v>
      </c>
      <c r="AC15" s="4">
        <f>ROUND((csv!$HG15/10+calc!AC$1),1)</f>
        <v>-9</v>
      </c>
      <c r="AD15" s="4">
        <f>ROUND((csv!$HG15/10+calc!AD$1),1)</f>
        <v>-8.9</v>
      </c>
      <c r="AE15" s="4">
        <f>ROUND((csv!$HG15/10+calc!AE$1),1)</f>
        <v>-8.8000000000000007</v>
      </c>
      <c r="AF15" s="4">
        <f>ROUND((csv!$HG15/10+calc!AF$1),1)</f>
        <v>-8.6999999999999993</v>
      </c>
      <c r="AG15" s="4">
        <f>ROUND((csv!$HG15/10+calc!AG$1),1)</f>
        <v>-8.6</v>
      </c>
      <c r="AH15" s="4">
        <f>ROUND((csv!$HG15/10+calc!AH$1),1)</f>
        <v>-8.5</v>
      </c>
      <c r="AI15" s="4">
        <f>ROUND((csv!$HG15/10+calc!AI$1),1)</f>
        <v>-8.4</v>
      </c>
      <c r="AJ15" s="4">
        <f>ROUND((csv!$HG15/10+calc!AJ$1),1)</f>
        <v>-8.3000000000000007</v>
      </c>
      <c r="AK15" s="4">
        <f>ROUND((csv!$HG15/10+calc!AK$1),1)</f>
        <v>-8.1999999999999993</v>
      </c>
      <c r="AL15" s="4">
        <f>ROUND((csv!$HG15/10+calc!AL$1),1)</f>
        <v>-8.1</v>
      </c>
      <c r="AM15" s="4">
        <f>ROUND((csv!$HG15/10+calc!AM$1),1)</f>
        <v>-8</v>
      </c>
      <c r="AN15" s="4">
        <f>ROUND((csv!$HG15/10+calc!AN$1),1)</f>
        <v>-7.9</v>
      </c>
      <c r="AO15" s="4">
        <f>ROUND((csv!$HG15/10+calc!AO$1),1)</f>
        <v>-7.8</v>
      </c>
      <c r="AP15" s="4">
        <f>ROUND((csv!$HG15/10+calc!AP$1),1)</f>
        <v>-7.7</v>
      </c>
      <c r="AQ15" s="4">
        <f>ROUND((csv!$HG15/10+calc!AQ$1),1)</f>
        <v>-7.6</v>
      </c>
      <c r="AR15" s="4">
        <f>ROUND((csv!$HG15/10+calc!AR$1),1)</f>
        <v>-7.5</v>
      </c>
      <c r="AS15" s="4">
        <f>ROUND((csv!$HG15/10+calc!AS$1),1)</f>
        <v>-7.4</v>
      </c>
      <c r="AT15" s="4">
        <f>ROUND((csv!$HG15/10+calc!AT$1),1)</f>
        <v>-7.3</v>
      </c>
      <c r="AU15" s="4">
        <f>ROUND((csv!$HG15/10+calc!AU$1),1)</f>
        <v>-7.2</v>
      </c>
      <c r="AV15" s="4">
        <f>ROUND((csv!$HG15/10+calc!AV$1),1)</f>
        <v>-7.1</v>
      </c>
      <c r="AW15" s="4">
        <f>ROUND((csv!$HG15/10+calc!AW$1),1)</f>
        <v>-7</v>
      </c>
      <c r="AX15" s="4">
        <f>ROUND((csv!$HG15/10+calc!AX$1),1)</f>
        <v>-6.9</v>
      </c>
      <c r="AY15" s="4">
        <f>ROUND((csv!$HG15/10+calc!AY$1),1)</f>
        <v>-6.8</v>
      </c>
      <c r="AZ15" s="4">
        <f>ROUND((csv!$HG15/10+calc!AZ$1),1)</f>
        <v>-6.7</v>
      </c>
      <c r="BA15" s="4">
        <f>ROUND((csv!$HG15/10+calc!BA$1),1)</f>
        <v>-6.6</v>
      </c>
      <c r="BB15" s="4">
        <f>ROUND((csv!$HG15/10+calc!BB$1),1)</f>
        <v>-6.5</v>
      </c>
      <c r="BC15" s="4">
        <f>ROUND((csv!$HG15/10+calc!BC$1),1)</f>
        <v>-6.4</v>
      </c>
      <c r="BD15" s="4">
        <f>ROUND((csv!$HG15/10+calc!BD$1),1)</f>
        <v>-6.3</v>
      </c>
      <c r="BE15" s="4">
        <f>ROUND((csv!$HG15/10+calc!BE$1),1)</f>
        <v>-6.2</v>
      </c>
      <c r="BF15" s="4">
        <f>ROUND((csv!$HG15/10+calc!BF$1),1)</f>
        <v>-6.1</v>
      </c>
      <c r="BG15" s="4">
        <f>ROUND((csv!$HG15/10+calc!BG$1),1)</f>
        <v>-6</v>
      </c>
      <c r="BH15" s="4">
        <f>ROUND((csv!$HG15/10+calc!BH$1),1)</f>
        <v>-5.9</v>
      </c>
      <c r="BI15" s="4">
        <f>ROUND((csv!$HG15/10+calc!BI$1),1)</f>
        <v>-5.8</v>
      </c>
      <c r="BJ15" s="4">
        <f>ROUND((csv!$HG15/10+calc!BJ$1),1)</f>
        <v>-5.7</v>
      </c>
      <c r="BK15" s="4">
        <f>ROUND((csv!$HG15/10+calc!BK$1),1)</f>
        <v>-5.6</v>
      </c>
      <c r="BL15" s="4">
        <f>ROUND((csv!$HG15/10+calc!BL$1),1)</f>
        <v>-5.5</v>
      </c>
      <c r="BM15" s="4">
        <f>ROUND((csv!$HG15/10+calc!BM$1),1)</f>
        <v>-5.4</v>
      </c>
      <c r="BN15" s="4">
        <f>ROUND((csv!$HG15/10+calc!BN$1),1)</f>
        <v>-5.3</v>
      </c>
      <c r="BO15" s="4">
        <f>ROUND((csv!$HG15/10+calc!BO$1),1)</f>
        <v>-5.2</v>
      </c>
      <c r="BP15" s="4">
        <f>ROUND((csv!$HG15/10+calc!BP$1),1)</f>
        <v>-5.0999999999999996</v>
      </c>
      <c r="BQ15" s="4">
        <f>ROUND((csv!$HG15/10+calc!BQ$1),1)</f>
        <v>-5</v>
      </c>
      <c r="BR15" s="4">
        <f>ROUND((csv!$HG15/10+calc!BR$1),1)</f>
        <v>-4.9000000000000004</v>
      </c>
      <c r="BS15" s="4">
        <f>ROUND((csv!$HG15/10+calc!BS$1),1)</f>
        <v>-4.8</v>
      </c>
      <c r="BT15" s="4">
        <f>ROUND((csv!$HG15/10+calc!BT$1),1)</f>
        <v>-4.7</v>
      </c>
      <c r="BU15" s="4">
        <f>ROUND((csv!$HG15/10+calc!BU$1),1)</f>
        <v>-4.5999999999999996</v>
      </c>
      <c r="BV15" s="4">
        <f>ROUND((csv!$HG15/10+calc!BV$1),1)</f>
        <v>-4.5</v>
      </c>
      <c r="BW15" s="4">
        <f>ROUND((csv!$HG15/10+calc!BW$1),1)</f>
        <v>-4.4000000000000004</v>
      </c>
      <c r="BX15" s="4">
        <f>ROUND((csv!$HG15/10+calc!BX$1),1)</f>
        <v>-4.3</v>
      </c>
      <c r="BY15" s="4">
        <f>ROUND((csv!$HG15/10+calc!BY$1),1)</f>
        <v>-4.2</v>
      </c>
      <c r="BZ15" s="4">
        <f>ROUND((csv!$HG15/10+calc!BZ$1),1)</f>
        <v>-4.0999999999999996</v>
      </c>
      <c r="CA15" s="4">
        <f>ROUND((csv!$HG15/10+calc!CA$1),1)</f>
        <v>-4</v>
      </c>
      <c r="CB15" s="4">
        <f>ROUND((csv!$HG15/10+calc!CB$1),1)</f>
        <v>-3.9</v>
      </c>
      <c r="CC15" s="4">
        <f>ROUND((csv!$HG15/10+calc!CC$1),1)</f>
        <v>-3.8</v>
      </c>
      <c r="CD15" s="4">
        <f>ROUND((csv!$HG15/10+calc!CD$1),1)</f>
        <v>-3.7</v>
      </c>
      <c r="CE15" s="4">
        <f>ROUND((csv!$HG15/10+calc!CE$1),1)</f>
        <v>-3.6</v>
      </c>
      <c r="CF15" s="4">
        <f>ROUND((csv!$HG15/10+calc!CF$1),1)</f>
        <v>-3.5</v>
      </c>
      <c r="CG15" s="4">
        <f>ROUND((csv!$HG15/10+calc!CG$1),1)</f>
        <v>-3.4</v>
      </c>
      <c r="CH15" s="4">
        <f>ROUND((csv!$HG15/10+calc!CH$1),1)</f>
        <v>-3.3</v>
      </c>
      <c r="CI15" s="4">
        <f>ROUND((csv!$HG15/10+calc!CI$1),1)</f>
        <v>-3.2</v>
      </c>
      <c r="CJ15" s="4">
        <f>ROUND((csv!$HG15/10+calc!CJ$1),1)</f>
        <v>-3.1</v>
      </c>
      <c r="CK15" s="4">
        <f>ROUND((csv!$HG15/10+calc!CK$1),1)</f>
        <v>-3</v>
      </c>
      <c r="CL15" s="4">
        <f>ROUND((csv!$HG15/10+calc!CL$1),1)</f>
        <v>-2.9</v>
      </c>
      <c r="CM15" s="4">
        <f>ROUND((csv!$HG15/10+calc!CM$1),1)</f>
        <v>-2.8</v>
      </c>
      <c r="CN15" s="4">
        <f>ROUND((csv!$HG15/10+calc!CN$1),1)</f>
        <v>-2.7</v>
      </c>
      <c r="CO15" s="4">
        <f>ROUND((csv!$HG15/10+calc!CO$1),1)</f>
        <v>-2.6</v>
      </c>
      <c r="CP15" s="4">
        <f>ROUND((csv!$HG15/10+calc!CP$1),1)</f>
        <v>-2.5</v>
      </c>
      <c r="CQ15" s="4">
        <f>ROUND((csv!$HG15/10+calc!CQ$1),1)</f>
        <v>-2.4</v>
      </c>
      <c r="CR15" s="4">
        <f>ROUND((csv!$HG15/10+calc!CR$1),1)</f>
        <v>-2.2999999999999998</v>
      </c>
      <c r="CS15" s="4">
        <f>ROUND((csv!$HG15/10+calc!CS$1),1)</f>
        <v>-2.2000000000000002</v>
      </c>
      <c r="CT15" s="4">
        <f>ROUND((csv!$HG15/10+calc!CT$1),1)</f>
        <v>-2.1</v>
      </c>
      <c r="CU15" s="4">
        <f>ROUND((csv!$HG15/10+calc!CU$1),1)</f>
        <v>-2</v>
      </c>
      <c r="CV15" s="4">
        <f>ROUND((csv!$HG15/10+calc!CV$1),1)</f>
        <v>-1.9</v>
      </c>
      <c r="CW15" s="4">
        <f>ROUND((csv!$HG15/10+calc!CW$1),1)</f>
        <v>-1.8</v>
      </c>
      <c r="CX15" s="4">
        <f>ROUND((csv!$HG15/10+calc!CX$1),1)</f>
        <v>-1.7</v>
      </c>
      <c r="CY15" s="4">
        <f>ROUND((csv!$HG15/10+calc!CY$1),1)</f>
        <v>-1.6</v>
      </c>
      <c r="CZ15" s="4">
        <f>ROUND((csv!$HG15/10+calc!CZ$1),1)</f>
        <v>-1.5</v>
      </c>
      <c r="DA15" s="4">
        <f>ROUND((csv!$HG15/10+calc!DA$1),1)</f>
        <v>-1.4</v>
      </c>
      <c r="DB15" s="4">
        <f>ROUND((csv!$HG15/10+calc!DB$1),1)</f>
        <v>-1.3</v>
      </c>
      <c r="DC15" s="4">
        <f>ROUND((csv!$HG15/10+calc!DC$1),1)</f>
        <v>-1.2</v>
      </c>
      <c r="DD15" s="4">
        <f>ROUND((csv!$HG15/10+calc!DD$1),1)</f>
        <v>-1.1000000000000001</v>
      </c>
      <c r="DE15" s="4">
        <f>ROUND((csv!$HG15/10+calc!DE$1),1)</f>
        <v>-1</v>
      </c>
      <c r="DF15" s="4">
        <f>ROUND((csv!$HG15/10+calc!DF$1),1)</f>
        <v>-0.9</v>
      </c>
      <c r="DG15" s="4">
        <f>ROUND((csv!$HG15/10+calc!DG$1),1)</f>
        <v>-0.8</v>
      </c>
      <c r="DH15" s="4">
        <f>ROUND((csv!$HG15/10+calc!DH$1),1)</f>
        <v>-0.7</v>
      </c>
      <c r="DI15" s="4">
        <f>ROUND((csv!$HG15/10+calc!DI$1),1)</f>
        <v>-0.6</v>
      </c>
      <c r="DJ15" s="4">
        <f>ROUND((csv!$HG15/10+calc!DJ$1),1)</f>
        <v>-0.5</v>
      </c>
      <c r="DK15" s="4">
        <f>ROUND((csv!$HG15/10+calc!DK$1),1)</f>
        <v>-0.4</v>
      </c>
      <c r="DL15" s="4">
        <f>ROUND((csv!$HG15/10+calc!DL$1),1)</f>
        <v>-0.3</v>
      </c>
      <c r="DM15" s="4">
        <f>ROUND((csv!$HG15/10+calc!DM$1),1)</f>
        <v>-0.2</v>
      </c>
      <c r="DN15" s="4">
        <f>ROUND((csv!$HG15/10+calc!DN$1),1)</f>
        <v>-0.1</v>
      </c>
      <c r="DO15" s="4">
        <f>ROUND((csv!$HG15/10+calc!DO$1),1)</f>
        <v>0</v>
      </c>
      <c r="DP15" s="4">
        <f>ROUND((csv!$HG15/10+calc!DP$1),1)</f>
        <v>0.1</v>
      </c>
      <c r="DQ15" s="4">
        <f>ROUND((csv!$HG15/10+calc!DQ$1),1)</f>
        <v>0.2</v>
      </c>
      <c r="DR15" s="4">
        <f>ROUND((csv!$HG15/10+calc!DR$1),1)</f>
        <v>0.3</v>
      </c>
      <c r="DS15" s="4">
        <f>ROUND((csv!$HG15/10+calc!DS$1),1)</f>
        <v>0.4</v>
      </c>
      <c r="DT15" s="4">
        <f>ROUND((csv!$HG15/10+calc!DT$1),1)</f>
        <v>0.5</v>
      </c>
      <c r="DU15" s="4">
        <f>ROUND((csv!$HG15/10+calc!DU$1),1)</f>
        <v>0.6</v>
      </c>
      <c r="DV15" s="4">
        <f>ROUND((csv!$HG15/10+calc!DV$1),1)</f>
        <v>0.7</v>
      </c>
      <c r="DW15" s="4">
        <f>ROUND((csv!$HG15/10+calc!DW$1),1)</f>
        <v>0.8</v>
      </c>
      <c r="DX15" s="4">
        <f>ROUND((csv!$HG15/10+calc!DX$1),1)</f>
        <v>0.9</v>
      </c>
      <c r="DY15" s="4">
        <f>ROUND((csv!$HG15/10+calc!DY$1),1)</f>
        <v>1</v>
      </c>
      <c r="DZ15" s="4">
        <f>ROUND((csv!$HG15/10+calc!DZ$1),1)</f>
        <v>1.1000000000000001</v>
      </c>
      <c r="EA15" s="4">
        <f>ROUND((csv!$HG15/10+calc!EA$1),1)</f>
        <v>1.2</v>
      </c>
      <c r="EB15" s="4">
        <f>ROUND((csv!$HG15/10+calc!EB$1),1)</f>
        <v>1.3</v>
      </c>
      <c r="EC15" s="4">
        <f>ROUND((csv!$HG15/10+calc!EC$1),1)</f>
        <v>1.4</v>
      </c>
      <c r="ED15" s="4">
        <f>ROUND((csv!$HG15/10+calc!ED$1),1)</f>
        <v>1.5</v>
      </c>
      <c r="EE15" s="4">
        <f>ROUND((csv!$HG15/10+calc!EE$1),1)</f>
        <v>1.6</v>
      </c>
      <c r="EF15" s="4">
        <f>ROUND((csv!$HG15/10+calc!EF$1),1)</f>
        <v>1.7</v>
      </c>
      <c r="EG15" s="4">
        <f>ROUND((csv!$HG15/10+calc!EG$1),1)</f>
        <v>1.8</v>
      </c>
      <c r="EH15" s="4">
        <f>ROUND((csv!$HG15/10+calc!EH$1),1)</f>
        <v>1.9</v>
      </c>
      <c r="EI15" s="4">
        <f>ROUND((csv!$HG15/10+calc!EI$1),1)</f>
        <v>2</v>
      </c>
      <c r="EJ15" s="4">
        <f>ROUND((csv!$HG15/10+calc!EJ$1),1)</f>
        <v>2.1</v>
      </c>
      <c r="EK15" s="4">
        <f>ROUND((csv!$HG15/10+calc!EK$1),1)</f>
        <v>2.2000000000000002</v>
      </c>
      <c r="EL15" s="4">
        <f>ROUND((csv!$HG15/10+calc!EL$1),1)</f>
        <v>2.2999999999999998</v>
      </c>
      <c r="EM15" s="4">
        <f>ROUND((csv!$HG15/10+calc!EM$1),1)</f>
        <v>2.4</v>
      </c>
      <c r="EN15" s="4">
        <f>ROUND((csv!$HG15/10+calc!EN$1),1)</f>
        <v>2.5</v>
      </c>
      <c r="EO15" s="4">
        <f>ROUND((csv!$HG15/10+calc!EO$1),1)</f>
        <v>2.6</v>
      </c>
      <c r="EP15" s="4">
        <f>ROUND((csv!$HG15/10+calc!EP$1),1)</f>
        <v>2.7</v>
      </c>
      <c r="EQ15" s="4">
        <f>ROUND((csv!$HG15/10+calc!EQ$1),1)</f>
        <v>2.8</v>
      </c>
      <c r="ER15" s="4">
        <f>ROUND((csv!$HG15/10+calc!ER$1),1)</f>
        <v>2.9</v>
      </c>
      <c r="ES15" s="4">
        <f>ROUND((csv!$HG15/10+calc!ES$1),1)</f>
        <v>3</v>
      </c>
      <c r="ET15" s="4">
        <f>ROUND((csv!$HG15/10+calc!ET$1),1)</f>
        <v>3.1</v>
      </c>
      <c r="EU15" s="4">
        <f>ROUND((csv!$HG15/10+calc!EU$1),1)</f>
        <v>3.2</v>
      </c>
      <c r="EV15" s="4">
        <f>ROUND((csv!$HG15/10+calc!EV$1),1)</f>
        <v>3.3</v>
      </c>
      <c r="EW15" s="4">
        <f>ROUND((csv!$HG15/10+calc!EW$1),1)</f>
        <v>3.4</v>
      </c>
      <c r="EX15" s="4">
        <f>ROUND((csv!$HG15/10+calc!EX$1),1)</f>
        <v>3.5</v>
      </c>
      <c r="EY15" s="4">
        <f>ROUND((csv!$HG15/10+calc!EY$1),1)</f>
        <v>3.6</v>
      </c>
      <c r="EZ15" s="4">
        <f>ROUND((csv!$HG15/10+calc!EZ$1),1)</f>
        <v>3.7</v>
      </c>
      <c r="FA15" s="4">
        <f>ROUND((csv!$HG15/10+calc!FA$1),1)</f>
        <v>3.8</v>
      </c>
      <c r="FB15" s="4">
        <f>ROUND((csv!$HG15/10+calc!FB$1),1)</f>
        <v>3.9</v>
      </c>
      <c r="FC15" s="4">
        <f>ROUND((csv!$HG15/10+calc!FC$1),1)</f>
        <v>4</v>
      </c>
      <c r="FD15" s="4">
        <f>ROUND((csv!$HG15/10+calc!FD$1),1)</f>
        <v>4.0999999999999996</v>
      </c>
      <c r="FE15" s="4">
        <f>ROUND((csv!$HG15/10+calc!FE$1),1)</f>
        <v>4.2</v>
      </c>
      <c r="FF15" s="4">
        <f>ROUND((csv!$HG15/10+calc!FF$1),1)</f>
        <v>4.3</v>
      </c>
      <c r="FG15" s="4">
        <f>ROUND((csv!$HG15/10+calc!FG$1),1)</f>
        <v>4.4000000000000004</v>
      </c>
      <c r="FH15" s="4">
        <f>ROUND((csv!$HG15/10+calc!FH$1),1)</f>
        <v>4.5</v>
      </c>
      <c r="FI15" s="4">
        <f>ROUND((csv!$HG15/10+calc!FI$1),1)</f>
        <v>4.5999999999999996</v>
      </c>
      <c r="FJ15" s="4">
        <f>ROUND((csv!$HG15/10+calc!FJ$1),1)</f>
        <v>4.7</v>
      </c>
      <c r="FK15" s="4">
        <f>ROUND((csv!$HG15/10+calc!FK$1),1)</f>
        <v>4.8</v>
      </c>
      <c r="FL15" s="4">
        <f>ROUND((csv!$HG15/10+calc!FL$1),1)</f>
        <v>4.9000000000000004</v>
      </c>
      <c r="FM15" s="4">
        <f>ROUND((csv!$HG15/10+calc!FM$1),1)</f>
        <v>5</v>
      </c>
      <c r="FN15" s="4">
        <f>ROUND((csv!$HG15/10+calc!FN$1),1)</f>
        <v>5.0999999999999996</v>
      </c>
      <c r="FO15" s="4">
        <f>ROUND((csv!$HG15/10+calc!FO$1),1)</f>
        <v>5.2</v>
      </c>
      <c r="FP15" s="4">
        <f>ROUND((csv!$HG15/10+calc!FP$1),1)</f>
        <v>5.3</v>
      </c>
      <c r="FQ15" s="4">
        <f>ROUND((csv!$HG15/10+calc!FQ$1),1)</f>
        <v>5.4</v>
      </c>
      <c r="FR15" s="4">
        <f>ROUND((csv!$HG15/10+calc!FR$1),1)</f>
        <v>5.5</v>
      </c>
      <c r="FS15" s="4">
        <f>ROUND((csv!$HG15/10+calc!FS$1),1)</f>
        <v>5.6</v>
      </c>
      <c r="FT15" s="4">
        <f>ROUND((csv!$HG15/10+calc!FT$1),1)</f>
        <v>5.7</v>
      </c>
      <c r="FU15" s="4">
        <f>ROUND((csv!$HG15/10+calc!FU$1),1)</f>
        <v>5.8</v>
      </c>
      <c r="FV15" s="4">
        <f>ROUND((csv!$HG15/10+calc!FV$1),1)</f>
        <v>5.9</v>
      </c>
      <c r="FW15" s="4">
        <f>ROUND((csv!$HG15/10+calc!FW$1),1)</f>
        <v>6</v>
      </c>
      <c r="FX15" s="4">
        <f>ROUND((csv!$HG15/10+calc!FX$1),1)</f>
        <v>6.1</v>
      </c>
      <c r="FY15" s="4">
        <f>ROUND((csv!$HG15/10+calc!FY$1),1)</f>
        <v>6.2</v>
      </c>
      <c r="FZ15" s="4">
        <f>ROUND((csv!$HG15/10+calc!FZ$1),1)</f>
        <v>6.3</v>
      </c>
      <c r="GA15" s="4">
        <f>ROUND((csv!$HG15/10+calc!GA$1),1)</f>
        <v>6.4</v>
      </c>
      <c r="GB15" s="4">
        <f>ROUND((csv!$HG15/10+calc!GB$1),1)</f>
        <v>6.5</v>
      </c>
      <c r="GC15" s="4">
        <f>ROUND((csv!$HG15/10+calc!GC$1),1)</f>
        <v>6.6</v>
      </c>
      <c r="GD15" s="4">
        <f>ROUND((csv!$HG15/10+calc!GD$1),1)</f>
        <v>6.7</v>
      </c>
      <c r="GE15" s="4">
        <f>ROUND((csv!$HG15/10+calc!GE$1),1)</f>
        <v>6.8</v>
      </c>
      <c r="GF15" s="4">
        <f>ROUND((csv!$HG15/10+calc!GF$1),1)</f>
        <v>6.9</v>
      </c>
      <c r="GG15" s="4">
        <f>ROUND((csv!$HG15/10+calc!GG$1),1)</f>
        <v>7</v>
      </c>
      <c r="GH15" s="4">
        <f>ROUND((csv!$HG15/10+calc!GH$1),1)</f>
        <v>7.1</v>
      </c>
      <c r="GI15" s="4">
        <f>ROUND((csv!$HG15/10+calc!GI$1),1)</f>
        <v>7.2</v>
      </c>
      <c r="GJ15" s="4">
        <f>ROUND((csv!$HG15/10+calc!GJ$1),1)</f>
        <v>7.3</v>
      </c>
      <c r="GK15" s="4">
        <f>ROUND((csv!$HG15/10+calc!GK$1),1)</f>
        <v>7.4</v>
      </c>
      <c r="GL15" s="4">
        <f>ROUND((csv!$HG15/10+calc!GL$1),1)</f>
        <v>7.5</v>
      </c>
      <c r="GM15" s="4">
        <f>ROUND((csv!$HG15/10+calc!GM$1),1)</f>
        <v>7.6</v>
      </c>
      <c r="GN15" s="4">
        <f>ROUND((csv!$HG15/10+calc!GN$1),1)</f>
        <v>7.7</v>
      </c>
      <c r="GO15" s="4">
        <f>ROUND((csv!$HG15/10+calc!GO$1),1)</f>
        <v>7.8</v>
      </c>
      <c r="GP15" s="4">
        <f>ROUND((csv!$HG15/10+calc!GP$1),1)</f>
        <v>7.9</v>
      </c>
      <c r="GQ15" s="4">
        <f>ROUND((csv!$HG15/10+calc!GQ$1),1)</f>
        <v>8</v>
      </c>
      <c r="GR15" s="4">
        <f>ROUND((csv!$HG15/10+calc!GR$1),1)</f>
        <v>8.1</v>
      </c>
      <c r="GS15" s="4">
        <f>ROUND((csv!$HG15/10+calc!GS$1),1)</f>
        <v>8.1999999999999993</v>
      </c>
      <c r="GT15" s="4">
        <f>ROUND((csv!$HG15/10+calc!GT$1),1)</f>
        <v>8.3000000000000007</v>
      </c>
      <c r="GU15" s="4">
        <f>ROUND((csv!$HG15/10+calc!GU$1),1)</f>
        <v>8.4</v>
      </c>
      <c r="GV15" s="4">
        <f>ROUND((csv!$HG15/10+calc!GV$1),1)</f>
        <v>8.5</v>
      </c>
      <c r="GW15" s="4">
        <f>ROUND((csv!$HG15/10+calc!GW$1),1)</f>
        <v>8.6</v>
      </c>
      <c r="GX15" s="4">
        <f>ROUND((csv!$HG15/10+calc!GX$1),1)</f>
        <v>8.6999999999999993</v>
      </c>
      <c r="GY15" s="4">
        <f>ROUND((csv!$HG15/10+calc!GY$1),1)</f>
        <v>8.8000000000000007</v>
      </c>
      <c r="GZ15" s="4">
        <f>ROUND((csv!$HG15/10+calc!GZ$1),1)</f>
        <v>8.9</v>
      </c>
      <c r="HA15" s="4">
        <f>ROUND((csv!$HG15/10+calc!HA$1),1)</f>
        <v>9</v>
      </c>
      <c r="HB15" s="4">
        <f>ROUND((csv!$HG15/10+calc!HB$1),1)</f>
        <v>9.1</v>
      </c>
      <c r="HC15" s="4">
        <f>ROUND((csv!$HG15/10+calc!HC$1),1)</f>
        <v>9.1999999999999993</v>
      </c>
      <c r="HD15" s="4">
        <f>ROUND((csv!$HG15/10+calc!HD$1),1)</f>
        <v>9.3000000000000007</v>
      </c>
      <c r="HE15" s="4">
        <f>ROUND((csv!$HG15/10+calc!HE$1),1)</f>
        <v>9.4</v>
      </c>
      <c r="HF15" s="4">
        <f>ROUND((csv!$HG15/10+calc!HF$1),1)</f>
        <v>9.5</v>
      </c>
      <c r="HG15" s="4">
        <f>ROUND((csv!$HG15/10+calc!HG$1),1)</f>
        <v>9.6</v>
      </c>
      <c r="HH15" s="4">
        <f>ROUND((csv!$HG15/10+calc!HH$1),1)</f>
        <v>9.6999999999999993</v>
      </c>
      <c r="HI15" s="4">
        <f>ROUND((csv!$HG15/10+calc!HI$1),1)</f>
        <v>9.8000000000000007</v>
      </c>
      <c r="HJ15" s="4">
        <f>ROUND((csv!$HG15/10+calc!HJ$1),1)</f>
        <v>9.9</v>
      </c>
      <c r="HK15" s="4">
        <f>ROUND((csv!$HG15/10+calc!HK$1),1)</f>
        <v>10</v>
      </c>
      <c r="HM15" s="2">
        <f>csv!A15*10000+csv!B15*100+csv!C15</f>
        <v>0</v>
      </c>
      <c r="HN15" s="5">
        <f>IF(ISERROR(LOOKUP(HN$1,$S15:$HK15,csv!$L15:$HD15)),NA(),LOOKUP(HN$1,$S15:$HK15,csv!$L15:$HD15))</f>
        <v>0</v>
      </c>
      <c r="HO15" s="5">
        <f>IF(ISERROR(LOOKUP(HO$1,$S15:$HK15,csv!$L15:$HD15)),NA(),LOOKUP(HO$1,$S15:$HK15,csv!$L15:$HD15))</f>
        <v>0</v>
      </c>
      <c r="HP15" s="5">
        <f>IF(ISERROR(LOOKUP(HP$1,$S15:$HK15,csv!$L15:$HD15)),NA(),LOOKUP(HP$1,$S15:$HK15,csv!$L15:$HD15))</f>
        <v>0</v>
      </c>
      <c r="HQ15" s="5">
        <f>IF(ISERROR(LOOKUP(HQ$1,$S15:$HK15,csv!$L15:$HD15)),NA(),LOOKUP(HQ$1,$S15:$HK15,csv!$L15:$HD15))</f>
        <v>0</v>
      </c>
      <c r="HR15" s="5">
        <f>IF(ISERROR(LOOKUP(HR$1,$S15:$HK15,csv!$L15:$HD15)),NA(),LOOKUP(HR$1,$S15:$HK15,csv!$L15:$HD15))</f>
        <v>0</v>
      </c>
      <c r="HS15" s="5">
        <f>IF(ISERROR(LOOKUP(HS$1,$S15:$HK15,csv!$L15:$HD15)),NA(),LOOKUP(HS$1,$S15:$HK15,csv!$L15:$HD15))</f>
        <v>0</v>
      </c>
      <c r="HT15" s="5">
        <f>IF(ISERROR(LOOKUP(HT$1,$S15:$HK15,csv!$L15:$HD15)),NA(),LOOKUP(HT$1,$S15:$HK15,csv!$L15:$HD15))</f>
        <v>0</v>
      </c>
      <c r="HU15" s="5">
        <f>IF(ISERROR(LOOKUP(HU$1,$S15:$HK15,csv!$L15:$HD15)),NA(),LOOKUP(HU$1,$S15:$HK15,csv!$L15:$HD15))</f>
        <v>0</v>
      </c>
      <c r="HV15" s="5">
        <f>IF(ISERROR(LOOKUP(HV$1,$S15:$HK15,csv!$L15:$HD15)),NA(),LOOKUP(HV$1,$S15:$HK15,csv!$L15:$HD15))</f>
        <v>0</v>
      </c>
      <c r="HW15" s="5">
        <f>IF(ISERROR(LOOKUP(HW$1,$S15:$HK15,csv!$L15:$HD15)),NA(),LOOKUP(HW$1,$S15:$HK15,csv!$L15:$HD15))</f>
        <v>0</v>
      </c>
      <c r="HX15" s="5">
        <f>IF(ISERROR(LOOKUP(HX$1,$S15:$HK15,csv!$L15:$HD15)),NA(),LOOKUP(HX$1,$S15:$HK15,csv!$L15:$HD15))</f>
        <v>0</v>
      </c>
      <c r="HY15" s="5">
        <f>IF(ISERROR(LOOKUP(HY$1,$S15:$HK15,csv!$L15:$HD15)),NA(),LOOKUP(HY$1,$S15:$HK15,csv!$L15:$HD15))</f>
        <v>0</v>
      </c>
      <c r="HZ15" s="5">
        <f>IF(ISERROR(LOOKUP(HZ$1,$S15:$HK15,csv!$L15:$HD15)),NA(),LOOKUP(HZ$1,$S15:$HK15,csv!$L15:$HD15))</f>
        <v>0</v>
      </c>
      <c r="IA15" s="5">
        <f>IF(ISERROR(LOOKUP(IA$1,$S15:$HK15,csv!$L15:$HD15)),NA(),LOOKUP(IA$1,$S15:$HK15,csv!$L15:$HD15))</f>
        <v>0</v>
      </c>
      <c r="IB15" s="5">
        <f>IF(ISERROR(LOOKUP(IB$1,$S15:$HK15,csv!$L15:$HD15)),NA(),LOOKUP(IB$1,$S15:$HK15,csv!$L15:$HD15))</f>
        <v>0</v>
      </c>
      <c r="IC15" s="5">
        <f>IF(ISERROR(LOOKUP(IC$1,$S15:$HK15,csv!$L15:$HD15)),NA(),LOOKUP(IC$1,$S15:$HK15,csv!$L15:$HD15))</f>
        <v>0</v>
      </c>
      <c r="ID15" s="5">
        <f>IF(ISERROR(LOOKUP(ID$1,$S15:$HK15,csv!$L15:$HD15)),NA(),LOOKUP(ID$1,$S15:$HK15,csv!$L15:$HD15))</f>
        <v>0</v>
      </c>
      <c r="IE15" s="5">
        <f>IF(ISERROR(LOOKUP(IE$1,$S15:$HK15,csv!$L15:$HD15)),NA(),LOOKUP(IE$1,$S15:$HK15,csv!$L15:$HD15))</f>
        <v>0</v>
      </c>
      <c r="IF15" s="5">
        <f>IF(ISERROR(LOOKUP(IF$1,$S15:$HK15,csv!$L15:$HD15)),NA(),LOOKUP(IF$1,$S15:$HK15,csv!$L15:$HD15))</f>
        <v>0</v>
      </c>
      <c r="IG15" s="5">
        <f>IF(ISERROR(LOOKUP(IG$1,$S15:$HK15,csv!$L15:$HD15)),NA(),LOOKUP(IG$1,$S15:$HK15,csv!$L15:$HD15))</f>
        <v>0</v>
      </c>
      <c r="IH15" s="5">
        <f>IF(ISERROR(LOOKUP(IH$1,$S15:$HK15,csv!$L15:$HD15)),NA(),LOOKUP(IH$1,$S15:$HK15,csv!$L15:$HD15))</f>
        <v>0</v>
      </c>
      <c r="II15" s="5">
        <f>IF(ISERROR(LOOKUP(II$1,$S15:$HK15,csv!$L15:$HD15)),NA(),LOOKUP(II$1,$S15:$HK15,csv!$L15:$HD15))</f>
        <v>0</v>
      </c>
      <c r="IJ15" s="5">
        <f>IF(ISERROR(LOOKUP(IJ$1,$S15:$HK15,csv!$L15:$HD15)),NA(),LOOKUP(IJ$1,$S15:$HK15,csv!$L15:$HD15))</f>
        <v>0</v>
      </c>
      <c r="IK15" s="5">
        <f>IF(ISERROR(LOOKUP(IK$1,$S15:$HK15,csv!$L15:$HD15)),NA(),LOOKUP(IK$1,$S15:$HK15,csv!$L15:$HD15))</f>
        <v>0</v>
      </c>
      <c r="IL15" s="5">
        <f>IF(ISERROR(LOOKUP(IL$1,$S15:$HK15,csv!$L15:$HD15)),NA(),LOOKUP(IL$1,$S15:$HK15,csv!$L15:$HD15))</f>
        <v>0</v>
      </c>
      <c r="IM15" s="5">
        <f>IF(ISERROR(LOOKUP(IM$1,$S15:$HK15,csv!$L15:$HD15)),NA(),LOOKUP(IM$1,$S15:$HK15,csv!$L15:$HD15))</f>
        <v>0</v>
      </c>
      <c r="IN15" s="5">
        <f>IF(ISERROR(LOOKUP(IN$1,$S15:$HK15,csv!$L15:$HD15)),NA(),LOOKUP(IN$1,$S15:$HK15,csv!$L15:$HD15))</f>
        <v>0</v>
      </c>
      <c r="IO15" s="5">
        <f>IF(ISERROR(LOOKUP(IO$1,$S15:$HK15,csv!$L15:$HD15)),NA(),LOOKUP(IO$1,$S15:$HK15,csv!$L15:$HD15))</f>
        <v>0</v>
      </c>
      <c r="IP15" s="5">
        <f>IF(ISERROR(LOOKUP(IP$1,$S15:$HK15,csv!$L15:$HD15)),NA(),LOOKUP(IP$1,$S15:$HK15,csv!$L15:$HD15))</f>
        <v>0</v>
      </c>
      <c r="IQ15" s="5">
        <f>IF(ISERROR(LOOKUP(IQ$1,$S15:$HK15,csv!$L15:$HD15)),NA(),LOOKUP(IQ$1,$S15:$HK15,csv!$L15:$HD15))</f>
        <v>0</v>
      </c>
      <c r="IR15" s="5">
        <f>IF(ISERROR(LOOKUP(IR$1,$S15:$HK15,csv!$L15:$HD15)),NA(),LOOKUP(IR$1,$S15:$HK15,csv!$L15:$HD15))</f>
        <v>0</v>
      </c>
      <c r="IS15" s="5">
        <f>IF(ISERROR(LOOKUP(IS$1,$S15:$HK15,csv!$L15:$HD15)),NA(),LOOKUP(IS$1,$S15:$HK15,csv!$L15:$HD15))</f>
        <v>0</v>
      </c>
      <c r="IT15" s="5">
        <f>IF(ISERROR(LOOKUP(IT$1,$S15:$HK15,csv!$L15:$HD15)),NA(),LOOKUP(IT$1,$S15:$HK15,csv!$L15:$HD15))</f>
        <v>0</v>
      </c>
      <c r="IU15" s="5">
        <f>IF(ISERROR(LOOKUP(IU$1,$S15:$HK15,csv!$L15:$HD15)),NA(),LOOKUP(IU$1,$S15:$HK15,csv!$L15:$HD15))</f>
        <v>0</v>
      </c>
      <c r="IV15" s="5">
        <f>IF(ISERROR(LOOKUP(IV$1,$S15:$HK15,csv!$L15:$HD15)),NA(),LOOKUP(IV$1,$S15:$HK15,csv!$L15:$HD15))</f>
        <v>0</v>
      </c>
      <c r="IW15" s="5">
        <f>IF(ISERROR(LOOKUP(IW$1,$S15:$HK15,csv!$L15:$HD15)),NA(),LOOKUP(IW$1,$S15:$HK15,csv!$L15:$HD15))</f>
        <v>0</v>
      </c>
      <c r="IX15" s="5">
        <f>IF(ISERROR(LOOKUP(IX$1,$S15:$HK15,csv!$L15:$HD15)),NA(),LOOKUP(IX$1,$S15:$HK15,csv!$L15:$HD15))</f>
        <v>0</v>
      </c>
      <c r="IY15" s="5">
        <f>IF(ISERROR(LOOKUP(IY$1,$S15:$HK15,csv!$L15:$HD15)),NA(),LOOKUP(IY$1,$S15:$HK15,csv!$L15:$HD15))</f>
        <v>0</v>
      </c>
      <c r="IZ15" s="5">
        <f>IF(ISERROR(LOOKUP(IZ$1,$S15:$HK15,csv!$L15:$HD15)),NA(),LOOKUP(IZ$1,$S15:$HK15,csv!$L15:$HD15))</f>
        <v>0</v>
      </c>
      <c r="JA15" s="5">
        <f>IF(ISERROR(LOOKUP(JA$1,$S15:$HK15,csv!$L15:$HD15)),NA(),LOOKUP(JA$1,$S15:$HK15,csv!$L15:$HD15))</f>
        <v>0</v>
      </c>
      <c r="JB15" s="5">
        <f>IF(ISERROR(LOOKUP(JB$1,$S15:$HK15,csv!$L15:$HD15)),NA(),LOOKUP(JB$1,$S15:$HK15,csv!$L15:$HD15))</f>
        <v>0</v>
      </c>
      <c r="JC15" s="5">
        <f>IF(ISERROR(LOOKUP(JC$1,$S15:$HK15,csv!$L15:$HD15)),NA(),LOOKUP(JC$1,$S15:$HK15,csv!$L15:$HD15))</f>
        <v>0</v>
      </c>
      <c r="JD15" s="5">
        <f>IF(ISERROR(LOOKUP(JD$1,$S15:$HK15,csv!$L15:$HD15)),NA(),LOOKUP(JD$1,$S15:$HK15,csv!$L15:$HD15))</f>
        <v>0</v>
      </c>
      <c r="JE15" s="5">
        <f>IF(ISERROR(LOOKUP(JE$1,$S15:$HK15,csv!$L15:$HD15)),NA(),LOOKUP(JE$1,$S15:$HK15,csv!$L15:$HD15))</f>
        <v>0</v>
      </c>
      <c r="JF15" s="5">
        <f>IF(ISERROR(LOOKUP(JF$1,$S15:$HK15,csv!$L15:$HD15)),NA(),LOOKUP(JF$1,$S15:$HK15,csv!$L15:$HD15))</f>
        <v>0</v>
      </c>
      <c r="JG15" s="5">
        <f>IF(ISERROR(LOOKUP(JG$1,$S15:$HK15,csv!$L15:$HD15)),NA(),LOOKUP(JG$1,$S15:$HK15,csv!$L15:$HD15))</f>
        <v>0</v>
      </c>
      <c r="JH15" s="5">
        <f>IF(ISERROR(LOOKUP(JH$1,$S15:$HK15,csv!$L15:$HD15)),NA(),LOOKUP(JH$1,$S15:$HK15,csv!$L15:$HD15))</f>
        <v>0</v>
      </c>
      <c r="JI15" s="5">
        <f>IF(ISERROR(LOOKUP(JI$1,$S15:$HK15,csv!$L15:$HD15)),NA(),LOOKUP(JI$1,$S15:$HK15,csv!$L15:$HD15))</f>
        <v>0</v>
      </c>
      <c r="JJ15" s="5">
        <f>IF(ISERROR(LOOKUP(JJ$1,$S15:$HK15,csv!$L15:$HD15)),NA(),LOOKUP(JJ$1,$S15:$HK15,csv!$L15:$HD15))</f>
        <v>0</v>
      </c>
      <c r="JK15" s="5">
        <f>IF(ISERROR(LOOKUP(JK$1,$S15:$HK15,csv!$L15:$HD15)),NA(),LOOKUP(JK$1,$S15:$HK15,csv!$L15:$HD15))</f>
        <v>0</v>
      </c>
      <c r="JL15" s="5">
        <f>IF(ISERROR(LOOKUP(JL$1,$S15:$HK15,csv!$L15:$HD15)),NA(),LOOKUP(JL$1,$S15:$HK15,csv!$L15:$HD15))</f>
        <v>0</v>
      </c>
      <c r="JM15" s="5">
        <f>IF(ISERROR(LOOKUP(JM$1,$S15:$HK15,csv!$L15:$HD15)),NA(),LOOKUP(JM$1,$S15:$HK15,csv!$L15:$HD15))</f>
        <v>0</v>
      </c>
      <c r="JN15" s="5">
        <f>IF(ISERROR(LOOKUP(JN$1,$S15:$HK15,csv!$L15:$HD15)),NA(),LOOKUP(JN$1,$S15:$HK15,csv!$L15:$HD15))</f>
        <v>0</v>
      </c>
      <c r="JO15" s="5">
        <f>IF(ISERROR(LOOKUP(JO$1,$S15:$HK15,csv!$L15:$HD15)),NA(),LOOKUP(JO$1,$S15:$HK15,csv!$L15:$HD15))</f>
        <v>0</v>
      </c>
      <c r="JP15" s="5">
        <f>IF(ISERROR(LOOKUP(JP$1,$S15:$HK15,csv!$L15:$HD15)),NA(),LOOKUP(JP$1,$S15:$HK15,csv!$L15:$HD15))</f>
        <v>0</v>
      </c>
      <c r="JQ15" s="5">
        <f>IF(ISERROR(LOOKUP(JQ$1,$S15:$HK15,csv!$L15:$HD15)),NA(),LOOKUP(JQ$1,$S15:$HK15,csv!$L15:$HD15))</f>
        <v>0</v>
      </c>
      <c r="JR15" s="5">
        <f>IF(ISERROR(LOOKUP(JR$1,$S15:$HK15,csv!$L15:$HD15)),NA(),LOOKUP(JR$1,$S15:$HK15,csv!$L15:$HD15))</f>
        <v>0</v>
      </c>
      <c r="JS15" s="5">
        <f>IF(ISERROR(LOOKUP(JS$1,$S15:$HK15,csv!$L15:$HD15)),NA(),LOOKUP(JS$1,$S15:$HK15,csv!$L15:$HD15))</f>
        <v>0</v>
      </c>
      <c r="JT15" s="5">
        <f>IF(ISERROR(LOOKUP(JT$1,$S15:$HK15,csv!$L15:$HD15)),NA(),LOOKUP(JT$1,$S15:$HK15,csv!$L15:$HD15))</f>
        <v>0</v>
      </c>
      <c r="JU15" s="5">
        <f>IF(ISERROR(LOOKUP(JU$1,$S15:$HK15,csv!$L15:$HD15)),NA(),LOOKUP(JU$1,$S15:$HK15,csv!$L15:$HD15))</f>
        <v>0</v>
      </c>
      <c r="JV15" s="5">
        <f>IF(ISERROR(LOOKUP(JV$1,$S15:$HK15,csv!$L15:$HD15)),NA(),LOOKUP(JV$1,$S15:$HK15,csv!$L15:$HD15))</f>
        <v>0</v>
      </c>
      <c r="JW15" s="5">
        <f>IF(ISERROR(LOOKUP(JW$1,$S15:$HK15,csv!$L15:$HD15)),NA(),LOOKUP(JW$1,$S15:$HK15,csv!$L15:$HD15))</f>
        <v>0</v>
      </c>
      <c r="JX15" s="5">
        <f>IF(ISERROR(LOOKUP(JX$1,$S15:$HK15,csv!$L15:$HD15)),NA(),LOOKUP(JX$1,$S15:$HK15,csv!$L15:$HD15))</f>
        <v>0</v>
      </c>
      <c r="JY15" s="5">
        <f>IF(ISERROR(LOOKUP(JY$1,$S15:$HK15,csv!$L15:$HD15)),NA(),LOOKUP(JY$1,$S15:$HK15,csv!$L15:$HD15))</f>
        <v>0</v>
      </c>
      <c r="JZ15" s="5">
        <f>IF(ISERROR(LOOKUP(JZ$1,$S15:$HK15,csv!$L15:$HD15)),NA(),LOOKUP(JZ$1,$S15:$HK15,csv!$L15:$HD15))</f>
        <v>0</v>
      </c>
      <c r="KA15" s="5">
        <f>IF(ISERROR(LOOKUP(KA$1,$S15:$HK15,csv!$L15:$HD15)),NA(),LOOKUP(KA$1,$S15:$HK15,csv!$L15:$HD15))</f>
        <v>0</v>
      </c>
      <c r="KB15" s="5">
        <f>IF(ISERROR(LOOKUP(KB$1,$S15:$HK15,csv!$L15:$HD15)),NA(),LOOKUP(KB$1,$S15:$HK15,csv!$L15:$HD15))</f>
        <v>0</v>
      </c>
      <c r="KC15" s="5">
        <f>IF(ISERROR(LOOKUP(KC$1,$S15:$HK15,csv!$L15:$HD15)),NA(),LOOKUP(KC$1,$S15:$HK15,csv!$L15:$HD15))</f>
        <v>0</v>
      </c>
      <c r="KD15" s="5">
        <f>IF(ISERROR(LOOKUP(KD$1,$S15:$HK15,csv!$L15:$HD15)),NA(),LOOKUP(KD$1,$S15:$HK15,csv!$L15:$HD15))</f>
        <v>0</v>
      </c>
      <c r="KE15" s="5">
        <f>IF(ISERROR(LOOKUP(KE$1,$S15:$HK15,csv!$L15:$HD15)),NA(),LOOKUP(KE$1,$S15:$HK15,csv!$L15:$HD15))</f>
        <v>0</v>
      </c>
      <c r="KF15" s="5">
        <f>IF(ISERROR(LOOKUP(KF$1,$S15:$HK15,csv!$L15:$HD15)),NA(),LOOKUP(KF$1,$S15:$HK15,csv!$L15:$HD15))</f>
        <v>0</v>
      </c>
      <c r="KG15" s="5">
        <f>IF(ISERROR(LOOKUP(KG$1,$S15:$HK15,csv!$L15:$HD15)),NA(),LOOKUP(KG$1,$S15:$HK15,csv!$L15:$HD15))</f>
        <v>0</v>
      </c>
      <c r="KH15" s="5">
        <f>IF(ISERROR(LOOKUP(KH$1,$S15:$HK15,csv!$L15:$HD15)),NA(),LOOKUP(KH$1,$S15:$HK15,csv!$L15:$HD15))</f>
        <v>0</v>
      </c>
      <c r="KI15" s="5">
        <f>IF(ISERROR(LOOKUP(KI$1,$S15:$HK15,csv!$L15:$HD15)),NA(),LOOKUP(KI$1,$S15:$HK15,csv!$L15:$HD15))</f>
        <v>0</v>
      </c>
      <c r="KJ15" s="5">
        <f>IF(ISERROR(LOOKUP(KJ$1,$S15:$HK15,csv!$L15:$HD15)),NA(),LOOKUP(KJ$1,$S15:$HK15,csv!$L15:$HD15))</f>
        <v>0</v>
      </c>
      <c r="KK15" s="5">
        <f>IF(ISERROR(LOOKUP(KK$1,$S15:$HK15,csv!$L15:$HD15)),NA(),LOOKUP(KK$1,$S15:$HK15,csv!$L15:$HD15))</f>
        <v>0</v>
      </c>
      <c r="KL15" s="5">
        <f>IF(ISERROR(LOOKUP(KL$1,$S15:$HK15,csv!$L15:$HD15)),NA(),LOOKUP(KL$1,$S15:$HK15,csv!$L15:$HD15))</f>
        <v>0</v>
      </c>
      <c r="KM15" s="5">
        <f>IF(ISERROR(LOOKUP(KM$1,$S15:$HK15,csv!$L15:$HD15)),NA(),LOOKUP(KM$1,$S15:$HK15,csv!$L15:$HD15))</f>
        <v>0</v>
      </c>
      <c r="KN15" s="5">
        <f>IF(ISERROR(LOOKUP(KN$1,$S15:$HK15,csv!$L15:$HD15)),NA(),LOOKUP(KN$1,$S15:$HK15,csv!$L15:$HD15))</f>
        <v>0</v>
      </c>
      <c r="KO15" s="5">
        <f>IF(ISERROR(LOOKUP(KO$1,$S15:$HK15,csv!$L15:$HD15)),NA(),LOOKUP(KO$1,$S15:$HK15,csv!$L15:$HD15))</f>
        <v>0</v>
      </c>
      <c r="KP15" s="5">
        <f>IF(ISERROR(LOOKUP(KP$1,$S15:$HK15,csv!$L15:$HD15)),NA(),LOOKUP(KP$1,$S15:$HK15,csv!$L15:$HD15))</f>
        <v>0</v>
      </c>
      <c r="KQ15" s="5">
        <f>IF(ISERROR(LOOKUP(KQ$1,$S15:$HK15,csv!$L15:$HD15)),NA(),LOOKUP(KQ$1,$S15:$HK15,csv!$L15:$HD15))</f>
        <v>0</v>
      </c>
      <c r="KR15" s="5">
        <f>IF(ISERROR(LOOKUP(KR$1,$S15:$HK15,csv!$L15:$HD15)),NA(),LOOKUP(KR$1,$S15:$HK15,csv!$L15:$HD15))</f>
        <v>0</v>
      </c>
      <c r="KS15" s="5">
        <f>IF(ISERROR(LOOKUP(KS$1,$S15:$HK15,csv!$L15:$HD15)),NA(),LOOKUP(KS$1,$S15:$HK15,csv!$L15:$HD15))</f>
        <v>0</v>
      </c>
      <c r="KT15" s="5">
        <f>IF(ISERROR(LOOKUP(KT$1,$S15:$HK15,csv!$L15:$HD15)),NA(),LOOKUP(KT$1,$S15:$HK15,csv!$L15:$HD15))</f>
        <v>0</v>
      </c>
      <c r="KU15" s="5">
        <f>IF(ISERROR(LOOKUP(KU$1,$S15:$HK15,csv!$L15:$HD15)),NA(),LOOKUP(KU$1,$S15:$HK15,csv!$L15:$HD15))</f>
        <v>0</v>
      </c>
      <c r="KV15" s="5">
        <f>IF(ISERROR(LOOKUP(KV$1,$S15:$HK15,csv!$L15:$HD15)),NA(),LOOKUP(KV$1,$S15:$HK15,csv!$L15:$HD15))</f>
        <v>0</v>
      </c>
      <c r="KW15" s="5">
        <f>IF(ISERROR(LOOKUP(KW$1,$S15:$HK15,csv!$L15:$HD15)),NA(),LOOKUP(KW$1,$S15:$HK15,csv!$L15:$HD15))</f>
        <v>0</v>
      </c>
      <c r="KX15" s="5">
        <f>IF(ISERROR(LOOKUP(KX$1,$S15:$HK15,csv!$L15:$HD15)),NA(),LOOKUP(KX$1,$S15:$HK15,csv!$L15:$HD15))</f>
        <v>0</v>
      </c>
      <c r="KY15" s="5">
        <f>IF(ISERROR(LOOKUP(KY$1,$S15:$HK15,csv!$L15:$HD15)),NA(),LOOKUP(KY$1,$S15:$HK15,csv!$L15:$HD15))</f>
        <v>0</v>
      </c>
      <c r="KZ15" s="5">
        <f>IF(ISERROR(LOOKUP(KZ$1,$S15:$HK15,csv!$L15:$HD15)),NA(),LOOKUP(KZ$1,$S15:$HK15,csv!$L15:$HD15))</f>
        <v>0</v>
      </c>
      <c r="LA15" s="5">
        <f>IF(ISERROR(LOOKUP(LA$1,$S15:$HK15,csv!$L15:$HD15)),NA(),LOOKUP(LA$1,$S15:$HK15,csv!$L15:$HD15))</f>
        <v>0</v>
      </c>
      <c r="LB15" s="5">
        <f>IF(ISERROR(LOOKUP(LB$1,$S15:$HK15,csv!$L15:$HD15)),NA(),LOOKUP(LB$1,$S15:$HK15,csv!$L15:$HD15))</f>
        <v>0</v>
      </c>
      <c r="LC15" s="5">
        <f>IF(ISERROR(LOOKUP(LC$1,$S15:$HK15,csv!$L15:$HD15)),NA(),LOOKUP(LC$1,$S15:$HK15,csv!$L15:$HD15))</f>
        <v>0</v>
      </c>
      <c r="LD15" s="5">
        <f>IF(ISERROR(LOOKUP(LD$1,$S15:$HK15,csv!$L15:$HD15)),NA(),LOOKUP(LD$1,$S15:$HK15,csv!$L15:$HD15))</f>
        <v>0</v>
      </c>
      <c r="LE15" s="5">
        <f>IF(ISERROR(LOOKUP(LE$1,$S15:$HK15,csv!$L15:$HD15)),NA(),LOOKUP(LE$1,$S15:$HK15,csv!$L15:$HD15))</f>
        <v>0</v>
      </c>
      <c r="LF15" s="5">
        <f>IF(ISERROR(LOOKUP(LF$1,$S15:$HK15,csv!$L15:$HD15)),NA(),LOOKUP(LF$1,$S15:$HK15,csv!$L15:$HD15))</f>
        <v>0</v>
      </c>
      <c r="LG15" s="5">
        <f>IF(ISERROR(LOOKUP(LG$1,$S15:$HK15,csv!$L15:$HD15)),NA(),LOOKUP(LG$1,$S15:$HK15,csv!$L15:$HD15))</f>
        <v>0</v>
      </c>
      <c r="LH15" s="5">
        <f>IF(ISERROR(LOOKUP(LH$1,$S15:$HK15,csv!$L15:$HD15)),NA(),LOOKUP(LH$1,$S15:$HK15,csv!$L15:$HD15))</f>
        <v>0</v>
      </c>
      <c r="LI15" s="5">
        <f>IF(ISERROR(LOOKUP(LI$1,$S15:$HK15,csv!$L15:$HD15)),NA(),LOOKUP(LI$1,$S15:$HK15,csv!$L15:$HD15))</f>
        <v>0</v>
      </c>
      <c r="LJ15" s="5">
        <f>IF(ISERROR(LOOKUP(LJ$1,$S15:$HK15,csv!$L15:$HD15)),NA(),LOOKUP(LJ$1,$S15:$HK15,csv!$L15:$HD15))</f>
        <v>0</v>
      </c>
      <c r="LK15" s="5">
        <f>IF(ISERROR(LOOKUP(LK$1,$S15:$HK15,csv!$L15:$HD15)),NA(),LOOKUP(LK$1,$S15:$HK15,csv!$L15:$HD15))</f>
        <v>0</v>
      </c>
      <c r="LL15" s="5">
        <f>IF(ISERROR(LOOKUP(LL$1,$S15:$HK15,csv!$L15:$HD15)),NA(),LOOKUP(LL$1,$S15:$HK15,csv!$L15:$HD15))</f>
        <v>0</v>
      </c>
      <c r="LM15" s="5">
        <f>IF(ISERROR(LOOKUP(LM$1,$S15:$HK15,csv!$L15:$HD15)),NA(),LOOKUP(LM$1,$S15:$HK15,csv!$L15:$HD15))</f>
        <v>0</v>
      </c>
      <c r="LN15" s="5">
        <f>IF(ISERROR(LOOKUP(LN$1,$S15:$HK15,csv!$L15:$HD15)),NA(),LOOKUP(LN$1,$S15:$HK15,csv!$L15:$HD15))</f>
        <v>0</v>
      </c>
      <c r="LO15" s="5">
        <f>IF(ISERROR(LOOKUP(LO$1,$S15:$HK15,csv!$L15:$HD15)),NA(),LOOKUP(LO$1,$S15:$HK15,csv!$L15:$HD15))</f>
        <v>0</v>
      </c>
      <c r="LP15" s="5">
        <f>IF(ISERROR(LOOKUP(LP$1,$S15:$HK15,csv!$L15:$HD15)),NA(),LOOKUP(LP$1,$S15:$HK15,csv!$L15:$HD15))</f>
        <v>0</v>
      </c>
      <c r="LQ15" s="5">
        <f>IF(ISERROR(LOOKUP(LQ$1,$S15:$HK15,csv!$L15:$HD15)),NA(),LOOKUP(LQ$1,$S15:$HK15,csv!$L15:$HD15))</f>
        <v>0</v>
      </c>
      <c r="LR15" s="5">
        <f>IF(ISERROR(LOOKUP(LR$1,$S15:$HK15,csv!$L15:$HD15)),NA(),LOOKUP(LR$1,$S15:$HK15,csv!$L15:$HD15))</f>
        <v>0</v>
      </c>
      <c r="LS15" s="5">
        <f>IF(ISERROR(LOOKUP(LS$1,$S15:$HK15,csv!$L15:$HD15)),NA(),LOOKUP(LS$1,$S15:$HK15,csv!$L15:$HD15))</f>
        <v>0</v>
      </c>
      <c r="LT15" s="5">
        <f>IF(ISERROR(LOOKUP(LT$1,$S15:$HK15,csv!$L15:$HD15)),NA(),LOOKUP(LT$1,$S15:$HK15,csv!$L15:$HD15))</f>
        <v>0</v>
      </c>
      <c r="LU15" s="5">
        <f>IF(ISERROR(LOOKUP(LU$1,$S15:$HK15,csv!$L15:$HD15)),NA(),LOOKUP(LU$1,$S15:$HK15,csv!$L15:$HD15))</f>
        <v>0</v>
      </c>
      <c r="LV15" s="5">
        <f>IF(ISERROR(LOOKUP(LV$1,$S15:$HK15,csv!$L15:$HD15)),NA(),LOOKUP(LV$1,$S15:$HK15,csv!$L15:$HD15))</f>
        <v>0</v>
      </c>
      <c r="LW15" s="5">
        <f>IF(ISERROR(LOOKUP(LW$1,$S15:$HK15,csv!$L15:$HD15)),NA(),LOOKUP(LW$1,$S15:$HK15,csv!$L15:$HD15))</f>
        <v>0</v>
      </c>
      <c r="LX15" s="5">
        <f>IF(ISERROR(LOOKUP(LX$1,$S15:$HK15,csv!$L15:$HD15)),NA(),LOOKUP(LX$1,$S15:$HK15,csv!$L15:$HD15))</f>
        <v>0</v>
      </c>
      <c r="LY15" s="5">
        <f>IF(ISERROR(LOOKUP(LY$1,$S15:$HK15,csv!$L15:$HD15)),NA(),LOOKUP(LY$1,$S15:$HK15,csv!$L15:$HD15))</f>
        <v>0</v>
      </c>
      <c r="LZ15" s="5">
        <f>IF(ISERROR(LOOKUP(LZ$1,$S15:$HK15,csv!$L15:$HD15)),NA(),LOOKUP(LZ$1,$S15:$HK15,csv!$L15:$HD15))</f>
        <v>0</v>
      </c>
      <c r="MA15" s="5">
        <f>IF(ISERROR(LOOKUP(MA$1,$S15:$HK15,csv!$L15:$HD15)),NA(),LOOKUP(MA$1,$S15:$HK15,csv!$L15:$HD15))</f>
        <v>0</v>
      </c>
      <c r="MB15" s="5">
        <f>IF(ISERROR(LOOKUP(MB$1,$S15:$HK15,csv!$L15:$HD15)),NA(),LOOKUP(MB$1,$S15:$HK15,csv!$L15:$HD15))</f>
        <v>0</v>
      </c>
      <c r="MC15" s="5">
        <f>IF(ISERROR(LOOKUP(MC$1,$S15:$HK15,csv!$L15:$HD15)),NA(),LOOKUP(MC$1,$S15:$HK15,csv!$L15:$HD15))</f>
        <v>0</v>
      </c>
      <c r="MD15" s="5">
        <f>IF(ISERROR(LOOKUP(MD$1,$S15:$HK15,csv!$L15:$HD15)),NA(),LOOKUP(MD$1,$S15:$HK15,csv!$L15:$HD15))</f>
        <v>0</v>
      </c>
      <c r="ME15" s="5">
        <f>IF(ISERROR(LOOKUP(ME$1,$S15:$HK15,csv!$L15:$HD15)),NA(),LOOKUP(ME$1,$S15:$HK15,csv!$L15:$HD15))</f>
        <v>0</v>
      </c>
      <c r="MF15" s="5">
        <f>IF(ISERROR(LOOKUP(MF$1,$S15:$HK15,csv!$L15:$HD15)),NA(),LOOKUP(MF$1,$S15:$HK15,csv!$L15:$HD15))</f>
        <v>0</v>
      </c>
      <c r="MG15" s="5">
        <f>IF(ISERROR(LOOKUP(MG$1,$S15:$HK15,csv!$L15:$HD15)),NA(),LOOKUP(MG$1,$S15:$HK15,csv!$L15:$HD15))</f>
        <v>0</v>
      </c>
      <c r="MH15" s="5">
        <f>IF(ISERROR(LOOKUP(MH$1,$S15:$HK15,csv!$L15:$HD15)),NA(),LOOKUP(MH$1,$S15:$HK15,csv!$L15:$HD15))</f>
        <v>0</v>
      </c>
      <c r="MI15" s="5">
        <f>IF(ISERROR(LOOKUP(MI$1,$S15:$HK15,csv!$L15:$HD15)),NA(),LOOKUP(MI$1,$S15:$HK15,csv!$L15:$HD15))</f>
        <v>0</v>
      </c>
      <c r="MJ15" s="5">
        <f>IF(ISERROR(LOOKUP(MJ$1,$S15:$HK15,csv!$L15:$HD15)),NA(),LOOKUP(MJ$1,$S15:$HK15,csv!$L15:$HD15))</f>
        <v>0</v>
      </c>
      <c r="MK15" s="5">
        <f>IF(ISERROR(LOOKUP(MK$1,$S15:$HK15,csv!$L15:$HD15)),NA(),LOOKUP(MK$1,$S15:$HK15,csv!$L15:$HD15))</f>
        <v>0</v>
      </c>
      <c r="ML15" s="5">
        <f>IF(ISERROR(LOOKUP(ML$1,$S15:$HK15,csv!$L15:$HD15)),NA(),LOOKUP(ML$1,$S15:$HK15,csv!$L15:$HD15))</f>
        <v>0</v>
      </c>
      <c r="MM15" s="5">
        <f>IF(ISERROR(LOOKUP(MM$1,$S15:$HK15,csv!$L15:$HD15)),NA(),LOOKUP(MM$1,$S15:$HK15,csv!$L15:$HD15))</f>
        <v>0</v>
      </c>
      <c r="MN15" s="5">
        <f>IF(ISERROR(LOOKUP(MN$1,$S15:$HK15,csv!$L15:$HD15)),NA(),LOOKUP(MN$1,$S15:$HK15,csv!$L15:$HD15))</f>
        <v>0</v>
      </c>
      <c r="MO15" s="5">
        <f>IF(ISERROR(LOOKUP(MO$1,$S15:$HK15,csv!$L15:$HD15)),NA(),LOOKUP(MO$1,$S15:$HK15,csv!$L15:$HD15))</f>
        <v>0</v>
      </c>
      <c r="MP15" s="5">
        <f>IF(ISERROR(LOOKUP(MP$1,$S15:$HK15,csv!$L15:$HD15)),NA(),LOOKUP(MP$1,$S15:$HK15,csv!$L15:$HD15))</f>
        <v>0</v>
      </c>
      <c r="MQ15" s="5">
        <f>IF(ISERROR(LOOKUP(MQ$1,$S15:$HK15,csv!$L15:$HD15)),NA(),LOOKUP(MQ$1,$S15:$HK15,csv!$L15:$HD15))</f>
        <v>0</v>
      </c>
      <c r="MR15" s="5">
        <f>IF(ISERROR(LOOKUP(MR$1,$S15:$HK15,csv!$L15:$HD15)),NA(),LOOKUP(MR$1,$S15:$HK15,csv!$L15:$HD15))</f>
        <v>0</v>
      </c>
      <c r="MS15" s="5">
        <f>IF(ISERROR(LOOKUP(MS$1,$S15:$HK15,csv!$L15:$HD15)),NA(),LOOKUP(MS$1,$S15:$HK15,csv!$L15:$HD15))</f>
        <v>0</v>
      </c>
      <c r="MT15" s="5">
        <f>IF(ISERROR(LOOKUP(MT$1,$S15:$HK15,csv!$L15:$HD15)),NA(),LOOKUP(MT$1,$S15:$HK15,csv!$L15:$HD15))</f>
        <v>0</v>
      </c>
      <c r="MU15" s="5">
        <f>IF(ISERROR(LOOKUP(MU$1,$S15:$HK15,csv!$L15:$HD15)),NA(),LOOKUP(MU$1,$S15:$HK15,csv!$L15:$HD15))</f>
        <v>0</v>
      </c>
      <c r="MV15" s="5">
        <f>IF(ISERROR(LOOKUP(MV$1,$S15:$HK15,csv!$L15:$HD15)),NA(),LOOKUP(MV$1,$S15:$HK15,csv!$L15:$HD15))</f>
        <v>0</v>
      </c>
      <c r="MW15" s="5">
        <f>IF(ISERROR(LOOKUP(MW$1,$S15:$HK15,csv!$L15:$HD15)),NA(),LOOKUP(MW$1,$S15:$HK15,csv!$L15:$HD15))</f>
        <v>0</v>
      </c>
      <c r="MX15" s="5">
        <f>IF(ISERROR(LOOKUP(MX$1,$S15:$HK15,csv!$L15:$HD15)),NA(),LOOKUP(MX$1,$S15:$HK15,csv!$L15:$HD15))</f>
        <v>0</v>
      </c>
      <c r="MY15" s="5">
        <f>IF(ISERROR(LOOKUP(MY$1,$S15:$HK15,csv!$L15:$HD15)),NA(),LOOKUP(MY$1,$S15:$HK15,csv!$L15:$HD15))</f>
        <v>0</v>
      </c>
      <c r="MZ15" s="5">
        <f>IF(ISERROR(LOOKUP(MZ$1,$S15:$HK15,csv!$L15:$HD15)),NA(),LOOKUP(MZ$1,$S15:$HK15,csv!$L15:$HD15))</f>
        <v>0</v>
      </c>
      <c r="NA15" s="5">
        <f>IF(ISERROR(LOOKUP(NA$1,$S15:$HK15,csv!$L15:$HD15)),NA(),LOOKUP(NA$1,$S15:$HK15,csv!$L15:$HD15))</f>
        <v>0</v>
      </c>
      <c r="NB15" s="5">
        <f>IF(ISERROR(LOOKUP(NB$1,$S15:$HK15,csv!$L15:$HD15)),NA(),LOOKUP(NB$1,$S15:$HK15,csv!$L15:$HD15))</f>
        <v>0</v>
      </c>
      <c r="NC15" s="5">
        <f>IF(ISERROR(LOOKUP(NC$1,$S15:$HK15,csv!$L15:$HD15)),NA(),LOOKUP(NC$1,$S15:$HK15,csv!$L15:$HD15))</f>
        <v>0</v>
      </c>
      <c r="ND15" s="5">
        <f>IF(ISERROR(LOOKUP(ND$1,$S15:$HK15,csv!$L15:$HD15)),NA(),LOOKUP(ND$1,$S15:$HK15,csv!$L15:$HD15))</f>
        <v>0</v>
      </c>
      <c r="NE15" s="5">
        <f>IF(ISERROR(LOOKUP(NE$1,$S15:$HK15,csv!$L15:$HD15)),NA(),LOOKUP(NE$1,$S15:$HK15,csv!$L15:$HD15))</f>
        <v>0</v>
      </c>
      <c r="NF15" s="5">
        <f>IF(ISERROR(LOOKUP(NF$1,$S15:$HK15,csv!$L15:$HD15)),NA(),LOOKUP(NF$1,$S15:$HK15,csv!$L15:$HD15))</f>
        <v>0</v>
      </c>
      <c r="NG15" s="5">
        <f>IF(ISERROR(LOOKUP(NG$1,$S15:$HK15,csv!$L15:$HD15)),NA(),LOOKUP(NG$1,$S15:$HK15,csv!$L15:$HD15))</f>
        <v>0</v>
      </c>
      <c r="NH15" s="5">
        <f>IF(ISERROR(LOOKUP(NH$1,$S15:$HK15,csv!$L15:$HD15)),NA(),LOOKUP(NH$1,$S15:$HK15,csv!$L15:$HD15))</f>
        <v>0</v>
      </c>
      <c r="NI15" s="5">
        <f>IF(ISERROR(LOOKUP(NI$1,$S15:$HK15,csv!$L15:$HD15)),NA(),LOOKUP(NI$1,$S15:$HK15,csv!$L15:$HD15))</f>
        <v>0</v>
      </c>
      <c r="NJ15" s="5">
        <f>IF(ISERROR(LOOKUP(NJ$1,$S15:$HK15,csv!$L15:$HD15)),NA(),LOOKUP(NJ$1,$S15:$HK15,csv!$L15:$HD15))</f>
        <v>0</v>
      </c>
      <c r="NK15" s="5">
        <f>IF(ISERROR(LOOKUP(NK$1,$S15:$HK15,csv!$L15:$HD15)),NA(),LOOKUP(NK$1,$S15:$HK15,csv!$L15:$HD15))</f>
        <v>0</v>
      </c>
      <c r="NL15" s="5">
        <f>IF(ISERROR(LOOKUP(NL$1,$S15:$HK15,csv!$L15:$HD15)),NA(),LOOKUP(NL$1,$S15:$HK15,csv!$L15:$HD15))</f>
        <v>0</v>
      </c>
      <c r="NM15" s="5">
        <f>IF(ISERROR(LOOKUP(NM$1,$S15:$HK15,csv!$L15:$HD15)),NA(),LOOKUP(NM$1,$S15:$HK15,csv!$L15:$HD15))</f>
        <v>0</v>
      </c>
      <c r="NN15" s="5">
        <f>IF(ISERROR(LOOKUP(NN$1,$S15:$HK15,csv!$L15:$HD15)),NA(),LOOKUP(NN$1,$S15:$HK15,csv!$L15:$HD15))</f>
        <v>0</v>
      </c>
      <c r="NO15" s="5">
        <f>IF(ISERROR(LOOKUP(NO$1,$S15:$HK15,csv!$L15:$HD15)),NA(),LOOKUP(NO$1,$S15:$HK15,csv!$L15:$HD15))</f>
        <v>0</v>
      </c>
      <c r="NP15" s="5">
        <f>IF(ISERROR(LOOKUP(NP$1,$S15:$HK15,csv!$L15:$HD15)),NA(),LOOKUP(NP$1,$S15:$HK15,csv!$L15:$HD15))</f>
        <v>0</v>
      </c>
      <c r="NQ15" s="5">
        <f>IF(ISERROR(LOOKUP(NQ$1,$S15:$HK15,csv!$L15:$HD15)),NA(),LOOKUP(NQ$1,$S15:$HK15,csv!$L15:$HD15))</f>
        <v>0</v>
      </c>
      <c r="NR15" s="5">
        <f>IF(ISERROR(LOOKUP(NR$1,$S15:$HK15,csv!$L15:$HD15)),NA(),LOOKUP(NR$1,$S15:$HK15,csv!$L15:$HD15))</f>
        <v>0</v>
      </c>
      <c r="NS15" s="5">
        <f>IF(ISERROR(LOOKUP(NS$1,$S15:$HK15,csv!$L15:$HD15)),NA(),LOOKUP(NS$1,$S15:$HK15,csv!$L15:$HD15))</f>
        <v>0</v>
      </c>
      <c r="NT15" s="5">
        <f>IF(ISERROR(LOOKUP(NT$1,$S15:$HK15,csv!$L15:$HD15)),NA(),LOOKUP(NT$1,$S15:$HK15,csv!$L15:$HD15))</f>
        <v>0</v>
      </c>
      <c r="NU15" s="5">
        <f>IF(ISERROR(LOOKUP(NU$1,$S15:$HK15,csv!$L15:$HD15)),NA(),LOOKUP(NU$1,$S15:$HK15,csv!$L15:$HD15))</f>
        <v>0</v>
      </c>
      <c r="NV15" s="5">
        <f>IF(ISERROR(LOOKUP(NV$1,$S15:$HK15,csv!$L15:$HD15)),NA(),LOOKUP(NV$1,$S15:$HK15,csv!$L15:$HD15))</f>
        <v>0</v>
      </c>
      <c r="NW15" s="5">
        <f>IF(ISERROR(LOOKUP(NW$1,$S15:$HK15,csv!$L15:$HD15)),NA(),LOOKUP(NW$1,$S15:$HK15,csv!$L15:$HD15))</f>
        <v>0</v>
      </c>
      <c r="NX15" s="5">
        <f>IF(ISERROR(LOOKUP(NX$1,$S15:$HK15,csv!$L15:$HD15)),NA(),LOOKUP(NX$1,$S15:$HK15,csv!$L15:$HD15))</f>
        <v>0</v>
      </c>
      <c r="NY15" s="5">
        <f>IF(ISERROR(LOOKUP(NY$1,$S15:$HK15,csv!$L15:$HD15)),NA(),LOOKUP(NY$1,$S15:$HK15,csv!$L15:$HD15))</f>
        <v>0</v>
      </c>
      <c r="NZ15" s="5">
        <f>IF(ISERROR(LOOKUP(NZ$1,$S15:$HK15,csv!$L15:$HD15)),NA(),LOOKUP(NZ$1,$S15:$HK15,csv!$L15:$HD15))</f>
        <v>0</v>
      </c>
      <c r="OA15" s="5">
        <f>IF(ISERROR(LOOKUP(OA$1,$S15:$HK15,csv!$L15:$HD15)),NA(),LOOKUP(OA$1,$S15:$HK15,csv!$L15:$HD15))</f>
        <v>0</v>
      </c>
      <c r="OB15" s="5">
        <f>IF(ISERROR(LOOKUP(OB$1,$S15:$HK15,csv!$L15:$HD15)),NA(),LOOKUP(OB$1,$S15:$HK15,csv!$L15:$HD15))</f>
        <v>0</v>
      </c>
      <c r="OC15" s="5">
        <f>IF(ISERROR(LOOKUP(OC$1,$S15:$HK15,csv!$L15:$HD15)),NA(),LOOKUP(OC$1,$S15:$HK15,csv!$L15:$HD15))</f>
        <v>0</v>
      </c>
      <c r="OD15" s="5">
        <f>IF(ISERROR(LOOKUP(OD$1,$S15:$HK15,csv!$L15:$HD15)),NA(),LOOKUP(OD$1,$S15:$HK15,csv!$L15:$HD15))</f>
        <v>0</v>
      </c>
      <c r="OE15" s="5">
        <f>IF(ISERROR(LOOKUP(OE$1,$S15:$HK15,csv!$L15:$HD15)),NA(),LOOKUP(OE$1,$S15:$HK15,csv!$L15:$HD15))</f>
        <v>0</v>
      </c>
      <c r="OF15" s="5">
        <f>IF(ISERROR(LOOKUP(OF$1,$S15:$HK15,csv!$L15:$HD15)),NA(),LOOKUP(OF$1,$S15:$HK15,csv!$L15:$HD15))</f>
        <v>0</v>
      </c>
      <c r="OG15" s="5">
        <f>IF(ISERROR(LOOKUP(OG$1,$S15:$HK15,csv!$L15:$HD15)),NA(),LOOKUP(OG$1,$S15:$HK15,csv!$L15:$HD15))</f>
        <v>0</v>
      </c>
      <c r="OH15" s="5">
        <f>IF(ISERROR(LOOKUP(OH$1,$S15:$HK15,csv!$L15:$HD15)),NA(),LOOKUP(OH$1,$S15:$HK15,csv!$L15:$HD15))</f>
        <v>0</v>
      </c>
      <c r="OI15" s="5">
        <f>IF(ISERROR(LOOKUP(OI$1,$S15:$HK15,csv!$L15:$HD15)),NA(),LOOKUP(OI$1,$S15:$HK15,csv!$L15:$HD15))</f>
        <v>0</v>
      </c>
      <c r="OJ15" s="5">
        <f>IF(ISERROR(LOOKUP(OJ$1,$S15:$HK15,csv!$L15:$HD15)),NA(),LOOKUP(OJ$1,$S15:$HK15,csv!$L15:$HD15))</f>
        <v>0</v>
      </c>
      <c r="OK15" s="5">
        <f>IF(ISERROR(LOOKUP(OK$1,$S15:$HK15,csv!$L15:$HD15)),NA(),LOOKUP(OK$1,$S15:$HK15,csv!$L15:$HD15))</f>
        <v>0</v>
      </c>
      <c r="OL15" s="5">
        <f>IF(ISERROR(LOOKUP(OL$1,$S15:$HK15,csv!$L15:$HD15)),NA(),LOOKUP(OL$1,$S15:$HK15,csv!$L15:$HD15))</f>
        <v>0</v>
      </c>
      <c r="OM15" s="5">
        <f>IF(ISERROR(LOOKUP(OM$1,$S15:$HK15,csv!$L15:$HD15)),NA(),LOOKUP(OM$1,$S15:$HK15,csv!$L15:$HD15))</f>
        <v>0</v>
      </c>
      <c r="ON15" s="5">
        <f>IF(ISERROR(LOOKUP(ON$1,$S15:$HK15,csv!$L15:$HD15)),NA(),LOOKUP(ON$1,$S15:$HK15,csv!$L15:$HD15))</f>
        <v>0</v>
      </c>
      <c r="OO15" s="5">
        <f>IF(ISERROR(LOOKUP(OO$1,$S15:$HK15,csv!$L15:$HD15)),NA(),LOOKUP(OO$1,$S15:$HK15,csv!$L15:$HD15))</f>
        <v>0</v>
      </c>
      <c r="OP15" s="5">
        <f>IF(ISERROR(LOOKUP(OP$1,$S15:$HK15,csv!$L15:$HD15)),NA(),LOOKUP(OP$1,$S15:$HK15,csv!$L15:$HD15))</f>
        <v>0</v>
      </c>
      <c r="OQ15" s="5">
        <f>IF(ISERROR(LOOKUP(OQ$1,$S15:$HK15,csv!$L15:$HD15)),NA(),LOOKUP(OQ$1,$S15:$HK15,csv!$L15:$HD15))</f>
        <v>0</v>
      </c>
      <c r="OR15" s="5">
        <f>IF(ISERROR(LOOKUP(OR$1,$S15:$HK15,csv!$L15:$HD15)),NA(),LOOKUP(OR$1,$S15:$HK15,csv!$L15:$HD15))</f>
        <v>0</v>
      </c>
      <c r="OS15" s="5">
        <f>IF(ISERROR(LOOKUP(OS$1,$S15:$HK15,csv!$L15:$HD15)),NA(),LOOKUP(OS$1,$S15:$HK15,csv!$L15:$HD15))</f>
        <v>0</v>
      </c>
      <c r="OT15" s="5">
        <f>IF(ISERROR(LOOKUP(OT$1,$S15:$HK15,csv!$L15:$HD15)),NA(),LOOKUP(OT$1,$S15:$HK15,csv!$L15:$HD15))</f>
        <v>0</v>
      </c>
      <c r="OU15" s="5">
        <f>IF(ISERROR(LOOKUP(OU$1,$S15:$HK15,csv!$L15:$HD15)),NA(),LOOKUP(OU$1,$S15:$HK15,csv!$L15:$HD15))</f>
        <v>0</v>
      </c>
      <c r="OV15" s="5">
        <f>IF(ISERROR(LOOKUP(OV$1,$S15:$HK15,csv!$L15:$HD15)),NA(),LOOKUP(OV$1,$S15:$HK15,csv!$L15:$HD15))</f>
        <v>0</v>
      </c>
      <c r="OW15" s="5">
        <f>IF(ISERROR(LOOKUP(OW$1,$S15:$HK15,csv!$L15:$HD15)),NA(),LOOKUP(OW$1,$S15:$HK15,csv!$L15:$HD15))</f>
        <v>0</v>
      </c>
      <c r="OX15" s="5">
        <f>IF(ISERROR(LOOKUP(OX$1,$S15:$HK15,csv!$L15:$HD15)),NA(),LOOKUP(OX$1,$S15:$HK15,csv!$L15:$HD15))</f>
        <v>0</v>
      </c>
      <c r="OY15" s="5">
        <f>IF(ISERROR(LOOKUP(OY$1,$S15:$HK15,csv!$L15:$HD15)),NA(),LOOKUP(OY$1,$S15:$HK15,csv!$L15:$HD15))</f>
        <v>0</v>
      </c>
      <c r="OZ15" s="5">
        <f>IF(ISERROR(LOOKUP(OZ$1,$S15:$HK15,csv!$L15:$HD15)),NA(),LOOKUP(OZ$1,$S15:$HK15,csv!$L15:$HD15))</f>
        <v>0</v>
      </c>
      <c r="PA15" s="5">
        <f>IF(ISERROR(LOOKUP(PA$1,$S15:$HK15,csv!$L15:$HD15)),NA(),LOOKUP(PA$1,$S15:$HK15,csv!$L15:$HD15))</f>
        <v>0</v>
      </c>
      <c r="PB15" s="5">
        <f>IF(ISERROR(LOOKUP(PB$1,$S15:$HK15,csv!$L15:$HD15)),NA(),LOOKUP(PB$1,$S15:$HK15,csv!$L15:$HD15))</f>
        <v>0</v>
      </c>
      <c r="PC15" s="5">
        <f>IF(ISERROR(LOOKUP(PC$1,$S15:$HK15,csv!$L15:$HD15)),NA(),LOOKUP(PC$1,$S15:$HK15,csv!$L15:$HD15))</f>
        <v>0</v>
      </c>
      <c r="PD15" s="5">
        <f>IF(ISERROR(LOOKUP(PD$1,$S15:$HK15,csv!$L15:$HD15)),NA(),LOOKUP(PD$1,$S15:$HK15,csv!$L15:$HD15))</f>
        <v>0</v>
      </c>
      <c r="PE15" s="5">
        <f>IF(ISERROR(LOOKUP(PE$1,$S15:$HK15,csv!$L15:$HD15)),NA(),LOOKUP(PE$1,$S15:$HK15,csv!$L15:$HD15))</f>
        <v>0</v>
      </c>
      <c r="PF15" s="5">
        <f>IF(ISERROR(LOOKUP(PF$1,$S15:$HK15,csv!$L15:$HD15)),NA(),LOOKUP(PF$1,$S15:$HK15,csv!$L15:$HD15))</f>
        <v>0</v>
      </c>
      <c r="PG15" s="5">
        <f>IF(ISERROR(LOOKUP(PG$1,$S15:$HK15,csv!$L15:$HD15)),NA(),LOOKUP(PG$1,$S15:$HK15,csv!$L15:$HD15))</f>
        <v>0</v>
      </c>
      <c r="PH15" s="5">
        <f>IF(ISERROR(LOOKUP(PH$1,$S15:$HK15,csv!$L15:$HD15)),NA(),LOOKUP(PH$1,$S15:$HK15,csv!$L15:$HD15))</f>
        <v>0</v>
      </c>
      <c r="PI15" s="5">
        <f>IF(ISERROR(LOOKUP(PI$1,$S15:$HK15,csv!$L15:$HD15)),NA(),LOOKUP(PI$1,$S15:$HK15,csv!$L15:$HD15))</f>
        <v>0</v>
      </c>
      <c r="PJ15" s="5">
        <f>IF(ISERROR(LOOKUP(PJ$1,$S15:$HK15,csv!$L15:$HD15)),NA(),LOOKUP(PJ$1,$S15:$HK15,csv!$L15:$HD15))</f>
        <v>0</v>
      </c>
      <c r="PK15" s="5">
        <f>IF(ISERROR(LOOKUP(PK$1,$S15:$HK15,csv!$L15:$HD15)),NA(),LOOKUP(PK$1,$S15:$HK15,csv!$L15:$HD15))</f>
        <v>0</v>
      </c>
      <c r="PL15" s="5">
        <f>IF(ISERROR(LOOKUP(PL$1,$S15:$HK15,csv!$L15:$HD15)),NA(),LOOKUP(PL$1,$S15:$HK15,csv!$L15:$HD15))</f>
        <v>0</v>
      </c>
      <c r="PM15" s="5">
        <f>IF(ISERROR(LOOKUP(PM$1,$S15:$HK15,csv!$L15:$HD15)),NA(),LOOKUP(PM$1,$S15:$HK15,csv!$L15:$HD15))</f>
        <v>0</v>
      </c>
      <c r="PN15" s="5">
        <f>IF(ISERROR(LOOKUP(PN$1,$S15:$HK15,csv!$L15:$HD15)),NA(),LOOKUP(PN$1,$S15:$HK15,csv!$L15:$HD15))</f>
        <v>0</v>
      </c>
      <c r="PO15" s="5">
        <f>IF(ISERROR(LOOKUP(PO$1,$S15:$HK15,csv!$L15:$HD15)),NA(),LOOKUP(PO$1,$S15:$HK15,csv!$L15:$HD15))</f>
        <v>0</v>
      </c>
      <c r="PP15" s="5">
        <f>IF(ISERROR(LOOKUP(PP$1,$S15:$HK15,csv!$L15:$HD15)),NA(),LOOKUP(PP$1,$S15:$HK15,csv!$L15:$HD15))</f>
        <v>0</v>
      </c>
      <c r="PQ15" s="5">
        <f>IF(ISERROR(LOOKUP(PQ$1,$S15:$HK15,csv!$L15:$HD15)),NA(),LOOKUP(PQ$1,$S15:$HK15,csv!$L15:$HD15))</f>
        <v>0</v>
      </c>
      <c r="PR15" s="5">
        <f>IF(ISERROR(LOOKUP(PR$1,$S15:$HK15,csv!$L15:$HD15)),NA(),LOOKUP(PR$1,$S15:$HK15,csv!$L15:$HD15))</f>
        <v>0</v>
      </c>
      <c r="PS15" s="5">
        <f>IF(ISERROR(LOOKUP(PS$1,$S15:$HK15,csv!$L15:$HD15)),NA(),LOOKUP(PS$1,$S15:$HK15,csv!$L15:$HD15))</f>
        <v>0</v>
      </c>
      <c r="PT15" s="5">
        <f>IF(ISERROR(LOOKUP(PT$1,$S15:$HK15,csv!$L15:$HD15)),NA(),LOOKUP(PT$1,$S15:$HK15,csv!$L15:$HD15))</f>
        <v>0</v>
      </c>
      <c r="PU15" s="5">
        <f>IF(ISERROR(LOOKUP(PU$1,$S15:$HK15,csv!$L15:$HD15)),NA(),LOOKUP(PU$1,$S15:$HK15,csv!$L15:$HD15))</f>
        <v>0</v>
      </c>
      <c r="PV15" s="5">
        <f>IF(ISERROR(LOOKUP(PV$1,$S15:$HK15,csv!$L15:$HD15)),NA(),LOOKUP(PV$1,$S15:$HK15,csv!$L15:$HD15))</f>
        <v>0</v>
      </c>
      <c r="PW15" s="5">
        <f>IF(ISERROR(LOOKUP(PW$1,$S15:$HK15,csv!$L15:$HD15)),NA(),LOOKUP(PW$1,$S15:$HK15,csv!$L15:$HD15))</f>
        <v>0</v>
      </c>
      <c r="PX15" s="5">
        <f>IF(ISERROR(LOOKUP(PX$1,$S15:$HK15,csv!$L15:$HD15)),NA(),LOOKUP(PX$1,$S15:$HK15,csv!$L15:$HD15))</f>
        <v>0</v>
      </c>
      <c r="PY15" s="5">
        <f>IF(ISERROR(LOOKUP(PY$1,$S15:$HK15,csv!$L15:$HD15)),NA(),LOOKUP(PY$1,$S15:$HK15,csv!$L15:$HD15))</f>
        <v>0</v>
      </c>
      <c r="PZ15" s="5">
        <f>IF(ISERROR(LOOKUP(PZ$1,$S15:$HK15,csv!$L15:$HD15)),NA(),LOOKUP(PZ$1,$S15:$HK15,csv!$L15:$HD15))</f>
        <v>0</v>
      </c>
      <c r="QA15" s="5">
        <f>IF(ISERROR(LOOKUP(QA$1,$S15:$HK15,csv!$L15:$HD15)),NA(),LOOKUP(QA$1,$S15:$HK15,csv!$L15:$HD15))</f>
        <v>0</v>
      </c>
      <c r="QB15" s="5">
        <f>IF(ISERROR(LOOKUP(QB$1,$S15:$HK15,csv!$L15:$HD15)),NA(),LOOKUP(QB$1,$S15:$HK15,csv!$L15:$HD15))</f>
        <v>0</v>
      </c>
      <c r="QC15" s="5">
        <f>IF(ISERROR(LOOKUP(QC$1,$S15:$HK15,csv!$L15:$HD15)),NA(),LOOKUP(QC$1,$S15:$HK15,csv!$L15:$HD15))</f>
        <v>0</v>
      </c>
      <c r="QD15" s="5">
        <f>IF(ISERROR(LOOKUP(QD$1,$S15:$HK15,csv!$L15:$HD15)),NA(),LOOKUP(QD$1,$S15:$HK15,csv!$L15:$HD15))</f>
        <v>0</v>
      </c>
      <c r="QE15" s="5">
        <f>IF(ISERROR(LOOKUP(QE$1,$S15:$HK15,csv!$L15:$HD15)),NA(),LOOKUP(QE$1,$S15:$HK15,csv!$L15:$HD15))</f>
        <v>0</v>
      </c>
      <c r="QF15" s="5">
        <f>IF(ISERROR(LOOKUP(QF$1,$S15:$HK15,csv!$L15:$HD15)),NA(),LOOKUP(QF$1,$S15:$HK15,csv!$L15:$HD15))</f>
        <v>0</v>
      </c>
      <c r="QG15" s="5">
        <f>IF(ISERROR(LOOKUP(QG$1,$S15:$HK15,csv!$L15:$HD15)),NA(),LOOKUP(QG$1,$S15:$HK15,csv!$L15:$HD15))</f>
        <v>0</v>
      </c>
      <c r="QH15" s="5">
        <f>IF(ISERROR(LOOKUP(QH$1,$S15:$HK15,csv!$L15:$HD15)),NA(),LOOKUP(QH$1,$S15:$HK15,csv!$L15:$HD15))</f>
        <v>0</v>
      </c>
      <c r="QI15" s="5">
        <f>IF(ISERROR(LOOKUP(QI$1,$S15:$HK15,csv!$L15:$HD15)),NA(),LOOKUP(QI$1,$S15:$HK15,csv!$L15:$HD15))</f>
        <v>0</v>
      </c>
      <c r="QJ15" s="5">
        <f>IF(ISERROR(LOOKUP(QJ$1,$S15:$HK15,csv!$L15:$HD15)),NA(),LOOKUP(QJ$1,$S15:$HK15,csv!$L15:$HD15))</f>
        <v>0</v>
      </c>
      <c r="QK15" s="5">
        <f>IF(ISERROR(LOOKUP(QK$1,$S15:$HK15,csv!$L15:$HD15)),NA(),LOOKUP(QK$1,$S15:$HK15,csv!$L15:$HD15))</f>
        <v>0</v>
      </c>
      <c r="QL15" s="5">
        <f>IF(ISERROR(LOOKUP(QL$1,$S15:$HK15,csv!$L15:$HD15)),NA(),LOOKUP(QL$1,$S15:$HK15,csv!$L15:$HD15))</f>
        <v>0</v>
      </c>
      <c r="QM15" s="5">
        <f>IF(ISERROR(LOOKUP(QM$1,$S15:$HK15,csv!$L15:$HD15)),NA(),LOOKUP(QM$1,$S15:$HK15,csv!$L15:$HD15))</f>
        <v>0</v>
      </c>
      <c r="QN15" s="5">
        <f>IF(ISERROR(LOOKUP(QN$1,$S15:$HK15,csv!$L15:$HD15)),NA(),LOOKUP(QN$1,$S15:$HK15,csv!$L15:$HD15))</f>
        <v>0</v>
      </c>
      <c r="QO15" s="5">
        <f>IF(ISERROR(LOOKUP(QO$1,$S15:$HK15,csv!$L15:$HD15)),NA(),LOOKUP(QO$1,$S15:$HK15,csv!$L15:$HD15))</f>
        <v>0</v>
      </c>
      <c r="QP15" s="5">
        <f>IF(ISERROR(LOOKUP(QP$1,$S15:$HK15,csv!$L15:$HD15)),NA(),LOOKUP(QP$1,$S15:$HK15,csv!$L15:$HD15))</f>
        <v>0</v>
      </c>
      <c r="QQ15" s="5">
        <f>IF(ISERROR(LOOKUP(QQ$1,$S15:$HK15,csv!$L15:$HD15)),NA(),LOOKUP(QQ$1,$S15:$HK15,csv!$L15:$HD15))</f>
        <v>0</v>
      </c>
      <c r="QR15" s="5">
        <f>IF(ISERROR(LOOKUP(QR$1,$S15:$HK15,csv!$L15:$HD15)),NA(),LOOKUP(QR$1,$S15:$HK15,csv!$L15:$HD15))</f>
        <v>0</v>
      </c>
      <c r="QS15" s="5">
        <f>IF(ISERROR(LOOKUP(QS$1,$S15:$HK15,csv!$L15:$HD15)),NA(),LOOKUP(QS$1,$S15:$HK15,csv!$L15:$HD15))</f>
        <v>0</v>
      </c>
      <c r="QT15" s="5">
        <f>IF(ISERROR(LOOKUP(QT$1,$S15:$HK15,csv!$L15:$HD15)),NA(),LOOKUP(QT$1,$S15:$HK15,csv!$L15:$HD15))</f>
        <v>0</v>
      </c>
      <c r="QU15" s="5">
        <f>IF(ISERROR(LOOKUP(QU$1,$S15:$HK15,csv!$L15:$HD15)),NA(),LOOKUP(QU$1,$S15:$HK15,csv!$L15:$HD15))</f>
        <v>0</v>
      </c>
      <c r="QV15" s="5">
        <f>IF(ISERROR(LOOKUP(QV$1,$S15:$HK15,csv!$L15:$HD15)),NA(),LOOKUP(QV$1,$S15:$HK15,csv!$L15:$HD15))</f>
        <v>0</v>
      </c>
      <c r="QW15" s="5">
        <f>IF(ISERROR(LOOKUP(QW$1,$S15:$HK15,csv!$L15:$HD15)),NA(),LOOKUP(QW$1,$S15:$HK15,csv!$L15:$HD15))</f>
        <v>0</v>
      </c>
      <c r="QX15" s="5">
        <f>IF(ISERROR(LOOKUP(QX$1,$S15:$HK15,csv!$L15:$HD15)),NA(),LOOKUP(QX$1,$S15:$HK15,csv!$L15:$HD15))</f>
        <v>0</v>
      </c>
      <c r="QY15" s="5">
        <f>IF(ISERROR(LOOKUP(QY$1,$S15:$HK15,csv!$L15:$HD15)),NA(),LOOKUP(QY$1,$S15:$HK15,csv!$L15:$HD15))</f>
        <v>0</v>
      </c>
      <c r="QZ15" s="5">
        <f>IF(ISERROR(LOOKUP(QZ$1,$S15:$HK15,csv!$L15:$HD15)),NA(),LOOKUP(QZ$1,$S15:$HK15,csv!$L15:$HD15))</f>
        <v>0</v>
      </c>
      <c r="RA15" s="5">
        <f>IF(ISERROR(LOOKUP(RA$1,$S15:$HK15,csv!$L15:$HD15)),NA(),LOOKUP(RA$1,$S15:$HK15,csv!$L15:$HD15))</f>
        <v>0</v>
      </c>
      <c r="RB15" s="5">
        <f>IF(ISERROR(LOOKUP(RB$1,$S15:$HK15,csv!$L15:$HD15)),NA(),LOOKUP(RB$1,$S15:$HK15,csv!$L15:$HD15))</f>
        <v>0</v>
      </c>
      <c r="RC15" s="5">
        <f>IF(ISERROR(LOOKUP(RC$1,$S15:$HK15,csv!$L15:$HD15)),NA(),LOOKUP(RC$1,$S15:$HK15,csv!$L15:$HD15))</f>
        <v>0</v>
      </c>
      <c r="RD15" s="5">
        <f>IF(ISERROR(LOOKUP(RD$1,$S15:$HK15,csv!$L15:$HD15)),NA(),LOOKUP(RD$1,$S15:$HK15,csv!$L15:$HD15))</f>
        <v>0</v>
      </c>
      <c r="RE15" s="5">
        <f>IF(ISERROR(LOOKUP(RE$1,$S15:$HK15,csv!$L15:$HD15)),NA(),LOOKUP(RE$1,$S15:$HK15,csv!$L15:$HD15))</f>
        <v>0</v>
      </c>
      <c r="RF15" s="5">
        <f>IF(ISERROR(LOOKUP(RF$1,$S15:$HK15,csv!$L15:$HD15)),NA(),LOOKUP(RF$1,$S15:$HK15,csv!$L15:$HD15))</f>
        <v>0</v>
      </c>
      <c r="RG15" s="5">
        <f>IF(ISERROR(LOOKUP(RG$1,$S15:$HK15,csv!$L15:$HD15)),NA(),LOOKUP(RG$1,$S15:$HK15,csv!$L15:$HD15))</f>
        <v>0</v>
      </c>
      <c r="RH15" s="5">
        <f>IF(ISERROR(LOOKUP(RH$1,$S15:$HK15,csv!$L15:$HD15)),NA(),LOOKUP(RH$1,$S15:$HK15,csv!$L15:$HD15))</f>
        <v>0</v>
      </c>
      <c r="RI15" s="5">
        <f>IF(ISERROR(LOOKUP(RI$1,$S15:$HK15,csv!$L15:$HD15)),NA(),LOOKUP(RI$1,$S15:$HK15,csv!$L15:$HD15))</f>
        <v>0</v>
      </c>
      <c r="RJ15" s="5">
        <f>IF(ISERROR(LOOKUP(RJ$1,$S15:$HK15,csv!$L15:$HD15)),NA(),LOOKUP(RJ$1,$S15:$HK15,csv!$L15:$HD15))</f>
        <v>0</v>
      </c>
      <c r="RK15" s="5">
        <f>IF(ISERROR(LOOKUP(RK$1,$S15:$HK15,csv!$L15:$HD15)),NA(),LOOKUP(RK$1,$S15:$HK15,csv!$L15:$HD15))</f>
        <v>0</v>
      </c>
      <c r="RL15" s="5">
        <f>IF(ISERROR(LOOKUP(RL$1,$S15:$HK15,csv!$L15:$HD15)),NA(),LOOKUP(RL$1,$S15:$HK15,csv!$L15:$HD15))</f>
        <v>0</v>
      </c>
      <c r="RM15" s="5">
        <f>IF(ISERROR(LOOKUP(RM$1,$S15:$HK15,csv!$L15:$HD15)),NA(),LOOKUP(RM$1,$S15:$HK15,csv!$L15:$HD15))</f>
        <v>0</v>
      </c>
      <c r="RN15" s="5">
        <f>IF(ISERROR(LOOKUP(RN$1,$S15:$HK15,csv!$L15:$HD15)),NA(),LOOKUP(RN$1,$S15:$HK15,csv!$L15:$HD15))</f>
        <v>0</v>
      </c>
      <c r="RO15" s="5">
        <f>IF(ISERROR(LOOKUP(RO$1,$S15:$HK15,csv!$L15:$HD15)),NA(),LOOKUP(RO$1,$S15:$HK15,csv!$L15:$HD15))</f>
        <v>0</v>
      </c>
      <c r="RP15" s="5">
        <f>IF(ISERROR(LOOKUP(RP$1,$S15:$HK15,csv!$L15:$HD15)),NA(),LOOKUP(RP$1,$S15:$HK15,csv!$L15:$HD15))</f>
        <v>0</v>
      </c>
      <c r="RQ15" s="5">
        <f>IF(ISERROR(LOOKUP(RQ$1,$S15:$HK15,csv!$L15:$HD15)),NA(),LOOKUP(RQ$1,$S15:$HK15,csv!$L15:$HD15))</f>
        <v>0</v>
      </c>
      <c r="RR15" s="5">
        <f>IF(ISERROR(LOOKUP(RR$1,$S15:$HK15,csv!$L15:$HD15)),NA(),LOOKUP(RR$1,$S15:$HK15,csv!$L15:$HD15))</f>
        <v>0</v>
      </c>
      <c r="RS15" s="5">
        <f>IF(ISERROR(LOOKUP(RS$1,$S15:$HK15,csv!$L15:$HD15)),NA(),LOOKUP(RS$1,$S15:$HK15,csv!$L15:$HD15))</f>
        <v>0</v>
      </c>
      <c r="RT15" s="5">
        <f>IF(ISERROR(LOOKUP(RT$1,$S15:$HK15,csv!$L15:$HD15)),NA(),LOOKUP(RT$1,$S15:$HK15,csv!$L15:$HD15))</f>
        <v>0</v>
      </c>
      <c r="RU15" s="5">
        <f>IF(ISERROR(LOOKUP(RU$1,$S15:$HK15,csv!$L15:$HD15)),NA(),LOOKUP(RU$1,$S15:$HK15,csv!$L15:$HD15))</f>
        <v>0</v>
      </c>
      <c r="RV15" s="5">
        <f>IF(ISERROR(LOOKUP(RV$1,$S15:$HK15,csv!$L15:$HD15)),NA(),LOOKUP(RV$1,$S15:$HK15,csv!$L15:$HD15))</f>
        <v>0</v>
      </c>
      <c r="RW15" s="5">
        <f>IF(ISERROR(LOOKUP(RW$1,$S15:$HK15,csv!$L15:$HD15)),NA(),LOOKUP(RW$1,$S15:$HK15,csv!$L15:$HD15))</f>
        <v>0</v>
      </c>
      <c r="RX15" s="5">
        <f>IF(ISERROR(LOOKUP(RX$1,$S15:$HK15,csv!$L15:$HD15)),NA(),LOOKUP(RX$1,$S15:$HK15,csv!$L15:$HD15))</f>
        <v>0</v>
      </c>
      <c r="RY15" s="5">
        <f>IF(ISERROR(LOOKUP(RY$1,$S15:$HK15,csv!$L15:$HD15)),NA(),LOOKUP(RY$1,$S15:$HK15,csv!$L15:$HD15))</f>
        <v>0</v>
      </c>
      <c r="RZ15" s="5">
        <f>IF(ISERROR(LOOKUP(RZ$1,$S15:$HK15,csv!$L15:$HD15)),NA(),LOOKUP(RZ$1,$S15:$HK15,csv!$L15:$HD15))</f>
        <v>0</v>
      </c>
      <c r="SA15" s="5">
        <f>IF(ISERROR(LOOKUP(SA$1,$S15:$HK15,csv!$L15:$HD15)),NA(),LOOKUP(SA$1,$S15:$HK15,csv!$L15:$HD15))</f>
        <v>0</v>
      </c>
      <c r="SB15" s="5">
        <f>IF(ISERROR(LOOKUP(SB$1,$S15:$HK15,csv!$L15:$HD15)),NA(),LOOKUP(SB$1,$S15:$HK15,csv!$L15:$HD15))</f>
        <v>0</v>
      </c>
      <c r="SC15" s="5">
        <f>IF(ISERROR(LOOKUP(SC$1,$S15:$HK15,csv!$L15:$HD15)),NA(),LOOKUP(SC$1,$S15:$HK15,csv!$L15:$HD15))</f>
        <v>0</v>
      </c>
      <c r="SD15" s="5">
        <f>IF(ISERROR(LOOKUP(SD$1,$S15:$HK15,csv!$L15:$HD15)),NA(),LOOKUP(SD$1,$S15:$HK15,csv!$L15:$HD15))</f>
        <v>0</v>
      </c>
      <c r="SE15" s="5">
        <f>IF(ISERROR(LOOKUP(SE$1,$S15:$HK15,csv!$L15:$HD15)),NA(),LOOKUP(SE$1,$S15:$HK15,csv!$L15:$HD15))</f>
        <v>0</v>
      </c>
      <c r="SF15" s="5">
        <f>IF(ISERROR(LOOKUP(SF$1,$S15:$HK15,csv!$L15:$HD15)),NA(),LOOKUP(SF$1,$S15:$HK15,csv!$L15:$HD15))</f>
        <v>0</v>
      </c>
      <c r="SG15" s="5">
        <f>IF(ISERROR(LOOKUP(SG$1,$S15:$HK15,csv!$L15:$HD15)),NA(),LOOKUP(SG$1,$S15:$HK15,csv!$L15:$HD15))</f>
        <v>0</v>
      </c>
      <c r="SH15" s="5">
        <f>IF(ISERROR(LOOKUP(SH$1,$S15:$HK15,csv!$L15:$HD15)),NA(),LOOKUP(SH$1,$S15:$HK15,csv!$L15:$HD15))</f>
        <v>0</v>
      </c>
      <c r="SI15" s="5">
        <f>IF(ISERROR(LOOKUP(SI$1,$S15:$HK15,csv!$L15:$HD15)),NA(),LOOKUP(SI$1,$S15:$HK15,csv!$L15:$HD15))</f>
        <v>0</v>
      </c>
      <c r="SJ15" s="5">
        <f>IF(ISERROR(LOOKUP(SJ$1,$S15:$HK15,csv!$L15:$HD15)),NA(),LOOKUP(SJ$1,$S15:$HK15,csv!$L15:$HD15))</f>
        <v>0</v>
      </c>
      <c r="SK15" s="5">
        <f>IF(ISERROR(LOOKUP(SK$1,$S15:$HK15,csv!$L15:$HD15)),NA(),LOOKUP(SK$1,$S15:$HK15,csv!$L15:$HD15))</f>
        <v>0</v>
      </c>
      <c r="SL15" s="5">
        <f>IF(ISERROR(LOOKUP(SL$1,$S15:$HK15,csv!$L15:$HD15)),NA(),LOOKUP(SL$1,$S15:$HK15,csv!$L15:$HD15))</f>
        <v>0</v>
      </c>
      <c r="SM15" s="5">
        <f>IF(ISERROR(LOOKUP(SM$1,$S15:$HK15,csv!$L15:$HD15)),NA(),LOOKUP(SM$1,$S15:$HK15,csv!$L15:$HD15))</f>
        <v>0</v>
      </c>
      <c r="SN15" s="5">
        <f>IF(ISERROR(LOOKUP(SN$1,$S15:$HK15,csv!$L15:$HD15)),NA(),LOOKUP(SN$1,$S15:$HK15,csv!$L15:$HD15))</f>
        <v>0</v>
      </c>
      <c r="SO15" s="5">
        <f>IF(ISERROR(LOOKUP(SO$1,$S15:$HK15,csv!$L15:$HD15)),NA(),LOOKUP(SO$1,$S15:$HK15,csv!$L15:$HD15))</f>
        <v>0</v>
      </c>
      <c r="SP15" s="5">
        <f>IF(ISERROR(LOOKUP(SP$1,$S15:$HK15,csv!$L15:$HD15)),NA(),LOOKUP(SP$1,$S15:$HK15,csv!$L15:$HD15))</f>
        <v>0</v>
      </c>
      <c r="SQ15" s="5">
        <f>IF(ISERROR(LOOKUP(SQ$1,$S15:$HK15,csv!$L15:$HD15)),NA(),LOOKUP(SQ$1,$S15:$HK15,csv!$L15:$HD15))</f>
        <v>0</v>
      </c>
      <c r="SR15" s="5">
        <f>IF(ISERROR(LOOKUP(SR$1,$S15:$HK15,csv!$L15:$HD15)),NA(),LOOKUP(SR$1,$S15:$HK15,csv!$L15:$HD15))</f>
        <v>0</v>
      </c>
      <c r="SS15" s="5">
        <f>IF(ISERROR(LOOKUP(SS$1,$S15:$HK15,csv!$L15:$HD15)),NA(),LOOKUP(SS$1,$S15:$HK15,csv!$L15:$HD15))</f>
        <v>0</v>
      </c>
      <c r="ST15" s="5">
        <f>IF(ISERROR(LOOKUP(ST$1,$S15:$HK15,csv!$L15:$HD15)),NA(),LOOKUP(ST$1,$S15:$HK15,csv!$L15:$HD15))</f>
        <v>0</v>
      </c>
      <c r="SU15" s="5">
        <f>IF(ISERROR(LOOKUP(SU$1,$S15:$HK15,csv!$L15:$HD15)),NA(),LOOKUP(SU$1,$S15:$HK15,csv!$L15:$HD15))</f>
        <v>0</v>
      </c>
      <c r="SV15" s="5">
        <f>IF(ISERROR(LOOKUP(SV$1,$S15:$HK15,csv!$L15:$HD15)),NA(),LOOKUP(SV$1,$S15:$HK15,csv!$L15:$HD15))</f>
        <v>0</v>
      </c>
      <c r="SW15" s="5">
        <f>IF(ISERROR(LOOKUP(SW$1,$S15:$HK15,csv!$L15:$HD15)),NA(),LOOKUP(SW$1,$S15:$HK15,csv!$L15:$HD15))</f>
        <v>0</v>
      </c>
      <c r="SX15" s="5">
        <f>IF(ISERROR(LOOKUP(SX$1,$S15:$HK15,csv!$L15:$HD15)),NA(),LOOKUP(SX$1,$S15:$HK15,csv!$L15:$HD15))</f>
        <v>0</v>
      </c>
      <c r="SY15" s="5">
        <f>IF(ISERROR(LOOKUP(SY$1,$S15:$HK15,csv!$L15:$HD15)),NA(),LOOKUP(SY$1,$S15:$HK15,csv!$L15:$HD15))</f>
        <v>0</v>
      </c>
      <c r="SZ15" s="5">
        <f>IF(ISERROR(LOOKUP(SZ$1,$S15:$HK15,csv!$L15:$HD15)),NA(),LOOKUP(SZ$1,$S15:$HK15,csv!$L15:$HD15))</f>
        <v>0</v>
      </c>
      <c r="TA15" s="5">
        <f>IF(ISERROR(LOOKUP(TA$1,$S15:$HK15,csv!$L15:$HD15)),NA(),LOOKUP(TA$1,$S15:$HK15,csv!$L15:$HD15))</f>
        <v>0</v>
      </c>
      <c r="TB15" s="5">
        <f>IF(ISERROR(LOOKUP(TB$1,$S15:$HK15,csv!$L15:$HD15)),NA(),LOOKUP(TB$1,$S15:$HK15,csv!$L15:$HD15))</f>
        <v>0</v>
      </c>
      <c r="TD15">
        <f>csv!HG15/10</f>
        <v>0</v>
      </c>
    </row>
    <row r="16" spans="1:524" x14ac:dyDescent="0.15">
      <c r="C16" s="32"/>
      <c r="S16" s="4">
        <f>ROUND((csv!$HG16/10+calc!S$1),1)</f>
        <v>-10</v>
      </c>
      <c r="T16" s="4">
        <f>ROUND((csv!$HG16/10+calc!T$1),1)</f>
        <v>-9.9</v>
      </c>
      <c r="U16" s="4">
        <f>ROUND((csv!$HG16/10+calc!U$1),1)</f>
        <v>-9.8000000000000007</v>
      </c>
      <c r="V16" s="4">
        <f>ROUND((csv!$HG16/10+calc!V$1),1)</f>
        <v>-9.6999999999999993</v>
      </c>
      <c r="W16" s="4">
        <f>ROUND((csv!$HG16/10+calc!W$1),1)</f>
        <v>-9.6</v>
      </c>
      <c r="X16" s="4">
        <f>ROUND((csv!$HG16/10+calc!X$1),1)</f>
        <v>-9.5</v>
      </c>
      <c r="Y16" s="4">
        <f>ROUND((csv!$HG16/10+calc!Y$1),1)</f>
        <v>-9.4</v>
      </c>
      <c r="Z16" s="4">
        <f>ROUND((csv!$HG16/10+calc!Z$1),1)</f>
        <v>-9.3000000000000007</v>
      </c>
      <c r="AA16" s="4">
        <f>ROUND((csv!$HG16/10+calc!AA$1),1)</f>
        <v>-9.1999999999999993</v>
      </c>
      <c r="AB16" s="4">
        <f>ROUND((csv!$HG16/10+calc!AB$1),1)</f>
        <v>-9.1</v>
      </c>
      <c r="AC16" s="4">
        <f>ROUND((csv!$HG16/10+calc!AC$1),1)</f>
        <v>-9</v>
      </c>
      <c r="AD16" s="4">
        <f>ROUND((csv!$HG16/10+calc!AD$1),1)</f>
        <v>-8.9</v>
      </c>
      <c r="AE16" s="4">
        <f>ROUND((csv!$HG16/10+calc!AE$1),1)</f>
        <v>-8.8000000000000007</v>
      </c>
      <c r="AF16" s="4">
        <f>ROUND((csv!$HG16/10+calc!AF$1),1)</f>
        <v>-8.6999999999999993</v>
      </c>
      <c r="AG16" s="4">
        <f>ROUND((csv!$HG16/10+calc!AG$1),1)</f>
        <v>-8.6</v>
      </c>
      <c r="AH16" s="4">
        <f>ROUND((csv!$HG16/10+calc!AH$1),1)</f>
        <v>-8.5</v>
      </c>
      <c r="AI16" s="4">
        <f>ROUND((csv!$HG16/10+calc!AI$1),1)</f>
        <v>-8.4</v>
      </c>
      <c r="AJ16" s="4">
        <f>ROUND((csv!$HG16/10+calc!AJ$1),1)</f>
        <v>-8.3000000000000007</v>
      </c>
      <c r="AK16" s="4">
        <f>ROUND((csv!$HG16/10+calc!AK$1),1)</f>
        <v>-8.1999999999999993</v>
      </c>
      <c r="AL16" s="4">
        <f>ROUND((csv!$HG16/10+calc!AL$1),1)</f>
        <v>-8.1</v>
      </c>
      <c r="AM16" s="4">
        <f>ROUND((csv!$HG16/10+calc!AM$1),1)</f>
        <v>-8</v>
      </c>
      <c r="AN16" s="4">
        <f>ROUND((csv!$HG16/10+calc!AN$1),1)</f>
        <v>-7.9</v>
      </c>
      <c r="AO16" s="4">
        <f>ROUND((csv!$HG16/10+calc!AO$1),1)</f>
        <v>-7.8</v>
      </c>
      <c r="AP16" s="4">
        <f>ROUND((csv!$HG16/10+calc!AP$1),1)</f>
        <v>-7.7</v>
      </c>
      <c r="AQ16" s="4">
        <f>ROUND((csv!$HG16/10+calc!AQ$1),1)</f>
        <v>-7.6</v>
      </c>
      <c r="AR16" s="4">
        <f>ROUND((csv!$HG16/10+calc!AR$1),1)</f>
        <v>-7.5</v>
      </c>
      <c r="AS16" s="4">
        <f>ROUND((csv!$HG16/10+calc!AS$1),1)</f>
        <v>-7.4</v>
      </c>
      <c r="AT16" s="4">
        <f>ROUND((csv!$HG16/10+calc!AT$1),1)</f>
        <v>-7.3</v>
      </c>
      <c r="AU16" s="4">
        <f>ROUND((csv!$HG16/10+calc!AU$1),1)</f>
        <v>-7.2</v>
      </c>
      <c r="AV16" s="4">
        <f>ROUND((csv!$HG16/10+calc!AV$1),1)</f>
        <v>-7.1</v>
      </c>
      <c r="AW16" s="4">
        <f>ROUND((csv!$HG16/10+calc!AW$1),1)</f>
        <v>-7</v>
      </c>
      <c r="AX16" s="4">
        <f>ROUND((csv!$HG16/10+calc!AX$1),1)</f>
        <v>-6.9</v>
      </c>
      <c r="AY16" s="4">
        <f>ROUND((csv!$HG16/10+calc!AY$1),1)</f>
        <v>-6.8</v>
      </c>
      <c r="AZ16" s="4">
        <f>ROUND((csv!$HG16/10+calc!AZ$1),1)</f>
        <v>-6.7</v>
      </c>
      <c r="BA16" s="4">
        <f>ROUND((csv!$HG16/10+calc!BA$1),1)</f>
        <v>-6.6</v>
      </c>
      <c r="BB16" s="4">
        <f>ROUND((csv!$HG16/10+calc!BB$1),1)</f>
        <v>-6.5</v>
      </c>
      <c r="BC16" s="4">
        <f>ROUND((csv!$HG16/10+calc!BC$1),1)</f>
        <v>-6.4</v>
      </c>
      <c r="BD16" s="4">
        <f>ROUND((csv!$HG16/10+calc!BD$1),1)</f>
        <v>-6.3</v>
      </c>
      <c r="BE16" s="4">
        <f>ROUND((csv!$HG16/10+calc!BE$1),1)</f>
        <v>-6.2</v>
      </c>
      <c r="BF16" s="4">
        <f>ROUND((csv!$HG16/10+calc!BF$1),1)</f>
        <v>-6.1</v>
      </c>
      <c r="BG16" s="4">
        <f>ROUND((csv!$HG16/10+calc!BG$1),1)</f>
        <v>-6</v>
      </c>
      <c r="BH16" s="4">
        <f>ROUND((csv!$HG16/10+calc!BH$1),1)</f>
        <v>-5.9</v>
      </c>
      <c r="BI16" s="4">
        <f>ROUND((csv!$HG16/10+calc!BI$1),1)</f>
        <v>-5.8</v>
      </c>
      <c r="BJ16" s="4">
        <f>ROUND((csv!$HG16/10+calc!BJ$1),1)</f>
        <v>-5.7</v>
      </c>
      <c r="BK16" s="4">
        <f>ROUND((csv!$HG16/10+calc!BK$1),1)</f>
        <v>-5.6</v>
      </c>
      <c r="BL16" s="4">
        <f>ROUND((csv!$HG16/10+calc!BL$1),1)</f>
        <v>-5.5</v>
      </c>
      <c r="BM16" s="4">
        <f>ROUND((csv!$HG16/10+calc!BM$1),1)</f>
        <v>-5.4</v>
      </c>
      <c r="BN16" s="4">
        <f>ROUND((csv!$HG16/10+calc!BN$1),1)</f>
        <v>-5.3</v>
      </c>
      <c r="BO16" s="4">
        <f>ROUND((csv!$HG16/10+calc!BO$1),1)</f>
        <v>-5.2</v>
      </c>
      <c r="BP16" s="4">
        <f>ROUND((csv!$HG16/10+calc!BP$1),1)</f>
        <v>-5.0999999999999996</v>
      </c>
      <c r="BQ16" s="4">
        <f>ROUND((csv!$HG16/10+calc!BQ$1),1)</f>
        <v>-5</v>
      </c>
      <c r="BR16" s="4">
        <f>ROUND((csv!$HG16/10+calc!BR$1),1)</f>
        <v>-4.9000000000000004</v>
      </c>
      <c r="BS16" s="4">
        <f>ROUND((csv!$HG16/10+calc!BS$1),1)</f>
        <v>-4.8</v>
      </c>
      <c r="BT16" s="4">
        <f>ROUND((csv!$HG16/10+calc!BT$1),1)</f>
        <v>-4.7</v>
      </c>
      <c r="BU16" s="4">
        <f>ROUND((csv!$HG16/10+calc!BU$1),1)</f>
        <v>-4.5999999999999996</v>
      </c>
      <c r="BV16" s="4">
        <f>ROUND((csv!$HG16/10+calc!BV$1),1)</f>
        <v>-4.5</v>
      </c>
      <c r="BW16" s="4">
        <f>ROUND((csv!$HG16/10+calc!BW$1),1)</f>
        <v>-4.4000000000000004</v>
      </c>
      <c r="BX16" s="4">
        <f>ROUND((csv!$HG16/10+calc!BX$1),1)</f>
        <v>-4.3</v>
      </c>
      <c r="BY16" s="4">
        <f>ROUND((csv!$HG16/10+calc!BY$1),1)</f>
        <v>-4.2</v>
      </c>
      <c r="BZ16" s="4">
        <f>ROUND((csv!$HG16/10+calc!BZ$1),1)</f>
        <v>-4.0999999999999996</v>
      </c>
      <c r="CA16" s="4">
        <f>ROUND((csv!$HG16/10+calc!CA$1),1)</f>
        <v>-4</v>
      </c>
      <c r="CB16" s="4">
        <f>ROUND((csv!$HG16/10+calc!CB$1),1)</f>
        <v>-3.9</v>
      </c>
      <c r="CC16" s="4">
        <f>ROUND((csv!$HG16/10+calc!CC$1),1)</f>
        <v>-3.8</v>
      </c>
      <c r="CD16" s="4">
        <f>ROUND((csv!$HG16/10+calc!CD$1),1)</f>
        <v>-3.7</v>
      </c>
      <c r="CE16" s="4">
        <f>ROUND((csv!$HG16/10+calc!CE$1),1)</f>
        <v>-3.6</v>
      </c>
      <c r="CF16" s="4">
        <f>ROUND((csv!$HG16/10+calc!CF$1),1)</f>
        <v>-3.5</v>
      </c>
      <c r="CG16" s="4">
        <f>ROUND((csv!$HG16/10+calc!CG$1),1)</f>
        <v>-3.4</v>
      </c>
      <c r="CH16" s="4">
        <f>ROUND((csv!$HG16/10+calc!CH$1),1)</f>
        <v>-3.3</v>
      </c>
      <c r="CI16" s="4">
        <f>ROUND((csv!$HG16/10+calc!CI$1),1)</f>
        <v>-3.2</v>
      </c>
      <c r="CJ16" s="4">
        <f>ROUND((csv!$HG16/10+calc!CJ$1),1)</f>
        <v>-3.1</v>
      </c>
      <c r="CK16" s="4">
        <f>ROUND((csv!$HG16/10+calc!CK$1),1)</f>
        <v>-3</v>
      </c>
      <c r="CL16" s="4">
        <f>ROUND((csv!$HG16/10+calc!CL$1),1)</f>
        <v>-2.9</v>
      </c>
      <c r="CM16" s="4">
        <f>ROUND((csv!$HG16/10+calc!CM$1),1)</f>
        <v>-2.8</v>
      </c>
      <c r="CN16" s="4">
        <f>ROUND((csv!$HG16/10+calc!CN$1),1)</f>
        <v>-2.7</v>
      </c>
      <c r="CO16" s="4">
        <f>ROUND((csv!$HG16/10+calc!CO$1),1)</f>
        <v>-2.6</v>
      </c>
      <c r="CP16" s="4">
        <f>ROUND((csv!$HG16/10+calc!CP$1),1)</f>
        <v>-2.5</v>
      </c>
      <c r="CQ16" s="4">
        <f>ROUND((csv!$HG16/10+calc!CQ$1),1)</f>
        <v>-2.4</v>
      </c>
      <c r="CR16" s="4">
        <f>ROUND((csv!$HG16/10+calc!CR$1),1)</f>
        <v>-2.2999999999999998</v>
      </c>
      <c r="CS16" s="4">
        <f>ROUND((csv!$HG16/10+calc!CS$1),1)</f>
        <v>-2.2000000000000002</v>
      </c>
      <c r="CT16" s="4">
        <f>ROUND((csv!$HG16/10+calc!CT$1),1)</f>
        <v>-2.1</v>
      </c>
      <c r="CU16" s="4">
        <f>ROUND((csv!$HG16/10+calc!CU$1),1)</f>
        <v>-2</v>
      </c>
      <c r="CV16" s="4">
        <f>ROUND((csv!$HG16/10+calc!CV$1),1)</f>
        <v>-1.9</v>
      </c>
      <c r="CW16" s="4">
        <f>ROUND((csv!$HG16/10+calc!CW$1),1)</f>
        <v>-1.8</v>
      </c>
      <c r="CX16" s="4">
        <f>ROUND((csv!$HG16/10+calc!CX$1),1)</f>
        <v>-1.7</v>
      </c>
      <c r="CY16" s="4">
        <f>ROUND((csv!$HG16/10+calc!CY$1),1)</f>
        <v>-1.6</v>
      </c>
      <c r="CZ16" s="4">
        <f>ROUND((csv!$HG16/10+calc!CZ$1),1)</f>
        <v>-1.5</v>
      </c>
      <c r="DA16" s="4">
        <f>ROUND((csv!$HG16/10+calc!DA$1),1)</f>
        <v>-1.4</v>
      </c>
      <c r="DB16" s="4">
        <f>ROUND((csv!$HG16/10+calc!DB$1),1)</f>
        <v>-1.3</v>
      </c>
      <c r="DC16" s="4">
        <f>ROUND((csv!$HG16/10+calc!DC$1),1)</f>
        <v>-1.2</v>
      </c>
      <c r="DD16" s="4">
        <f>ROUND((csv!$HG16/10+calc!DD$1),1)</f>
        <v>-1.1000000000000001</v>
      </c>
      <c r="DE16" s="4">
        <f>ROUND((csv!$HG16/10+calc!DE$1),1)</f>
        <v>-1</v>
      </c>
      <c r="DF16" s="4">
        <f>ROUND((csv!$HG16/10+calc!DF$1),1)</f>
        <v>-0.9</v>
      </c>
      <c r="DG16" s="4">
        <f>ROUND((csv!$HG16/10+calc!DG$1),1)</f>
        <v>-0.8</v>
      </c>
      <c r="DH16" s="4">
        <f>ROUND((csv!$HG16/10+calc!DH$1),1)</f>
        <v>-0.7</v>
      </c>
      <c r="DI16" s="4">
        <f>ROUND((csv!$HG16/10+calc!DI$1),1)</f>
        <v>-0.6</v>
      </c>
      <c r="DJ16" s="4">
        <f>ROUND((csv!$HG16/10+calc!DJ$1),1)</f>
        <v>-0.5</v>
      </c>
      <c r="DK16" s="4">
        <f>ROUND((csv!$HG16/10+calc!DK$1),1)</f>
        <v>-0.4</v>
      </c>
      <c r="DL16" s="4">
        <f>ROUND((csv!$HG16/10+calc!DL$1),1)</f>
        <v>-0.3</v>
      </c>
      <c r="DM16" s="4">
        <f>ROUND((csv!$HG16/10+calc!DM$1),1)</f>
        <v>-0.2</v>
      </c>
      <c r="DN16" s="4">
        <f>ROUND((csv!$HG16/10+calc!DN$1),1)</f>
        <v>-0.1</v>
      </c>
      <c r="DO16" s="4">
        <f>ROUND((csv!$HG16/10+calc!DO$1),1)</f>
        <v>0</v>
      </c>
      <c r="DP16" s="4">
        <f>ROUND((csv!$HG16/10+calc!DP$1),1)</f>
        <v>0.1</v>
      </c>
      <c r="DQ16" s="4">
        <f>ROUND((csv!$HG16/10+calc!DQ$1),1)</f>
        <v>0.2</v>
      </c>
      <c r="DR16" s="4">
        <f>ROUND((csv!$HG16/10+calc!DR$1),1)</f>
        <v>0.3</v>
      </c>
      <c r="DS16" s="4">
        <f>ROUND((csv!$HG16/10+calc!DS$1),1)</f>
        <v>0.4</v>
      </c>
      <c r="DT16" s="4">
        <f>ROUND((csv!$HG16/10+calc!DT$1),1)</f>
        <v>0.5</v>
      </c>
      <c r="DU16" s="4">
        <f>ROUND((csv!$HG16/10+calc!DU$1),1)</f>
        <v>0.6</v>
      </c>
      <c r="DV16" s="4">
        <f>ROUND((csv!$HG16/10+calc!DV$1),1)</f>
        <v>0.7</v>
      </c>
      <c r="DW16" s="4">
        <f>ROUND((csv!$HG16/10+calc!DW$1),1)</f>
        <v>0.8</v>
      </c>
      <c r="DX16" s="4">
        <f>ROUND((csv!$HG16/10+calc!DX$1),1)</f>
        <v>0.9</v>
      </c>
      <c r="DY16" s="4">
        <f>ROUND((csv!$HG16/10+calc!DY$1),1)</f>
        <v>1</v>
      </c>
      <c r="DZ16" s="4">
        <f>ROUND((csv!$HG16/10+calc!DZ$1),1)</f>
        <v>1.1000000000000001</v>
      </c>
      <c r="EA16" s="4">
        <f>ROUND((csv!$HG16/10+calc!EA$1),1)</f>
        <v>1.2</v>
      </c>
      <c r="EB16" s="4">
        <f>ROUND((csv!$HG16/10+calc!EB$1),1)</f>
        <v>1.3</v>
      </c>
      <c r="EC16" s="4">
        <f>ROUND((csv!$HG16/10+calc!EC$1),1)</f>
        <v>1.4</v>
      </c>
      <c r="ED16" s="4">
        <f>ROUND((csv!$HG16/10+calc!ED$1),1)</f>
        <v>1.5</v>
      </c>
      <c r="EE16" s="4">
        <f>ROUND((csv!$HG16/10+calc!EE$1),1)</f>
        <v>1.6</v>
      </c>
      <c r="EF16" s="4">
        <f>ROUND((csv!$HG16/10+calc!EF$1),1)</f>
        <v>1.7</v>
      </c>
      <c r="EG16" s="4">
        <f>ROUND((csv!$HG16/10+calc!EG$1),1)</f>
        <v>1.8</v>
      </c>
      <c r="EH16" s="4">
        <f>ROUND((csv!$HG16/10+calc!EH$1),1)</f>
        <v>1.9</v>
      </c>
      <c r="EI16" s="4">
        <f>ROUND((csv!$HG16/10+calc!EI$1),1)</f>
        <v>2</v>
      </c>
      <c r="EJ16" s="4">
        <f>ROUND((csv!$HG16/10+calc!EJ$1),1)</f>
        <v>2.1</v>
      </c>
      <c r="EK16" s="4">
        <f>ROUND((csv!$HG16/10+calc!EK$1),1)</f>
        <v>2.2000000000000002</v>
      </c>
      <c r="EL16" s="4">
        <f>ROUND((csv!$HG16/10+calc!EL$1),1)</f>
        <v>2.2999999999999998</v>
      </c>
      <c r="EM16" s="4">
        <f>ROUND((csv!$HG16/10+calc!EM$1),1)</f>
        <v>2.4</v>
      </c>
      <c r="EN16" s="4">
        <f>ROUND((csv!$HG16/10+calc!EN$1),1)</f>
        <v>2.5</v>
      </c>
      <c r="EO16" s="4">
        <f>ROUND((csv!$HG16/10+calc!EO$1),1)</f>
        <v>2.6</v>
      </c>
      <c r="EP16" s="4">
        <f>ROUND((csv!$HG16/10+calc!EP$1),1)</f>
        <v>2.7</v>
      </c>
      <c r="EQ16" s="4">
        <f>ROUND((csv!$HG16/10+calc!EQ$1),1)</f>
        <v>2.8</v>
      </c>
      <c r="ER16" s="4">
        <f>ROUND((csv!$HG16/10+calc!ER$1),1)</f>
        <v>2.9</v>
      </c>
      <c r="ES16" s="4">
        <f>ROUND((csv!$HG16/10+calc!ES$1),1)</f>
        <v>3</v>
      </c>
      <c r="ET16" s="4">
        <f>ROUND((csv!$HG16/10+calc!ET$1),1)</f>
        <v>3.1</v>
      </c>
      <c r="EU16" s="4">
        <f>ROUND((csv!$HG16/10+calc!EU$1),1)</f>
        <v>3.2</v>
      </c>
      <c r="EV16" s="4">
        <f>ROUND((csv!$HG16/10+calc!EV$1),1)</f>
        <v>3.3</v>
      </c>
      <c r="EW16" s="4">
        <f>ROUND((csv!$HG16/10+calc!EW$1),1)</f>
        <v>3.4</v>
      </c>
      <c r="EX16" s="4">
        <f>ROUND((csv!$HG16/10+calc!EX$1),1)</f>
        <v>3.5</v>
      </c>
      <c r="EY16" s="4">
        <f>ROUND((csv!$HG16/10+calc!EY$1),1)</f>
        <v>3.6</v>
      </c>
      <c r="EZ16" s="4">
        <f>ROUND((csv!$HG16/10+calc!EZ$1),1)</f>
        <v>3.7</v>
      </c>
      <c r="FA16" s="4">
        <f>ROUND((csv!$HG16/10+calc!FA$1),1)</f>
        <v>3.8</v>
      </c>
      <c r="FB16" s="4">
        <f>ROUND((csv!$HG16/10+calc!FB$1),1)</f>
        <v>3.9</v>
      </c>
      <c r="FC16" s="4">
        <f>ROUND((csv!$HG16/10+calc!FC$1),1)</f>
        <v>4</v>
      </c>
      <c r="FD16" s="4">
        <f>ROUND((csv!$HG16/10+calc!FD$1),1)</f>
        <v>4.0999999999999996</v>
      </c>
      <c r="FE16" s="4">
        <f>ROUND((csv!$HG16/10+calc!FE$1),1)</f>
        <v>4.2</v>
      </c>
      <c r="FF16" s="4">
        <f>ROUND((csv!$HG16/10+calc!FF$1),1)</f>
        <v>4.3</v>
      </c>
      <c r="FG16" s="4">
        <f>ROUND((csv!$HG16/10+calc!FG$1),1)</f>
        <v>4.4000000000000004</v>
      </c>
      <c r="FH16" s="4">
        <f>ROUND((csv!$HG16/10+calc!FH$1),1)</f>
        <v>4.5</v>
      </c>
      <c r="FI16" s="4">
        <f>ROUND((csv!$HG16/10+calc!FI$1),1)</f>
        <v>4.5999999999999996</v>
      </c>
      <c r="FJ16" s="4">
        <f>ROUND((csv!$HG16/10+calc!FJ$1),1)</f>
        <v>4.7</v>
      </c>
      <c r="FK16" s="4">
        <f>ROUND((csv!$HG16/10+calc!FK$1),1)</f>
        <v>4.8</v>
      </c>
      <c r="FL16" s="4">
        <f>ROUND((csv!$HG16/10+calc!FL$1),1)</f>
        <v>4.9000000000000004</v>
      </c>
      <c r="FM16" s="4">
        <f>ROUND((csv!$HG16/10+calc!FM$1),1)</f>
        <v>5</v>
      </c>
      <c r="FN16" s="4">
        <f>ROUND((csv!$HG16/10+calc!FN$1),1)</f>
        <v>5.0999999999999996</v>
      </c>
      <c r="FO16" s="4">
        <f>ROUND((csv!$HG16/10+calc!FO$1),1)</f>
        <v>5.2</v>
      </c>
      <c r="FP16" s="4">
        <f>ROUND((csv!$HG16/10+calc!FP$1),1)</f>
        <v>5.3</v>
      </c>
      <c r="FQ16" s="4">
        <f>ROUND((csv!$HG16/10+calc!FQ$1),1)</f>
        <v>5.4</v>
      </c>
      <c r="FR16" s="4">
        <f>ROUND((csv!$HG16/10+calc!FR$1),1)</f>
        <v>5.5</v>
      </c>
      <c r="FS16" s="4">
        <f>ROUND((csv!$HG16/10+calc!FS$1),1)</f>
        <v>5.6</v>
      </c>
      <c r="FT16" s="4">
        <f>ROUND((csv!$HG16/10+calc!FT$1),1)</f>
        <v>5.7</v>
      </c>
      <c r="FU16" s="4">
        <f>ROUND((csv!$HG16/10+calc!FU$1),1)</f>
        <v>5.8</v>
      </c>
      <c r="FV16" s="4">
        <f>ROUND((csv!$HG16/10+calc!FV$1),1)</f>
        <v>5.9</v>
      </c>
      <c r="FW16" s="4">
        <f>ROUND((csv!$HG16/10+calc!FW$1),1)</f>
        <v>6</v>
      </c>
      <c r="FX16" s="4">
        <f>ROUND((csv!$HG16/10+calc!FX$1),1)</f>
        <v>6.1</v>
      </c>
      <c r="FY16" s="4">
        <f>ROUND((csv!$HG16/10+calc!FY$1),1)</f>
        <v>6.2</v>
      </c>
      <c r="FZ16" s="4">
        <f>ROUND((csv!$HG16/10+calc!FZ$1),1)</f>
        <v>6.3</v>
      </c>
      <c r="GA16" s="4">
        <f>ROUND((csv!$HG16/10+calc!GA$1),1)</f>
        <v>6.4</v>
      </c>
      <c r="GB16" s="4">
        <f>ROUND((csv!$HG16/10+calc!GB$1),1)</f>
        <v>6.5</v>
      </c>
      <c r="GC16" s="4">
        <f>ROUND((csv!$HG16/10+calc!GC$1),1)</f>
        <v>6.6</v>
      </c>
      <c r="GD16" s="4">
        <f>ROUND((csv!$HG16/10+calc!GD$1),1)</f>
        <v>6.7</v>
      </c>
      <c r="GE16" s="4">
        <f>ROUND((csv!$HG16/10+calc!GE$1),1)</f>
        <v>6.8</v>
      </c>
      <c r="GF16" s="4">
        <f>ROUND((csv!$HG16/10+calc!GF$1),1)</f>
        <v>6.9</v>
      </c>
      <c r="GG16" s="4">
        <f>ROUND((csv!$HG16/10+calc!GG$1),1)</f>
        <v>7</v>
      </c>
      <c r="GH16" s="4">
        <f>ROUND((csv!$HG16/10+calc!GH$1),1)</f>
        <v>7.1</v>
      </c>
      <c r="GI16" s="4">
        <f>ROUND((csv!$HG16/10+calc!GI$1),1)</f>
        <v>7.2</v>
      </c>
      <c r="GJ16" s="4">
        <f>ROUND((csv!$HG16/10+calc!GJ$1),1)</f>
        <v>7.3</v>
      </c>
      <c r="GK16" s="4">
        <f>ROUND((csv!$HG16/10+calc!GK$1),1)</f>
        <v>7.4</v>
      </c>
      <c r="GL16" s="4">
        <f>ROUND((csv!$HG16/10+calc!GL$1),1)</f>
        <v>7.5</v>
      </c>
      <c r="GM16" s="4">
        <f>ROUND((csv!$HG16/10+calc!GM$1),1)</f>
        <v>7.6</v>
      </c>
      <c r="GN16" s="4">
        <f>ROUND((csv!$HG16/10+calc!GN$1),1)</f>
        <v>7.7</v>
      </c>
      <c r="GO16" s="4">
        <f>ROUND((csv!$HG16/10+calc!GO$1),1)</f>
        <v>7.8</v>
      </c>
      <c r="GP16" s="4">
        <f>ROUND((csv!$HG16/10+calc!GP$1),1)</f>
        <v>7.9</v>
      </c>
      <c r="GQ16" s="4">
        <f>ROUND((csv!$HG16/10+calc!GQ$1),1)</f>
        <v>8</v>
      </c>
      <c r="GR16" s="4">
        <f>ROUND((csv!$HG16/10+calc!GR$1),1)</f>
        <v>8.1</v>
      </c>
      <c r="GS16" s="4">
        <f>ROUND((csv!$HG16/10+calc!GS$1),1)</f>
        <v>8.1999999999999993</v>
      </c>
      <c r="GT16" s="4">
        <f>ROUND((csv!$HG16/10+calc!GT$1),1)</f>
        <v>8.3000000000000007</v>
      </c>
      <c r="GU16" s="4">
        <f>ROUND((csv!$HG16/10+calc!GU$1),1)</f>
        <v>8.4</v>
      </c>
      <c r="GV16" s="4">
        <f>ROUND((csv!$HG16/10+calc!GV$1),1)</f>
        <v>8.5</v>
      </c>
      <c r="GW16" s="4">
        <f>ROUND((csv!$HG16/10+calc!GW$1),1)</f>
        <v>8.6</v>
      </c>
      <c r="GX16" s="4">
        <f>ROUND((csv!$HG16/10+calc!GX$1),1)</f>
        <v>8.6999999999999993</v>
      </c>
      <c r="GY16" s="4">
        <f>ROUND((csv!$HG16/10+calc!GY$1),1)</f>
        <v>8.8000000000000007</v>
      </c>
      <c r="GZ16" s="4">
        <f>ROUND((csv!$HG16/10+calc!GZ$1),1)</f>
        <v>8.9</v>
      </c>
      <c r="HA16" s="4">
        <f>ROUND((csv!$HG16/10+calc!HA$1),1)</f>
        <v>9</v>
      </c>
      <c r="HB16" s="4">
        <f>ROUND((csv!$HG16/10+calc!HB$1),1)</f>
        <v>9.1</v>
      </c>
      <c r="HC16" s="4">
        <f>ROUND((csv!$HG16/10+calc!HC$1),1)</f>
        <v>9.1999999999999993</v>
      </c>
      <c r="HD16" s="4">
        <f>ROUND((csv!$HG16/10+calc!HD$1),1)</f>
        <v>9.3000000000000007</v>
      </c>
      <c r="HE16" s="4">
        <f>ROUND((csv!$HG16/10+calc!HE$1),1)</f>
        <v>9.4</v>
      </c>
      <c r="HF16" s="4">
        <f>ROUND((csv!$HG16/10+calc!HF$1),1)</f>
        <v>9.5</v>
      </c>
      <c r="HG16" s="4">
        <f>ROUND((csv!$HG16/10+calc!HG$1),1)</f>
        <v>9.6</v>
      </c>
      <c r="HH16" s="4">
        <f>ROUND((csv!$HG16/10+calc!HH$1),1)</f>
        <v>9.6999999999999993</v>
      </c>
      <c r="HI16" s="4">
        <f>ROUND((csv!$HG16/10+calc!HI$1),1)</f>
        <v>9.8000000000000007</v>
      </c>
      <c r="HJ16" s="4">
        <f>ROUND((csv!$HG16/10+calc!HJ$1),1)</f>
        <v>9.9</v>
      </c>
      <c r="HK16" s="4">
        <f>ROUND((csv!$HG16/10+calc!HK$1),1)</f>
        <v>10</v>
      </c>
      <c r="HM16" s="2">
        <f>csv!A16*10000+csv!B16*100+csv!C16</f>
        <v>0</v>
      </c>
      <c r="HN16" s="5">
        <f>IF(ISERROR(LOOKUP(HN$1,$S16:$HK16,csv!$L16:$HD16)),NA(),LOOKUP(HN$1,$S16:$HK16,csv!$L16:$HD16))</f>
        <v>0</v>
      </c>
      <c r="HO16" s="5">
        <f>IF(ISERROR(LOOKUP(HO$1,$S16:$HK16,csv!$L16:$HD16)),NA(),LOOKUP(HO$1,$S16:$HK16,csv!$L16:$HD16))</f>
        <v>0</v>
      </c>
      <c r="HP16" s="5">
        <f>IF(ISERROR(LOOKUP(HP$1,$S16:$HK16,csv!$L16:$HD16)),NA(),LOOKUP(HP$1,$S16:$HK16,csv!$L16:$HD16))</f>
        <v>0</v>
      </c>
      <c r="HQ16" s="5">
        <f>IF(ISERROR(LOOKUP(HQ$1,$S16:$HK16,csv!$L16:$HD16)),NA(),LOOKUP(HQ$1,$S16:$HK16,csv!$L16:$HD16))</f>
        <v>0</v>
      </c>
      <c r="HR16" s="5">
        <f>IF(ISERROR(LOOKUP(HR$1,$S16:$HK16,csv!$L16:$HD16)),NA(),LOOKUP(HR$1,$S16:$HK16,csv!$L16:$HD16))</f>
        <v>0</v>
      </c>
      <c r="HS16" s="5">
        <f>IF(ISERROR(LOOKUP(HS$1,$S16:$HK16,csv!$L16:$HD16)),NA(),LOOKUP(HS$1,$S16:$HK16,csv!$L16:$HD16))</f>
        <v>0</v>
      </c>
      <c r="HT16" s="5">
        <f>IF(ISERROR(LOOKUP(HT$1,$S16:$HK16,csv!$L16:$HD16)),NA(),LOOKUP(HT$1,$S16:$HK16,csv!$L16:$HD16))</f>
        <v>0</v>
      </c>
      <c r="HU16" s="5">
        <f>IF(ISERROR(LOOKUP(HU$1,$S16:$HK16,csv!$L16:$HD16)),NA(),LOOKUP(HU$1,$S16:$HK16,csv!$L16:$HD16))</f>
        <v>0</v>
      </c>
      <c r="HV16" s="5">
        <f>IF(ISERROR(LOOKUP(HV$1,$S16:$HK16,csv!$L16:$HD16)),NA(),LOOKUP(HV$1,$S16:$HK16,csv!$L16:$HD16))</f>
        <v>0</v>
      </c>
      <c r="HW16" s="5">
        <f>IF(ISERROR(LOOKUP(HW$1,$S16:$HK16,csv!$L16:$HD16)),NA(),LOOKUP(HW$1,$S16:$HK16,csv!$L16:$HD16))</f>
        <v>0</v>
      </c>
      <c r="HX16" s="5">
        <f>IF(ISERROR(LOOKUP(HX$1,$S16:$HK16,csv!$L16:$HD16)),NA(),LOOKUP(HX$1,$S16:$HK16,csv!$L16:$HD16))</f>
        <v>0</v>
      </c>
      <c r="HY16" s="5">
        <f>IF(ISERROR(LOOKUP(HY$1,$S16:$HK16,csv!$L16:$HD16)),NA(),LOOKUP(HY$1,$S16:$HK16,csv!$L16:$HD16))</f>
        <v>0</v>
      </c>
      <c r="HZ16" s="5">
        <f>IF(ISERROR(LOOKUP(HZ$1,$S16:$HK16,csv!$L16:$HD16)),NA(),LOOKUP(HZ$1,$S16:$HK16,csv!$L16:$HD16))</f>
        <v>0</v>
      </c>
      <c r="IA16" s="5">
        <f>IF(ISERROR(LOOKUP(IA$1,$S16:$HK16,csv!$L16:$HD16)),NA(),LOOKUP(IA$1,$S16:$HK16,csv!$L16:$HD16))</f>
        <v>0</v>
      </c>
      <c r="IB16" s="5">
        <f>IF(ISERROR(LOOKUP(IB$1,$S16:$HK16,csv!$L16:$HD16)),NA(),LOOKUP(IB$1,$S16:$HK16,csv!$L16:$HD16))</f>
        <v>0</v>
      </c>
      <c r="IC16" s="5">
        <f>IF(ISERROR(LOOKUP(IC$1,$S16:$HK16,csv!$L16:$HD16)),NA(),LOOKUP(IC$1,$S16:$HK16,csv!$L16:$HD16))</f>
        <v>0</v>
      </c>
      <c r="ID16" s="5">
        <f>IF(ISERROR(LOOKUP(ID$1,$S16:$HK16,csv!$L16:$HD16)),NA(),LOOKUP(ID$1,$S16:$HK16,csv!$L16:$HD16))</f>
        <v>0</v>
      </c>
      <c r="IE16" s="5">
        <f>IF(ISERROR(LOOKUP(IE$1,$S16:$HK16,csv!$L16:$HD16)),NA(),LOOKUP(IE$1,$S16:$HK16,csv!$L16:$HD16))</f>
        <v>0</v>
      </c>
      <c r="IF16" s="5">
        <f>IF(ISERROR(LOOKUP(IF$1,$S16:$HK16,csv!$L16:$HD16)),NA(),LOOKUP(IF$1,$S16:$HK16,csv!$L16:$HD16))</f>
        <v>0</v>
      </c>
      <c r="IG16" s="5">
        <f>IF(ISERROR(LOOKUP(IG$1,$S16:$HK16,csv!$L16:$HD16)),NA(),LOOKUP(IG$1,$S16:$HK16,csv!$L16:$HD16))</f>
        <v>0</v>
      </c>
      <c r="IH16" s="5">
        <f>IF(ISERROR(LOOKUP(IH$1,$S16:$HK16,csv!$L16:$HD16)),NA(),LOOKUP(IH$1,$S16:$HK16,csv!$L16:$HD16))</f>
        <v>0</v>
      </c>
      <c r="II16" s="5">
        <f>IF(ISERROR(LOOKUP(II$1,$S16:$HK16,csv!$L16:$HD16)),NA(),LOOKUP(II$1,$S16:$HK16,csv!$L16:$HD16))</f>
        <v>0</v>
      </c>
      <c r="IJ16" s="5">
        <f>IF(ISERROR(LOOKUP(IJ$1,$S16:$HK16,csv!$L16:$HD16)),NA(),LOOKUP(IJ$1,$S16:$HK16,csv!$L16:$HD16))</f>
        <v>0</v>
      </c>
      <c r="IK16" s="5">
        <f>IF(ISERROR(LOOKUP(IK$1,$S16:$HK16,csv!$L16:$HD16)),NA(),LOOKUP(IK$1,$S16:$HK16,csv!$L16:$HD16))</f>
        <v>0</v>
      </c>
      <c r="IL16" s="5">
        <f>IF(ISERROR(LOOKUP(IL$1,$S16:$HK16,csv!$L16:$HD16)),NA(),LOOKUP(IL$1,$S16:$HK16,csv!$L16:$HD16))</f>
        <v>0</v>
      </c>
      <c r="IM16" s="5">
        <f>IF(ISERROR(LOOKUP(IM$1,$S16:$HK16,csv!$L16:$HD16)),NA(),LOOKUP(IM$1,$S16:$HK16,csv!$L16:$HD16))</f>
        <v>0</v>
      </c>
      <c r="IN16" s="5">
        <f>IF(ISERROR(LOOKUP(IN$1,$S16:$HK16,csv!$L16:$HD16)),NA(),LOOKUP(IN$1,$S16:$HK16,csv!$L16:$HD16))</f>
        <v>0</v>
      </c>
      <c r="IO16" s="5">
        <f>IF(ISERROR(LOOKUP(IO$1,$S16:$HK16,csv!$L16:$HD16)),NA(),LOOKUP(IO$1,$S16:$HK16,csv!$L16:$HD16))</f>
        <v>0</v>
      </c>
      <c r="IP16" s="5">
        <f>IF(ISERROR(LOOKUP(IP$1,$S16:$HK16,csv!$L16:$HD16)),NA(),LOOKUP(IP$1,$S16:$HK16,csv!$L16:$HD16))</f>
        <v>0</v>
      </c>
      <c r="IQ16" s="5">
        <f>IF(ISERROR(LOOKUP(IQ$1,$S16:$HK16,csv!$L16:$HD16)),NA(),LOOKUP(IQ$1,$S16:$HK16,csv!$L16:$HD16))</f>
        <v>0</v>
      </c>
      <c r="IR16" s="5">
        <f>IF(ISERROR(LOOKUP(IR$1,$S16:$HK16,csv!$L16:$HD16)),NA(),LOOKUP(IR$1,$S16:$HK16,csv!$L16:$HD16))</f>
        <v>0</v>
      </c>
      <c r="IS16" s="5">
        <f>IF(ISERROR(LOOKUP(IS$1,$S16:$HK16,csv!$L16:$HD16)),NA(),LOOKUP(IS$1,$S16:$HK16,csv!$L16:$HD16))</f>
        <v>0</v>
      </c>
      <c r="IT16" s="5">
        <f>IF(ISERROR(LOOKUP(IT$1,$S16:$HK16,csv!$L16:$HD16)),NA(),LOOKUP(IT$1,$S16:$HK16,csv!$L16:$HD16))</f>
        <v>0</v>
      </c>
      <c r="IU16" s="5">
        <f>IF(ISERROR(LOOKUP(IU$1,$S16:$HK16,csv!$L16:$HD16)),NA(),LOOKUP(IU$1,$S16:$HK16,csv!$L16:$HD16))</f>
        <v>0</v>
      </c>
      <c r="IV16" s="5">
        <f>IF(ISERROR(LOOKUP(IV$1,$S16:$HK16,csv!$L16:$HD16)),NA(),LOOKUP(IV$1,$S16:$HK16,csv!$L16:$HD16))</f>
        <v>0</v>
      </c>
      <c r="IW16" s="5">
        <f>IF(ISERROR(LOOKUP(IW$1,$S16:$HK16,csv!$L16:$HD16)),NA(),LOOKUP(IW$1,$S16:$HK16,csv!$L16:$HD16))</f>
        <v>0</v>
      </c>
      <c r="IX16" s="5">
        <f>IF(ISERROR(LOOKUP(IX$1,$S16:$HK16,csv!$L16:$HD16)),NA(),LOOKUP(IX$1,$S16:$HK16,csv!$L16:$HD16))</f>
        <v>0</v>
      </c>
      <c r="IY16" s="5">
        <f>IF(ISERROR(LOOKUP(IY$1,$S16:$HK16,csv!$L16:$HD16)),NA(),LOOKUP(IY$1,$S16:$HK16,csv!$L16:$HD16))</f>
        <v>0</v>
      </c>
      <c r="IZ16" s="5">
        <f>IF(ISERROR(LOOKUP(IZ$1,$S16:$HK16,csv!$L16:$HD16)),NA(),LOOKUP(IZ$1,$S16:$HK16,csv!$L16:$HD16))</f>
        <v>0</v>
      </c>
      <c r="JA16" s="5">
        <f>IF(ISERROR(LOOKUP(JA$1,$S16:$HK16,csv!$L16:$HD16)),NA(),LOOKUP(JA$1,$S16:$HK16,csv!$L16:$HD16))</f>
        <v>0</v>
      </c>
      <c r="JB16" s="5">
        <f>IF(ISERROR(LOOKUP(JB$1,$S16:$HK16,csv!$L16:$HD16)),NA(),LOOKUP(JB$1,$S16:$HK16,csv!$L16:$HD16))</f>
        <v>0</v>
      </c>
      <c r="JC16" s="5">
        <f>IF(ISERROR(LOOKUP(JC$1,$S16:$HK16,csv!$L16:$HD16)),NA(),LOOKUP(JC$1,$S16:$HK16,csv!$L16:$HD16))</f>
        <v>0</v>
      </c>
      <c r="JD16" s="5">
        <f>IF(ISERROR(LOOKUP(JD$1,$S16:$HK16,csv!$L16:$HD16)),NA(),LOOKUP(JD$1,$S16:$HK16,csv!$L16:$HD16))</f>
        <v>0</v>
      </c>
      <c r="JE16" s="5">
        <f>IF(ISERROR(LOOKUP(JE$1,$S16:$HK16,csv!$L16:$HD16)),NA(),LOOKUP(JE$1,$S16:$HK16,csv!$L16:$HD16))</f>
        <v>0</v>
      </c>
      <c r="JF16" s="5">
        <f>IF(ISERROR(LOOKUP(JF$1,$S16:$HK16,csv!$L16:$HD16)),NA(),LOOKUP(JF$1,$S16:$HK16,csv!$L16:$HD16))</f>
        <v>0</v>
      </c>
      <c r="JG16" s="5">
        <f>IF(ISERROR(LOOKUP(JG$1,$S16:$HK16,csv!$L16:$HD16)),NA(),LOOKUP(JG$1,$S16:$HK16,csv!$L16:$HD16))</f>
        <v>0</v>
      </c>
      <c r="JH16" s="5">
        <f>IF(ISERROR(LOOKUP(JH$1,$S16:$HK16,csv!$L16:$HD16)),NA(),LOOKUP(JH$1,$S16:$HK16,csv!$L16:$HD16))</f>
        <v>0</v>
      </c>
      <c r="JI16" s="5">
        <f>IF(ISERROR(LOOKUP(JI$1,$S16:$HK16,csv!$L16:$HD16)),NA(),LOOKUP(JI$1,$S16:$HK16,csv!$L16:$HD16))</f>
        <v>0</v>
      </c>
      <c r="JJ16" s="5">
        <f>IF(ISERROR(LOOKUP(JJ$1,$S16:$HK16,csv!$L16:$HD16)),NA(),LOOKUP(JJ$1,$S16:$HK16,csv!$L16:$HD16))</f>
        <v>0</v>
      </c>
      <c r="JK16" s="5">
        <f>IF(ISERROR(LOOKUP(JK$1,$S16:$HK16,csv!$L16:$HD16)),NA(),LOOKUP(JK$1,$S16:$HK16,csv!$L16:$HD16))</f>
        <v>0</v>
      </c>
      <c r="JL16" s="5">
        <f>IF(ISERROR(LOOKUP(JL$1,$S16:$HK16,csv!$L16:$HD16)),NA(),LOOKUP(JL$1,$S16:$HK16,csv!$L16:$HD16))</f>
        <v>0</v>
      </c>
      <c r="JM16" s="5">
        <f>IF(ISERROR(LOOKUP(JM$1,$S16:$HK16,csv!$L16:$HD16)),NA(),LOOKUP(JM$1,$S16:$HK16,csv!$L16:$HD16))</f>
        <v>0</v>
      </c>
      <c r="JN16" s="5">
        <f>IF(ISERROR(LOOKUP(JN$1,$S16:$HK16,csv!$L16:$HD16)),NA(),LOOKUP(JN$1,$S16:$HK16,csv!$L16:$HD16))</f>
        <v>0</v>
      </c>
      <c r="JO16" s="5">
        <f>IF(ISERROR(LOOKUP(JO$1,$S16:$HK16,csv!$L16:$HD16)),NA(),LOOKUP(JO$1,$S16:$HK16,csv!$L16:$HD16))</f>
        <v>0</v>
      </c>
      <c r="JP16" s="5">
        <f>IF(ISERROR(LOOKUP(JP$1,$S16:$HK16,csv!$L16:$HD16)),NA(),LOOKUP(JP$1,$S16:$HK16,csv!$L16:$HD16))</f>
        <v>0</v>
      </c>
      <c r="JQ16" s="5">
        <f>IF(ISERROR(LOOKUP(JQ$1,$S16:$HK16,csv!$L16:$HD16)),NA(),LOOKUP(JQ$1,$S16:$HK16,csv!$L16:$HD16))</f>
        <v>0</v>
      </c>
      <c r="JR16" s="5">
        <f>IF(ISERROR(LOOKUP(JR$1,$S16:$HK16,csv!$L16:$HD16)),NA(),LOOKUP(JR$1,$S16:$HK16,csv!$L16:$HD16))</f>
        <v>0</v>
      </c>
      <c r="JS16" s="5">
        <f>IF(ISERROR(LOOKUP(JS$1,$S16:$HK16,csv!$L16:$HD16)),NA(),LOOKUP(JS$1,$S16:$HK16,csv!$L16:$HD16))</f>
        <v>0</v>
      </c>
      <c r="JT16" s="5">
        <f>IF(ISERROR(LOOKUP(JT$1,$S16:$HK16,csv!$L16:$HD16)),NA(),LOOKUP(JT$1,$S16:$HK16,csv!$L16:$HD16))</f>
        <v>0</v>
      </c>
      <c r="JU16" s="5">
        <f>IF(ISERROR(LOOKUP(JU$1,$S16:$HK16,csv!$L16:$HD16)),NA(),LOOKUP(JU$1,$S16:$HK16,csv!$L16:$HD16))</f>
        <v>0</v>
      </c>
      <c r="JV16" s="5">
        <f>IF(ISERROR(LOOKUP(JV$1,$S16:$HK16,csv!$L16:$HD16)),NA(),LOOKUP(JV$1,$S16:$HK16,csv!$L16:$HD16))</f>
        <v>0</v>
      </c>
      <c r="JW16" s="5">
        <f>IF(ISERROR(LOOKUP(JW$1,$S16:$HK16,csv!$L16:$HD16)),NA(),LOOKUP(JW$1,$S16:$HK16,csv!$L16:$HD16))</f>
        <v>0</v>
      </c>
      <c r="JX16" s="5">
        <f>IF(ISERROR(LOOKUP(JX$1,$S16:$HK16,csv!$L16:$HD16)),NA(),LOOKUP(JX$1,$S16:$HK16,csv!$L16:$HD16))</f>
        <v>0</v>
      </c>
      <c r="JY16" s="5">
        <f>IF(ISERROR(LOOKUP(JY$1,$S16:$HK16,csv!$L16:$HD16)),NA(),LOOKUP(JY$1,$S16:$HK16,csv!$L16:$HD16))</f>
        <v>0</v>
      </c>
      <c r="JZ16" s="5">
        <f>IF(ISERROR(LOOKUP(JZ$1,$S16:$HK16,csv!$L16:$HD16)),NA(),LOOKUP(JZ$1,$S16:$HK16,csv!$L16:$HD16))</f>
        <v>0</v>
      </c>
      <c r="KA16" s="5">
        <f>IF(ISERROR(LOOKUP(KA$1,$S16:$HK16,csv!$L16:$HD16)),NA(),LOOKUP(KA$1,$S16:$HK16,csv!$L16:$HD16))</f>
        <v>0</v>
      </c>
      <c r="KB16" s="5">
        <f>IF(ISERROR(LOOKUP(KB$1,$S16:$HK16,csv!$L16:$HD16)),NA(),LOOKUP(KB$1,$S16:$HK16,csv!$L16:$HD16))</f>
        <v>0</v>
      </c>
      <c r="KC16" s="5">
        <f>IF(ISERROR(LOOKUP(KC$1,$S16:$HK16,csv!$L16:$HD16)),NA(),LOOKUP(KC$1,$S16:$HK16,csv!$L16:$HD16))</f>
        <v>0</v>
      </c>
      <c r="KD16" s="5">
        <f>IF(ISERROR(LOOKUP(KD$1,$S16:$HK16,csv!$L16:$HD16)),NA(),LOOKUP(KD$1,$S16:$HK16,csv!$L16:$HD16))</f>
        <v>0</v>
      </c>
      <c r="KE16" s="5">
        <f>IF(ISERROR(LOOKUP(KE$1,$S16:$HK16,csv!$L16:$HD16)),NA(),LOOKUP(KE$1,$S16:$HK16,csv!$L16:$HD16))</f>
        <v>0</v>
      </c>
      <c r="KF16" s="5">
        <f>IF(ISERROR(LOOKUP(KF$1,$S16:$HK16,csv!$L16:$HD16)),NA(),LOOKUP(KF$1,$S16:$HK16,csv!$L16:$HD16))</f>
        <v>0</v>
      </c>
      <c r="KG16" s="5">
        <f>IF(ISERROR(LOOKUP(KG$1,$S16:$HK16,csv!$L16:$HD16)),NA(),LOOKUP(KG$1,$S16:$HK16,csv!$L16:$HD16))</f>
        <v>0</v>
      </c>
      <c r="KH16" s="5">
        <f>IF(ISERROR(LOOKUP(KH$1,$S16:$HK16,csv!$L16:$HD16)),NA(),LOOKUP(KH$1,$S16:$HK16,csv!$L16:$HD16))</f>
        <v>0</v>
      </c>
      <c r="KI16" s="5">
        <f>IF(ISERROR(LOOKUP(KI$1,$S16:$HK16,csv!$L16:$HD16)),NA(),LOOKUP(KI$1,$S16:$HK16,csv!$L16:$HD16))</f>
        <v>0</v>
      </c>
      <c r="KJ16" s="5">
        <f>IF(ISERROR(LOOKUP(KJ$1,$S16:$HK16,csv!$L16:$HD16)),NA(),LOOKUP(KJ$1,$S16:$HK16,csv!$L16:$HD16))</f>
        <v>0</v>
      </c>
      <c r="KK16" s="5">
        <f>IF(ISERROR(LOOKUP(KK$1,$S16:$HK16,csv!$L16:$HD16)),NA(),LOOKUP(KK$1,$S16:$HK16,csv!$L16:$HD16))</f>
        <v>0</v>
      </c>
      <c r="KL16" s="5">
        <f>IF(ISERROR(LOOKUP(KL$1,$S16:$HK16,csv!$L16:$HD16)),NA(),LOOKUP(KL$1,$S16:$HK16,csv!$L16:$HD16))</f>
        <v>0</v>
      </c>
      <c r="KM16" s="5">
        <f>IF(ISERROR(LOOKUP(KM$1,$S16:$HK16,csv!$L16:$HD16)),NA(),LOOKUP(KM$1,$S16:$HK16,csv!$L16:$HD16))</f>
        <v>0</v>
      </c>
      <c r="KN16" s="5">
        <f>IF(ISERROR(LOOKUP(KN$1,$S16:$HK16,csv!$L16:$HD16)),NA(),LOOKUP(KN$1,$S16:$HK16,csv!$L16:$HD16))</f>
        <v>0</v>
      </c>
      <c r="KO16" s="5">
        <f>IF(ISERROR(LOOKUP(KO$1,$S16:$HK16,csv!$L16:$HD16)),NA(),LOOKUP(KO$1,$S16:$HK16,csv!$L16:$HD16))</f>
        <v>0</v>
      </c>
      <c r="KP16" s="5">
        <f>IF(ISERROR(LOOKUP(KP$1,$S16:$HK16,csv!$L16:$HD16)),NA(),LOOKUP(KP$1,$S16:$HK16,csv!$L16:$HD16))</f>
        <v>0</v>
      </c>
      <c r="KQ16" s="5">
        <f>IF(ISERROR(LOOKUP(KQ$1,$S16:$HK16,csv!$L16:$HD16)),NA(),LOOKUP(KQ$1,$S16:$HK16,csv!$L16:$HD16))</f>
        <v>0</v>
      </c>
      <c r="KR16" s="5">
        <f>IF(ISERROR(LOOKUP(KR$1,$S16:$HK16,csv!$L16:$HD16)),NA(),LOOKUP(KR$1,$S16:$HK16,csv!$L16:$HD16))</f>
        <v>0</v>
      </c>
      <c r="KS16" s="5">
        <f>IF(ISERROR(LOOKUP(KS$1,$S16:$HK16,csv!$L16:$HD16)),NA(),LOOKUP(KS$1,$S16:$HK16,csv!$L16:$HD16))</f>
        <v>0</v>
      </c>
      <c r="KT16" s="5">
        <f>IF(ISERROR(LOOKUP(KT$1,$S16:$HK16,csv!$L16:$HD16)),NA(),LOOKUP(KT$1,$S16:$HK16,csv!$L16:$HD16))</f>
        <v>0</v>
      </c>
      <c r="KU16" s="5">
        <f>IF(ISERROR(LOOKUP(KU$1,$S16:$HK16,csv!$L16:$HD16)),NA(),LOOKUP(KU$1,$S16:$HK16,csv!$L16:$HD16))</f>
        <v>0</v>
      </c>
      <c r="KV16" s="5">
        <f>IF(ISERROR(LOOKUP(KV$1,$S16:$HK16,csv!$L16:$HD16)),NA(),LOOKUP(KV$1,$S16:$HK16,csv!$L16:$HD16))</f>
        <v>0</v>
      </c>
      <c r="KW16" s="5">
        <f>IF(ISERROR(LOOKUP(KW$1,$S16:$HK16,csv!$L16:$HD16)),NA(),LOOKUP(KW$1,$S16:$HK16,csv!$L16:$HD16))</f>
        <v>0</v>
      </c>
      <c r="KX16" s="5">
        <f>IF(ISERROR(LOOKUP(KX$1,$S16:$HK16,csv!$L16:$HD16)),NA(),LOOKUP(KX$1,$S16:$HK16,csv!$L16:$HD16))</f>
        <v>0</v>
      </c>
      <c r="KY16" s="5">
        <f>IF(ISERROR(LOOKUP(KY$1,$S16:$HK16,csv!$L16:$HD16)),NA(),LOOKUP(KY$1,$S16:$HK16,csv!$L16:$HD16))</f>
        <v>0</v>
      </c>
      <c r="KZ16" s="5">
        <f>IF(ISERROR(LOOKUP(KZ$1,$S16:$HK16,csv!$L16:$HD16)),NA(),LOOKUP(KZ$1,$S16:$HK16,csv!$L16:$HD16))</f>
        <v>0</v>
      </c>
      <c r="LA16" s="5">
        <f>IF(ISERROR(LOOKUP(LA$1,$S16:$HK16,csv!$L16:$HD16)),NA(),LOOKUP(LA$1,$S16:$HK16,csv!$L16:$HD16))</f>
        <v>0</v>
      </c>
      <c r="LB16" s="5">
        <f>IF(ISERROR(LOOKUP(LB$1,$S16:$HK16,csv!$L16:$HD16)),NA(),LOOKUP(LB$1,$S16:$HK16,csv!$L16:$HD16))</f>
        <v>0</v>
      </c>
      <c r="LC16" s="5">
        <f>IF(ISERROR(LOOKUP(LC$1,$S16:$HK16,csv!$L16:$HD16)),NA(),LOOKUP(LC$1,$S16:$HK16,csv!$L16:$HD16))</f>
        <v>0</v>
      </c>
      <c r="LD16" s="5">
        <f>IF(ISERROR(LOOKUP(LD$1,$S16:$HK16,csv!$L16:$HD16)),NA(),LOOKUP(LD$1,$S16:$HK16,csv!$L16:$HD16))</f>
        <v>0</v>
      </c>
      <c r="LE16" s="5">
        <f>IF(ISERROR(LOOKUP(LE$1,$S16:$HK16,csv!$L16:$HD16)),NA(),LOOKUP(LE$1,$S16:$HK16,csv!$L16:$HD16))</f>
        <v>0</v>
      </c>
      <c r="LF16" s="5">
        <f>IF(ISERROR(LOOKUP(LF$1,$S16:$HK16,csv!$L16:$HD16)),NA(),LOOKUP(LF$1,$S16:$HK16,csv!$L16:$HD16))</f>
        <v>0</v>
      </c>
      <c r="LG16" s="5">
        <f>IF(ISERROR(LOOKUP(LG$1,$S16:$HK16,csv!$L16:$HD16)),NA(),LOOKUP(LG$1,$S16:$HK16,csv!$L16:$HD16))</f>
        <v>0</v>
      </c>
      <c r="LH16" s="5">
        <f>IF(ISERROR(LOOKUP(LH$1,$S16:$HK16,csv!$L16:$HD16)),NA(),LOOKUP(LH$1,$S16:$HK16,csv!$L16:$HD16))</f>
        <v>0</v>
      </c>
      <c r="LI16" s="5">
        <f>IF(ISERROR(LOOKUP(LI$1,$S16:$HK16,csv!$L16:$HD16)),NA(),LOOKUP(LI$1,$S16:$HK16,csv!$L16:$HD16))</f>
        <v>0</v>
      </c>
      <c r="LJ16" s="5">
        <f>IF(ISERROR(LOOKUP(LJ$1,$S16:$HK16,csv!$L16:$HD16)),NA(),LOOKUP(LJ$1,$S16:$HK16,csv!$L16:$HD16))</f>
        <v>0</v>
      </c>
      <c r="LK16" s="5">
        <f>IF(ISERROR(LOOKUP(LK$1,$S16:$HK16,csv!$L16:$HD16)),NA(),LOOKUP(LK$1,$S16:$HK16,csv!$L16:$HD16))</f>
        <v>0</v>
      </c>
      <c r="LL16" s="5">
        <f>IF(ISERROR(LOOKUP(LL$1,$S16:$HK16,csv!$L16:$HD16)),NA(),LOOKUP(LL$1,$S16:$HK16,csv!$L16:$HD16))</f>
        <v>0</v>
      </c>
      <c r="LM16" s="5">
        <f>IF(ISERROR(LOOKUP(LM$1,$S16:$HK16,csv!$L16:$HD16)),NA(),LOOKUP(LM$1,$S16:$HK16,csv!$L16:$HD16))</f>
        <v>0</v>
      </c>
      <c r="LN16" s="5">
        <f>IF(ISERROR(LOOKUP(LN$1,$S16:$HK16,csv!$L16:$HD16)),NA(),LOOKUP(LN$1,$S16:$HK16,csv!$L16:$HD16))</f>
        <v>0</v>
      </c>
      <c r="LO16" s="5">
        <f>IF(ISERROR(LOOKUP(LO$1,$S16:$HK16,csv!$L16:$HD16)),NA(),LOOKUP(LO$1,$S16:$HK16,csv!$L16:$HD16))</f>
        <v>0</v>
      </c>
      <c r="LP16" s="5">
        <f>IF(ISERROR(LOOKUP(LP$1,$S16:$HK16,csv!$L16:$HD16)),NA(),LOOKUP(LP$1,$S16:$HK16,csv!$L16:$HD16))</f>
        <v>0</v>
      </c>
      <c r="LQ16" s="5">
        <f>IF(ISERROR(LOOKUP(LQ$1,$S16:$HK16,csv!$L16:$HD16)),NA(),LOOKUP(LQ$1,$S16:$HK16,csv!$L16:$HD16))</f>
        <v>0</v>
      </c>
      <c r="LR16" s="5">
        <f>IF(ISERROR(LOOKUP(LR$1,$S16:$HK16,csv!$L16:$HD16)),NA(),LOOKUP(LR$1,$S16:$HK16,csv!$L16:$HD16))</f>
        <v>0</v>
      </c>
      <c r="LS16" s="5">
        <f>IF(ISERROR(LOOKUP(LS$1,$S16:$HK16,csv!$L16:$HD16)),NA(),LOOKUP(LS$1,$S16:$HK16,csv!$L16:$HD16))</f>
        <v>0</v>
      </c>
      <c r="LT16" s="5">
        <f>IF(ISERROR(LOOKUP(LT$1,$S16:$HK16,csv!$L16:$HD16)),NA(),LOOKUP(LT$1,$S16:$HK16,csv!$L16:$HD16))</f>
        <v>0</v>
      </c>
      <c r="LU16" s="5">
        <f>IF(ISERROR(LOOKUP(LU$1,$S16:$HK16,csv!$L16:$HD16)),NA(),LOOKUP(LU$1,$S16:$HK16,csv!$L16:$HD16))</f>
        <v>0</v>
      </c>
      <c r="LV16" s="5">
        <f>IF(ISERROR(LOOKUP(LV$1,$S16:$HK16,csv!$L16:$HD16)),NA(),LOOKUP(LV$1,$S16:$HK16,csv!$L16:$HD16))</f>
        <v>0</v>
      </c>
      <c r="LW16" s="5">
        <f>IF(ISERROR(LOOKUP(LW$1,$S16:$HK16,csv!$L16:$HD16)),NA(),LOOKUP(LW$1,$S16:$HK16,csv!$L16:$HD16))</f>
        <v>0</v>
      </c>
      <c r="LX16" s="5">
        <f>IF(ISERROR(LOOKUP(LX$1,$S16:$HK16,csv!$L16:$HD16)),NA(),LOOKUP(LX$1,$S16:$HK16,csv!$L16:$HD16))</f>
        <v>0</v>
      </c>
      <c r="LY16" s="5">
        <f>IF(ISERROR(LOOKUP(LY$1,$S16:$HK16,csv!$L16:$HD16)),NA(),LOOKUP(LY$1,$S16:$HK16,csv!$L16:$HD16))</f>
        <v>0</v>
      </c>
      <c r="LZ16" s="5">
        <f>IF(ISERROR(LOOKUP(LZ$1,$S16:$HK16,csv!$L16:$HD16)),NA(),LOOKUP(LZ$1,$S16:$HK16,csv!$L16:$HD16))</f>
        <v>0</v>
      </c>
      <c r="MA16" s="5">
        <f>IF(ISERROR(LOOKUP(MA$1,$S16:$HK16,csv!$L16:$HD16)),NA(),LOOKUP(MA$1,$S16:$HK16,csv!$L16:$HD16))</f>
        <v>0</v>
      </c>
      <c r="MB16" s="5">
        <f>IF(ISERROR(LOOKUP(MB$1,$S16:$HK16,csv!$L16:$HD16)),NA(),LOOKUP(MB$1,$S16:$HK16,csv!$L16:$HD16))</f>
        <v>0</v>
      </c>
      <c r="MC16" s="5">
        <f>IF(ISERROR(LOOKUP(MC$1,$S16:$HK16,csv!$L16:$HD16)),NA(),LOOKUP(MC$1,$S16:$HK16,csv!$L16:$HD16))</f>
        <v>0</v>
      </c>
      <c r="MD16" s="5">
        <f>IF(ISERROR(LOOKUP(MD$1,$S16:$HK16,csv!$L16:$HD16)),NA(),LOOKUP(MD$1,$S16:$HK16,csv!$L16:$HD16))</f>
        <v>0</v>
      </c>
      <c r="ME16" s="5">
        <f>IF(ISERROR(LOOKUP(ME$1,$S16:$HK16,csv!$L16:$HD16)),NA(),LOOKUP(ME$1,$S16:$HK16,csv!$L16:$HD16))</f>
        <v>0</v>
      </c>
      <c r="MF16" s="5">
        <f>IF(ISERROR(LOOKUP(MF$1,$S16:$HK16,csv!$L16:$HD16)),NA(),LOOKUP(MF$1,$S16:$HK16,csv!$L16:$HD16))</f>
        <v>0</v>
      </c>
      <c r="MG16" s="5">
        <f>IF(ISERROR(LOOKUP(MG$1,$S16:$HK16,csv!$L16:$HD16)),NA(),LOOKUP(MG$1,$S16:$HK16,csv!$L16:$HD16))</f>
        <v>0</v>
      </c>
      <c r="MH16" s="5">
        <f>IF(ISERROR(LOOKUP(MH$1,$S16:$HK16,csv!$L16:$HD16)),NA(),LOOKUP(MH$1,$S16:$HK16,csv!$L16:$HD16))</f>
        <v>0</v>
      </c>
      <c r="MI16" s="5">
        <f>IF(ISERROR(LOOKUP(MI$1,$S16:$HK16,csv!$L16:$HD16)),NA(),LOOKUP(MI$1,$S16:$HK16,csv!$L16:$HD16))</f>
        <v>0</v>
      </c>
      <c r="MJ16" s="5">
        <f>IF(ISERROR(LOOKUP(MJ$1,$S16:$HK16,csv!$L16:$HD16)),NA(),LOOKUP(MJ$1,$S16:$HK16,csv!$L16:$HD16))</f>
        <v>0</v>
      </c>
      <c r="MK16" s="5">
        <f>IF(ISERROR(LOOKUP(MK$1,$S16:$HK16,csv!$L16:$HD16)),NA(),LOOKUP(MK$1,$S16:$HK16,csv!$L16:$HD16))</f>
        <v>0</v>
      </c>
      <c r="ML16" s="5">
        <f>IF(ISERROR(LOOKUP(ML$1,$S16:$HK16,csv!$L16:$HD16)),NA(),LOOKUP(ML$1,$S16:$HK16,csv!$L16:$HD16))</f>
        <v>0</v>
      </c>
      <c r="MM16" s="5">
        <f>IF(ISERROR(LOOKUP(MM$1,$S16:$HK16,csv!$L16:$HD16)),NA(),LOOKUP(MM$1,$S16:$HK16,csv!$L16:$HD16))</f>
        <v>0</v>
      </c>
      <c r="MN16" s="5">
        <f>IF(ISERROR(LOOKUP(MN$1,$S16:$HK16,csv!$L16:$HD16)),NA(),LOOKUP(MN$1,$S16:$HK16,csv!$L16:$HD16))</f>
        <v>0</v>
      </c>
      <c r="MO16" s="5">
        <f>IF(ISERROR(LOOKUP(MO$1,$S16:$HK16,csv!$L16:$HD16)),NA(),LOOKUP(MO$1,$S16:$HK16,csv!$L16:$HD16))</f>
        <v>0</v>
      </c>
      <c r="MP16" s="5">
        <f>IF(ISERROR(LOOKUP(MP$1,$S16:$HK16,csv!$L16:$HD16)),NA(),LOOKUP(MP$1,$S16:$HK16,csv!$L16:$HD16))</f>
        <v>0</v>
      </c>
      <c r="MQ16" s="5">
        <f>IF(ISERROR(LOOKUP(MQ$1,$S16:$HK16,csv!$L16:$HD16)),NA(),LOOKUP(MQ$1,$S16:$HK16,csv!$L16:$HD16))</f>
        <v>0</v>
      </c>
      <c r="MR16" s="5">
        <f>IF(ISERROR(LOOKUP(MR$1,$S16:$HK16,csv!$L16:$HD16)),NA(),LOOKUP(MR$1,$S16:$HK16,csv!$L16:$HD16))</f>
        <v>0</v>
      </c>
      <c r="MS16" s="5">
        <f>IF(ISERROR(LOOKUP(MS$1,$S16:$HK16,csv!$L16:$HD16)),NA(),LOOKUP(MS$1,$S16:$HK16,csv!$L16:$HD16))</f>
        <v>0</v>
      </c>
      <c r="MT16" s="5">
        <f>IF(ISERROR(LOOKUP(MT$1,$S16:$HK16,csv!$L16:$HD16)),NA(),LOOKUP(MT$1,$S16:$HK16,csv!$L16:$HD16))</f>
        <v>0</v>
      </c>
      <c r="MU16" s="5">
        <f>IF(ISERROR(LOOKUP(MU$1,$S16:$HK16,csv!$L16:$HD16)),NA(),LOOKUP(MU$1,$S16:$HK16,csv!$L16:$HD16))</f>
        <v>0</v>
      </c>
      <c r="MV16" s="5">
        <f>IF(ISERROR(LOOKUP(MV$1,$S16:$HK16,csv!$L16:$HD16)),NA(),LOOKUP(MV$1,$S16:$HK16,csv!$L16:$HD16))</f>
        <v>0</v>
      </c>
      <c r="MW16" s="5">
        <f>IF(ISERROR(LOOKUP(MW$1,$S16:$HK16,csv!$L16:$HD16)),NA(),LOOKUP(MW$1,$S16:$HK16,csv!$L16:$HD16))</f>
        <v>0</v>
      </c>
      <c r="MX16" s="5">
        <f>IF(ISERROR(LOOKUP(MX$1,$S16:$HK16,csv!$L16:$HD16)),NA(),LOOKUP(MX$1,$S16:$HK16,csv!$L16:$HD16))</f>
        <v>0</v>
      </c>
      <c r="MY16" s="5">
        <f>IF(ISERROR(LOOKUP(MY$1,$S16:$HK16,csv!$L16:$HD16)),NA(),LOOKUP(MY$1,$S16:$HK16,csv!$L16:$HD16))</f>
        <v>0</v>
      </c>
      <c r="MZ16" s="5">
        <f>IF(ISERROR(LOOKUP(MZ$1,$S16:$HK16,csv!$L16:$HD16)),NA(),LOOKUP(MZ$1,$S16:$HK16,csv!$L16:$HD16))</f>
        <v>0</v>
      </c>
      <c r="NA16" s="5">
        <f>IF(ISERROR(LOOKUP(NA$1,$S16:$HK16,csv!$L16:$HD16)),NA(),LOOKUP(NA$1,$S16:$HK16,csv!$L16:$HD16))</f>
        <v>0</v>
      </c>
      <c r="NB16" s="5">
        <f>IF(ISERROR(LOOKUP(NB$1,$S16:$HK16,csv!$L16:$HD16)),NA(),LOOKUP(NB$1,$S16:$HK16,csv!$L16:$HD16))</f>
        <v>0</v>
      </c>
      <c r="NC16" s="5">
        <f>IF(ISERROR(LOOKUP(NC$1,$S16:$HK16,csv!$L16:$HD16)),NA(),LOOKUP(NC$1,$S16:$HK16,csv!$L16:$HD16))</f>
        <v>0</v>
      </c>
      <c r="ND16" s="5">
        <f>IF(ISERROR(LOOKUP(ND$1,$S16:$HK16,csv!$L16:$HD16)),NA(),LOOKUP(ND$1,$S16:$HK16,csv!$L16:$HD16))</f>
        <v>0</v>
      </c>
      <c r="NE16" s="5">
        <f>IF(ISERROR(LOOKUP(NE$1,$S16:$HK16,csv!$L16:$HD16)),NA(),LOOKUP(NE$1,$S16:$HK16,csv!$L16:$HD16))</f>
        <v>0</v>
      </c>
      <c r="NF16" s="5">
        <f>IF(ISERROR(LOOKUP(NF$1,$S16:$HK16,csv!$L16:$HD16)),NA(),LOOKUP(NF$1,$S16:$HK16,csv!$L16:$HD16))</f>
        <v>0</v>
      </c>
      <c r="NG16" s="5">
        <f>IF(ISERROR(LOOKUP(NG$1,$S16:$HK16,csv!$L16:$HD16)),NA(),LOOKUP(NG$1,$S16:$HK16,csv!$L16:$HD16))</f>
        <v>0</v>
      </c>
      <c r="NH16" s="5">
        <f>IF(ISERROR(LOOKUP(NH$1,$S16:$HK16,csv!$L16:$HD16)),NA(),LOOKUP(NH$1,$S16:$HK16,csv!$L16:$HD16))</f>
        <v>0</v>
      </c>
      <c r="NI16" s="5">
        <f>IF(ISERROR(LOOKUP(NI$1,$S16:$HK16,csv!$L16:$HD16)),NA(),LOOKUP(NI$1,$S16:$HK16,csv!$L16:$HD16))</f>
        <v>0</v>
      </c>
      <c r="NJ16" s="5">
        <f>IF(ISERROR(LOOKUP(NJ$1,$S16:$HK16,csv!$L16:$HD16)),NA(),LOOKUP(NJ$1,$S16:$HK16,csv!$L16:$HD16))</f>
        <v>0</v>
      </c>
      <c r="NK16" s="5">
        <f>IF(ISERROR(LOOKUP(NK$1,$S16:$HK16,csv!$L16:$HD16)),NA(),LOOKUP(NK$1,$S16:$HK16,csv!$L16:$HD16))</f>
        <v>0</v>
      </c>
      <c r="NL16" s="5">
        <f>IF(ISERROR(LOOKUP(NL$1,$S16:$HK16,csv!$L16:$HD16)),NA(),LOOKUP(NL$1,$S16:$HK16,csv!$L16:$HD16))</f>
        <v>0</v>
      </c>
      <c r="NM16" s="5">
        <f>IF(ISERROR(LOOKUP(NM$1,$S16:$HK16,csv!$L16:$HD16)),NA(),LOOKUP(NM$1,$S16:$HK16,csv!$L16:$HD16))</f>
        <v>0</v>
      </c>
      <c r="NN16" s="5">
        <f>IF(ISERROR(LOOKUP(NN$1,$S16:$HK16,csv!$L16:$HD16)),NA(),LOOKUP(NN$1,$S16:$HK16,csv!$L16:$HD16))</f>
        <v>0</v>
      </c>
      <c r="NO16" s="5">
        <f>IF(ISERROR(LOOKUP(NO$1,$S16:$HK16,csv!$L16:$HD16)),NA(),LOOKUP(NO$1,$S16:$HK16,csv!$L16:$HD16))</f>
        <v>0</v>
      </c>
      <c r="NP16" s="5">
        <f>IF(ISERROR(LOOKUP(NP$1,$S16:$HK16,csv!$L16:$HD16)),NA(),LOOKUP(NP$1,$S16:$HK16,csv!$L16:$HD16))</f>
        <v>0</v>
      </c>
      <c r="NQ16" s="5">
        <f>IF(ISERROR(LOOKUP(NQ$1,$S16:$HK16,csv!$L16:$HD16)),NA(),LOOKUP(NQ$1,$S16:$HK16,csv!$L16:$HD16))</f>
        <v>0</v>
      </c>
      <c r="NR16" s="5">
        <f>IF(ISERROR(LOOKUP(NR$1,$S16:$HK16,csv!$L16:$HD16)),NA(),LOOKUP(NR$1,$S16:$HK16,csv!$L16:$HD16))</f>
        <v>0</v>
      </c>
      <c r="NS16" s="5">
        <f>IF(ISERROR(LOOKUP(NS$1,$S16:$HK16,csv!$L16:$HD16)),NA(),LOOKUP(NS$1,$S16:$HK16,csv!$L16:$HD16))</f>
        <v>0</v>
      </c>
      <c r="NT16" s="5">
        <f>IF(ISERROR(LOOKUP(NT$1,$S16:$HK16,csv!$L16:$HD16)),NA(),LOOKUP(NT$1,$S16:$HK16,csv!$L16:$HD16))</f>
        <v>0</v>
      </c>
      <c r="NU16" s="5">
        <f>IF(ISERROR(LOOKUP(NU$1,$S16:$HK16,csv!$L16:$HD16)),NA(),LOOKUP(NU$1,$S16:$HK16,csv!$L16:$HD16))</f>
        <v>0</v>
      </c>
      <c r="NV16" s="5">
        <f>IF(ISERROR(LOOKUP(NV$1,$S16:$HK16,csv!$L16:$HD16)),NA(),LOOKUP(NV$1,$S16:$HK16,csv!$L16:$HD16))</f>
        <v>0</v>
      </c>
      <c r="NW16" s="5">
        <f>IF(ISERROR(LOOKUP(NW$1,$S16:$HK16,csv!$L16:$HD16)),NA(),LOOKUP(NW$1,$S16:$HK16,csv!$L16:$HD16))</f>
        <v>0</v>
      </c>
      <c r="NX16" s="5">
        <f>IF(ISERROR(LOOKUP(NX$1,$S16:$HK16,csv!$L16:$HD16)),NA(),LOOKUP(NX$1,$S16:$HK16,csv!$L16:$HD16))</f>
        <v>0</v>
      </c>
      <c r="NY16" s="5">
        <f>IF(ISERROR(LOOKUP(NY$1,$S16:$HK16,csv!$L16:$HD16)),NA(),LOOKUP(NY$1,$S16:$HK16,csv!$L16:$HD16))</f>
        <v>0</v>
      </c>
      <c r="NZ16" s="5">
        <f>IF(ISERROR(LOOKUP(NZ$1,$S16:$HK16,csv!$L16:$HD16)),NA(),LOOKUP(NZ$1,$S16:$HK16,csv!$L16:$HD16))</f>
        <v>0</v>
      </c>
      <c r="OA16" s="5">
        <f>IF(ISERROR(LOOKUP(OA$1,$S16:$HK16,csv!$L16:$HD16)),NA(),LOOKUP(OA$1,$S16:$HK16,csv!$L16:$HD16))</f>
        <v>0</v>
      </c>
      <c r="OB16" s="5">
        <f>IF(ISERROR(LOOKUP(OB$1,$S16:$HK16,csv!$L16:$HD16)),NA(),LOOKUP(OB$1,$S16:$HK16,csv!$L16:$HD16))</f>
        <v>0</v>
      </c>
      <c r="OC16" s="5">
        <f>IF(ISERROR(LOOKUP(OC$1,$S16:$HK16,csv!$L16:$HD16)),NA(),LOOKUP(OC$1,$S16:$HK16,csv!$L16:$HD16))</f>
        <v>0</v>
      </c>
      <c r="OD16" s="5">
        <f>IF(ISERROR(LOOKUP(OD$1,$S16:$HK16,csv!$L16:$HD16)),NA(),LOOKUP(OD$1,$S16:$HK16,csv!$L16:$HD16))</f>
        <v>0</v>
      </c>
      <c r="OE16" s="5">
        <f>IF(ISERROR(LOOKUP(OE$1,$S16:$HK16,csv!$L16:$HD16)),NA(),LOOKUP(OE$1,$S16:$HK16,csv!$L16:$HD16))</f>
        <v>0</v>
      </c>
      <c r="OF16" s="5">
        <f>IF(ISERROR(LOOKUP(OF$1,$S16:$HK16,csv!$L16:$HD16)),NA(),LOOKUP(OF$1,$S16:$HK16,csv!$L16:$HD16))</f>
        <v>0</v>
      </c>
      <c r="OG16" s="5">
        <f>IF(ISERROR(LOOKUP(OG$1,$S16:$HK16,csv!$L16:$HD16)),NA(),LOOKUP(OG$1,$S16:$HK16,csv!$L16:$HD16))</f>
        <v>0</v>
      </c>
      <c r="OH16" s="5">
        <f>IF(ISERROR(LOOKUP(OH$1,$S16:$HK16,csv!$L16:$HD16)),NA(),LOOKUP(OH$1,$S16:$HK16,csv!$L16:$HD16))</f>
        <v>0</v>
      </c>
      <c r="OI16" s="5">
        <f>IF(ISERROR(LOOKUP(OI$1,$S16:$HK16,csv!$L16:$HD16)),NA(),LOOKUP(OI$1,$S16:$HK16,csv!$L16:$HD16))</f>
        <v>0</v>
      </c>
      <c r="OJ16" s="5">
        <f>IF(ISERROR(LOOKUP(OJ$1,$S16:$HK16,csv!$L16:$HD16)),NA(),LOOKUP(OJ$1,$S16:$HK16,csv!$L16:$HD16))</f>
        <v>0</v>
      </c>
      <c r="OK16" s="5">
        <f>IF(ISERROR(LOOKUP(OK$1,$S16:$HK16,csv!$L16:$HD16)),NA(),LOOKUP(OK$1,$S16:$HK16,csv!$L16:$HD16))</f>
        <v>0</v>
      </c>
      <c r="OL16" s="5">
        <f>IF(ISERROR(LOOKUP(OL$1,$S16:$HK16,csv!$L16:$HD16)),NA(),LOOKUP(OL$1,$S16:$HK16,csv!$L16:$HD16))</f>
        <v>0</v>
      </c>
      <c r="OM16" s="5">
        <f>IF(ISERROR(LOOKUP(OM$1,$S16:$HK16,csv!$L16:$HD16)),NA(),LOOKUP(OM$1,$S16:$HK16,csv!$L16:$HD16))</f>
        <v>0</v>
      </c>
      <c r="ON16" s="5">
        <f>IF(ISERROR(LOOKUP(ON$1,$S16:$HK16,csv!$L16:$HD16)),NA(),LOOKUP(ON$1,$S16:$HK16,csv!$L16:$HD16))</f>
        <v>0</v>
      </c>
      <c r="OO16" s="5">
        <f>IF(ISERROR(LOOKUP(OO$1,$S16:$HK16,csv!$L16:$HD16)),NA(),LOOKUP(OO$1,$S16:$HK16,csv!$L16:$HD16))</f>
        <v>0</v>
      </c>
      <c r="OP16" s="5">
        <f>IF(ISERROR(LOOKUP(OP$1,$S16:$HK16,csv!$L16:$HD16)),NA(),LOOKUP(OP$1,$S16:$HK16,csv!$L16:$HD16))</f>
        <v>0</v>
      </c>
      <c r="OQ16" s="5">
        <f>IF(ISERROR(LOOKUP(OQ$1,$S16:$HK16,csv!$L16:$HD16)),NA(),LOOKUP(OQ$1,$S16:$HK16,csv!$L16:$HD16))</f>
        <v>0</v>
      </c>
      <c r="OR16" s="5">
        <f>IF(ISERROR(LOOKUP(OR$1,$S16:$HK16,csv!$L16:$HD16)),NA(),LOOKUP(OR$1,$S16:$HK16,csv!$L16:$HD16))</f>
        <v>0</v>
      </c>
      <c r="OS16" s="5">
        <f>IF(ISERROR(LOOKUP(OS$1,$S16:$HK16,csv!$L16:$HD16)),NA(),LOOKUP(OS$1,$S16:$HK16,csv!$L16:$HD16))</f>
        <v>0</v>
      </c>
      <c r="OT16" s="5">
        <f>IF(ISERROR(LOOKUP(OT$1,$S16:$HK16,csv!$L16:$HD16)),NA(),LOOKUP(OT$1,$S16:$HK16,csv!$L16:$HD16))</f>
        <v>0</v>
      </c>
      <c r="OU16" s="5">
        <f>IF(ISERROR(LOOKUP(OU$1,$S16:$HK16,csv!$L16:$HD16)),NA(),LOOKUP(OU$1,$S16:$HK16,csv!$L16:$HD16))</f>
        <v>0</v>
      </c>
      <c r="OV16" s="5">
        <f>IF(ISERROR(LOOKUP(OV$1,$S16:$HK16,csv!$L16:$HD16)),NA(),LOOKUP(OV$1,$S16:$HK16,csv!$L16:$HD16))</f>
        <v>0</v>
      </c>
      <c r="OW16" s="5">
        <f>IF(ISERROR(LOOKUP(OW$1,$S16:$HK16,csv!$L16:$HD16)),NA(),LOOKUP(OW$1,$S16:$HK16,csv!$L16:$HD16))</f>
        <v>0</v>
      </c>
      <c r="OX16" s="5">
        <f>IF(ISERROR(LOOKUP(OX$1,$S16:$HK16,csv!$L16:$HD16)),NA(),LOOKUP(OX$1,$S16:$HK16,csv!$L16:$HD16))</f>
        <v>0</v>
      </c>
      <c r="OY16" s="5">
        <f>IF(ISERROR(LOOKUP(OY$1,$S16:$HK16,csv!$L16:$HD16)),NA(),LOOKUP(OY$1,$S16:$HK16,csv!$L16:$HD16))</f>
        <v>0</v>
      </c>
      <c r="OZ16" s="5">
        <f>IF(ISERROR(LOOKUP(OZ$1,$S16:$HK16,csv!$L16:$HD16)),NA(),LOOKUP(OZ$1,$S16:$HK16,csv!$L16:$HD16))</f>
        <v>0</v>
      </c>
      <c r="PA16" s="5">
        <f>IF(ISERROR(LOOKUP(PA$1,$S16:$HK16,csv!$L16:$HD16)),NA(),LOOKUP(PA$1,$S16:$HK16,csv!$L16:$HD16))</f>
        <v>0</v>
      </c>
      <c r="PB16" s="5">
        <f>IF(ISERROR(LOOKUP(PB$1,$S16:$HK16,csv!$L16:$HD16)),NA(),LOOKUP(PB$1,$S16:$HK16,csv!$L16:$HD16))</f>
        <v>0</v>
      </c>
      <c r="PC16" s="5">
        <f>IF(ISERROR(LOOKUP(PC$1,$S16:$HK16,csv!$L16:$HD16)),NA(),LOOKUP(PC$1,$S16:$HK16,csv!$L16:$HD16))</f>
        <v>0</v>
      </c>
      <c r="PD16" s="5">
        <f>IF(ISERROR(LOOKUP(PD$1,$S16:$HK16,csv!$L16:$HD16)),NA(),LOOKUP(PD$1,$S16:$HK16,csv!$L16:$HD16))</f>
        <v>0</v>
      </c>
      <c r="PE16" s="5">
        <f>IF(ISERROR(LOOKUP(PE$1,$S16:$HK16,csv!$L16:$HD16)),NA(),LOOKUP(PE$1,$S16:$HK16,csv!$L16:$HD16))</f>
        <v>0</v>
      </c>
      <c r="PF16" s="5">
        <f>IF(ISERROR(LOOKUP(PF$1,$S16:$HK16,csv!$L16:$HD16)),NA(),LOOKUP(PF$1,$S16:$HK16,csv!$L16:$HD16))</f>
        <v>0</v>
      </c>
      <c r="PG16" s="5">
        <f>IF(ISERROR(LOOKUP(PG$1,$S16:$HK16,csv!$L16:$HD16)),NA(),LOOKUP(PG$1,$S16:$HK16,csv!$L16:$HD16))</f>
        <v>0</v>
      </c>
      <c r="PH16" s="5">
        <f>IF(ISERROR(LOOKUP(PH$1,$S16:$HK16,csv!$L16:$HD16)),NA(),LOOKUP(PH$1,$S16:$HK16,csv!$L16:$HD16))</f>
        <v>0</v>
      </c>
      <c r="PI16" s="5">
        <f>IF(ISERROR(LOOKUP(PI$1,$S16:$HK16,csv!$L16:$HD16)),NA(),LOOKUP(PI$1,$S16:$HK16,csv!$L16:$HD16))</f>
        <v>0</v>
      </c>
      <c r="PJ16" s="5">
        <f>IF(ISERROR(LOOKUP(PJ$1,$S16:$HK16,csv!$L16:$HD16)),NA(),LOOKUP(PJ$1,$S16:$HK16,csv!$L16:$HD16))</f>
        <v>0</v>
      </c>
      <c r="PK16" s="5">
        <f>IF(ISERROR(LOOKUP(PK$1,$S16:$HK16,csv!$L16:$HD16)),NA(),LOOKUP(PK$1,$S16:$HK16,csv!$L16:$HD16))</f>
        <v>0</v>
      </c>
      <c r="PL16" s="5">
        <f>IF(ISERROR(LOOKUP(PL$1,$S16:$HK16,csv!$L16:$HD16)),NA(),LOOKUP(PL$1,$S16:$HK16,csv!$L16:$HD16))</f>
        <v>0</v>
      </c>
      <c r="PM16" s="5">
        <f>IF(ISERROR(LOOKUP(PM$1,$S16:$HK16,csv!$L16:$HD16)),NA(),LOOKUP(PM$1,$S16:$HK16,csv!$L16:$HD16))</f>
        <v>0</v>
      </c>
      <c r="PN16" s="5">
        <f>IF(ISERROR(LOOKUP(PN$1,$S16:$HK16,csv!$L16:$HD16)),NA(),LOOKUP(PN$1,$S16:$HK16,csv!$L16:$HD16))</f>
        <v>0</v>
      </c>
      <c r="PO16" s="5">
        <f>IF(ISERROR(LOOKUP(PO$1,$S16:$HK16,csv!$L16:$HD16)),NA(),LOOKUP(PO$1,$S16:$HK16,csv!$L16:$HD16))</f>
        <v>0</v>
      </c>
      <c r="PP16" s="5">
        <f>IF(ISERROR(LOOKUP(PP$1,$S16:$HK16,csv!$L16:$HD16)),NA(),LOOKUP(PP$1,$S16:$HK16,csv!$L16:$HD16))</f>
        <v>0</v>
      </c>
      <c r="PQ16" s="5">
        <f>IF(ISERROR(LOOKUP(PQ$1,$S16:$HK16,csv!$L16:$HD16)),NA(),LOOKUP(PQ$1,$S16:$HK16,csv!$L16:$HD16))</f>
        <v>0</v>
      </c>
      <c r="PR16" s="5">
        <f>IF(ISERROR(LOOKUP(PR$1,$S16:$HK16,csv!$L16:$HD16)),NA(),LOOKUP(PR$1,$S16:$HK16,csv!$L16:$HD16))</f>
        <v>0</v>
      </c>
      <c r="PS16" s="5">
        <f>IF(ISERROR(LOOKUP(PS$1,$S16:$HK16,csv!$L16:$HD16)),NA(),LOOKUP(PS$1,$S16:$HK16,csv!$L16:$HD16))</f>
        <v>0</v>
      </c>
      <c r="PT16" s="5">
        <f>IF(ISERROR(LOOKUP(PT$1,$S16:$HK16,csv!$L16:$HD16)),NA(),LOOKUP(PT$1,$S16:$HK16,csv!$L16:$HD16))</f>
        <v>0</v>
      </c>
      <c r="PU16" s="5">
        <f>IF(ISERROR(LOOKUP(PU$1,$S16:$HK16,csv!$L16:$HD16)),NA(),LOOKUP(PU$1,$S16:$HK16,csv!$L16:$HD16))</f>
        <v>0</v>
      </c>
      <c r="PV16" s="5">
        <f>IF(ISERROR(LOOKUP(PV$1,$S16:$HK16,csv!$L16:$HD16)),NA(),LOOKUP(PV$1,$S16:$HK16,csv!$L16:$HD16))</f>
        <v>0</v>
      </c>
      <c r="PW16" s="5">
        <f>IF(ISERROR(LOOKUP(PW$1,$S16:$HK16,csv!$L16:$HD16)),NA(),LOOKUP(PW$1,$S16:$HK16,csv!$L16:$HD16))</f>
        <v>0</v>
      </c>
      <c r="PX16" s="5">
        <f>IF(ISERROR(LOOKUP(PX$1,$S16:$HK16,csv!$L16:$HD16)),NA(),LOOKUP(PX$1,$S16:$HK16,csv!$L16:$HD16))</f>
        <v>0</v>
      </c>
      <c r="PY16" s="5">
        <f>IF(ISERROR(LOOKUP(PY$1,$S16:$HK16,csv!$L16:$HD16)),NA(),LOOKUP(PY$1,$S16:$HK16,csv!$L16:$HD16))</f>
        <v>0</v>
      </c>
      <c r="PZ16" s="5">
        <f>IF(ISERROR(LOOKUP(PZ$1,$S16:$HK16,csv!$L16:$HD16)),NA(),LOOKUP(PZ$1,$S16:$HK16,csv!$L16:$HD16))</f>
        <v>0</v>
      </c>
      <c r="QA16" s="5">
        <f>IF(ISERROR(LOOKUP(QA$1,$S16:$HK16,csv!$L16:$HD16)),NA(),LOOKUP(QA$1,$S16:$HK16,csv!$L16:$HD16))</f>
        <v>0</v>
      </c>
      <c r="QB16" s="5">
        <f>IF(ISERROR(LOOKUP(QB$1,$S16:$HK16,csv!$L16:$HD16)),NA(),LOOKUP(QB$1,$S16:$HK16,csv!$L16:$HD16))</f>
        <v>0</v>
      </c>
      <c r="QC16" s="5">
        <f>IF(ISERROR(LOOKUP(QC$1,$S16:$HK16,csv!$L16:$HD16)),NA(),LOOKUP(QC$1,$S16:$HK16,csv!$L16:$HD16))</f>
        <v>0</v>
      </c>
      <c r="QD16" s="5">
        <f>IF(ISERROR(LOOKUP(QD$1,$S16:$HK16,csv!$L16:$HD16)),NA(),LOOKUP(QD$1,$S16:$HK16,csv!$L16:$HD16))</f>
        <v>0</v>
      </c>
      <c r="QE16" s="5">
        <f>IF(ISERROR(LOOKUP(QE$1,$S16:$HK16,csv!$L16:$HD16)),NA(),LOOKUP(QE$1,$S16:$HK16,csv!$L16:$HD16))</f>
        <v>0</v>
      </c>
      <c r="QF16" s="5">
        <f>IF(ISERROR(LOOKUP(QF$1,$S16:$HK16,csv!$L16:$HD16)),NA(),LOOKUP(QF$1,$S16:$HK16,csv!$L16:$HD16))</f>
        <v>0</v>
      </c>
      <c r="QG16" s="5">
        <f>IF(ISERROR(LOOKUP(QG$1,$S16:$HK16,csv!$L16:$HD16)),NA(),LOOKUP(QG$1,$S16:$HK16,csv!$L16:$HD16))</f>
        <v>0</v>
      </c>
      <c r="QH16" s="5">
        <f>IF(ISERROR(LOOKUP(QH$1,$S16:$HK16,csv!$L16:$HD16)),NA(),LOOKUP(QH$1,$S16:$HK16,csv!$L16:$HD16))</f>
        <v>0</v>
      </c>
      <c r="QI16" s="5">
        <f>IF(ISERROR(LOOKUP(QI$1,$S16:$HK16,csv!$L16:$HD16)),NA(),LOOKUP(QI$1,$S16:$HK16,csv!$L16:$HD16))</f>
        <v>0</v>
      </c>
      <c r="QJ16" s="5">
        <f>IF(ISERROR(LOOKUP(QJ$1,$S16:$HK16,csv!$L16:$HD16)),NA(),LOOKUP(QJ$1,$S16:$HK16,csv!$L16:$HD16))</f>
        <v>0</v>
      </c>
      <c r="QK16" s="5">
        <f>IF(ISERROR(LOOKUP(QK$1,$S16:$HK16,csv!$L16:$HD16)),NA(),LOOKUP(QK$1,$S16:$HK16,csv!$L16:$HD16))</f>
        <v>0</v>
      </c>
      <c r="QL16" s="5">
        <f>IF(ISERROR(LOOKUP(QL$1,$S16:$HK16,csv!$L16:$HD16)),NA(),LOOKUP(QL$1,$S16:$HK16,csv!$L16:$HD16))</f>
        <v>0</v>
      </c>
      <c r="QM16" s="5">
        <f>IF(ISERROR(LOOKUP(QM$1,$S16:$HK16,csv!$L16:$HD16)),NA(),LOOKUP(QM$1,$S16:$HK16,csv!$L16:$HD16))</f>
        <v>0</v>
      </c>
      <c r="QN16" s="5">
        <f>IF(ISERROR(LOOKUP(QN$1,$S16:$HK16,csv!$L16:$HD16)),NA(),LOOKUP(QN$1,$S16:$HK16,csv!$L16:$HD16))</f>
        <v>0</v>
      </c>
      <c r="QO16" s="5">
        <f>IF(ISERROR(LOOKUP(QO$1,$S16:$HK16,csv!$L16:$HD16)),NA(),LOOKUP(QO$1,$S16:$HK16,csv!$L16:$HD16))</f>
        <v>0</v>
      </c>
      <c r="QP16" s="5">
        <f>IF(ISERROR(LOOKUP(QP$1,$S16:$HK16,csv!$L16:$HD16)),NA(),LOOKUP(QP$1,$S16:$HK16,csv!$L16:$HD16))</f>
        <v>0</v>
      </c>
      <c r="QQ16" s="5">
        <f>IF(ISERROR(LOOKUP(QQ$1,$S16:$HK16,csv!$L16:$HD16)),NA(),LOOKUP(QQ$1,$S16:$HK16,csv!$L16:$HD16))</f>
        <v>0</v>
      </c>
      <c r="QR16" s="5">
        <f>IF(ISERROR(LOOKUP(QR$1,$S16:$HK16,csv!$L16:$HD16)),NA(),LOOKUP(QR$1,$S16:$HK16,csv!$L16:$HD16))</f>
        <v>0</v>
      </c>
      <c r="QS16" s="5">
        <f>IF(ISERROR(LOOKUP(QS$1,$S16:$HK16,csv!$L16:$HD16)),NA(),LOOKUP(QS$1,$S16:$HK16,csv!$L16:$HD16))</f>
        <v>0</v>
      </c>
      <c r="QT16" s="5">
        <f>IF(ISERROR(LOOKUP(QT$1,$S16:$HK16,csv!$L16:$HD16)),NA(),LOOKUP(QT$1,$S16:$HK16,csv!$L16:$HD16))</f>
        <v>0</v>
      </c>
      <c r="QU16" s="5">
        <f>IF(ISERROR(LOOKUP(QU$1,$S16:$HK16,csv!$L16:$HD16)),NA(),LOOKUP(QU$1,$S16:$HK16,csv!$L16:$HD16))</f>
        <v>0</v>
      </c>
      <c r="QV16" s="5">
        <f>IF(ISERROR(LOOKUP(QV$1,$S16:$HK16,csv!$L16:$HD16)),NA(),LOOKUP(QV$1,$S16:$HK16,csv!$L16:$HD16))</f>
        <v>0</v>
      </c>
      <c r="QW16" s="5">
        <f>IF(ISERROR(LOOKUP(QW$1,$S16:$HK16,csv!$L16:$HD16)),NA(),LOOKUP(QW$1,$S16:$HK16,csv!$L16:$HD16))</f>
        <v>0</v>
      </c>
      <c r="QX16" s="5">
        <f>IF(ISERROR(LOOKUP(QX$1,$S16:$HK16,csv!$L16:$HD16)),NA(),LOOKUP(QX$1,$S16:$HK16,csv!$L16:$HD16))</f>
        <v>0</v>
      </c>
      <c r="QY16" s="5">
        <f>IF(ISERROR(LOOKUP(QY$1,$S16:$HK16,csv!$L16:$HD16)),NA(),LOOKUP(QY$1,$S16:$HK16,csv!$L16:$HD16))</f>
        <v>0</v>
      </c>
      <c r="QZ16" s="5">
        <f>IF(ISERROR(LOOKUP(QZ$1,$S16:$HK16,csv!$L16:$HD16)),NA(),LOOKUP(QZ$1,$S16:$HK16,csv!$L16:$HD16))</f>
        <v>0</v>
      </c>
      <c r="RA16" s="5">
        <f>IF(ISERROR(LOOKUP(RA$1,$S16:$HK16,csv!$L16:$HD16)),NA(),LOOKUP(RA$1,$S16:$HK16,csv!$L16:$HD16))</f>
        <v>0</v>
      </c>
      <c r="RB16" s="5">
        <f>IF(ISERROR(LOOKUP(RB$1,$S16:$HK16,csv!$L16:$HD16)),NA(),LOOKUP(RB$1,$S16:$HK16,csv!$L16:$HD16))</f>
        <v>0</v>
      </c>
      <c r="RC16" s="5">
        <f>IF(ISERROR(LOOKUP(RC$1,$S16:$HK16,csv!$L16:$HD16)),NA(),LOOKUP(RC$1,$S16:$HK16,csv!$L16:$HD16))</f>
        <v>0</v>
      </c>
      <c r="RD16" s="5">
        <f>IF(ISERROR(LOOKUP(RD$1,$S16:$HK16,csv!$L16:$HD16)),NA(),LOOKUP(RD$1,$S16:$HK16,csv!$L16:$HD16))</f>
        <v>0</v>
      </c>
      <c r="RE16" s="5">
        <f>IF(ISERROR(LOOKUP(RE$1,$S16:$HK16,csv!$L16:$HD16)),NA(),LOOKUP(RE$1,$S16:$HK16,csv!$L16:$HD16))</f>
        <v>0</v>
      </c>
      <c r="RF16" s="5">
        <f>IF(ISERROR(LOOKUP(RF$1,$S16:$HK16,csv!$L16:$HD16)),NA(),LOOKUP(RF$1,$S16:$HK16,csv!$L16:$HD16))</f>
        <v>0</v>
      </c>
      <c r="RG16" s="5">
        <f>IF(ISERROR(LOOKUP(RG$1,$S16:$HK16,csv!$L16:$HD16)),NA(),LOOKUP(RG$1,$S16:$HK16,csv!$L16:$HD16))</f>
        <v>0</v>
      </c>
      <c r="RH16" s="5">
        <f>IF(ISERROR(LOOKUP(RH$1,$S16:$HK16,csv!$L16:$HD16)),NA(),LOOKUP(RH$1,$S16:$HK16,csv!$L16:$HD16))</f>
        <v>0</v>
      </c>
      <c r="RI16" s="5">
        <f>IF(ISERROR(LOOKUP(RI$1,$S16:$HK16,csv!$L16:$HD16)),NA(),LOOKUP(RI$1,$S16:$HK16,csv!$L16:$HD16))</f>
        <v>0</v>
      </c>
      <c r="RJ16" s="5">
        <f>IF(ISERROR(LOOKUP(RJ$1,$S16:$HK16,csv!$L16:$HD16)),NA(),LOOKUP(RJ$1,$S16:$HK16,csv!$L16:$HD16))</f>
        <v>0</v>
      </c>
      <c r="RK16" s="5">
        <f>IF(ISERROR(LOOKUP(RK$1,$S16:$HK16,csv!$L16:$HD16)),NA(),LOOKUP(RK$1,$S16:$HK16,csv!$L16:$HD16))</f>
        <v>0</v>
      </c>
      <c r="RL16" s="5">
        <f>IF(ISERROR(LOOKUP(RL$1,$S16:$HK16,csv!$L16:$HD16)),NA(),LOOKUP(RL$1,$S16:$HK16,csv!$L16:$HD16))</f>
        <v>0</v>
      </c>
      <c r="RM16" s="5">
        <f>IF(ISERROR(LOOKUP(RM$1,$S16:$HK16,csv!$L16:$HD16)),NA(),LOOKUP(RM$1,$S16:$HK16,csv!$L16:$HD16))</f>
        <v>0</v>
      </c>
      <c r="RN16" s="5">
        <f>IF(ISERROR(LOOKUP(RN$1,$S16:$HK16,csv!$L16:$HD16)),NA(),LOOKUP(RN$1,$S16:$HK16,csv!$L16:$HD16))</f>
        <v>0</v>
      </c>
      <c r="RO16" s="5">
        <f>IF(ISERROR(LOOKUP(RO$1,$S16:$HK16,csv!$L16:$HD16)),NA(),LOOKUP(RO$1,$S16:$HK16,csv!$L16:$HD16))</f>
        <v>0</v>
      </c>
      <c r="RP16" s="5">
        <f>IF(ISERROR(LOOKUP(RP$1,$S16:$HK16,csv!$L16:$HD16)),NA(),LOOKUP(RP$1,$S16:$HK16,csv!$L16:$HD16))</f>
        <v>0</v>
      </c>
      <c r="RQ16" s="5">
        <f>IF(ISERROR(LOOKUP(RQ$1,$S16:$HK16,csv!$L16:$HD16)),NA(),LOOKUP(RQ$1,$S16:$HK16,csv!$L16:$HD16))</f>
        <v>0</v>
      </c>
      <c r="RR16" s="5">
        <f>IF(ISERROR(LOOKUP(RR$1,$S16:$HK16,csv!$L16:$HD16)),NA(),LOOKUP(RR$1,$S16:$HK16,csv!$L16:$HD16))</f>
        <v>0</v>
      </c>
      <c r="RS16" s="5">
        <f>IF(ISERROR(LOOKUP(RS$1,$S16:$HK16,csv!$L16:$HD16)),NA(),LOOKUP(RS$1,$S16:$HK16,csv!$L16:$HD16))</f>
        <v>0</v>
      </c>
      <c r="RT16" s="5">
        <f>IF(ISERROR(LOOKUP(RT$1,$S16:$HK16,csv!$L16:$HD16)),NA(),LOOKUP(RT$1,$S16:$HK16,csv!$L16:$HD16))</f>
        <v>0</v>
      </c>
      <c r="RU16" s="5">
        <f>IF(ISERROR(LOOKUP(RU$1,$S16:$HK16,csv!$L16:$HD16)),NA(),LOOKUP(RU$1,$S16:$HK16,csv!$L16:$HD16))</f>
        <v>0</v>
      </c>
      <c r="RV16" s="5">
        <f>IF(ISERROR(LOOKUP(RV$1,$S16:$HK16,csv!$L16:$HD16)),NA(),LOOKUP(RV$1,$S16:$HK16,csv!$L16:$HD16))</f>
        <v>0</v>
      </c>
      <c r="RW16" s="5">
        <f>IF(ISERROR(LOOKUP(RW$1,$S16:$HK16,csv!$L16:$HD16)),NA(),LOOKUP(RW$1,$S16:$HK16,csv!$L16:$HD16))</f>
        <v>0</v>
      </c>
      <c r="RX16" s="5">
        <f>IF(ISERROR(LOOKUP(RX$1,$S16:$HK16,csv!$L16:$HD16)),NA(),LOOKUP(RX$1,$S16:$HK16,csv!$L16:$HD16))</f>
        <v>0</v>
      </c>
      <c r="RY16" s="5">
        <f>IF(ISERROR(LOOKUP(RY$1,$S16:$HK16,csv!$L16:$HD16)),NA(),LOOKUP(RY$1,$S16:$HK16,csv!$L16:$HD16))</f>
        <v>0</v>
      </c>
      <c r="RZ16" s="5">
        <f>IF(ISERROR(LOOKUP(RZ$1,$S16:$HK16,csv!$L16:$HD16)),NA(),LOOKUP(RZ$1,$S16:$HK16,csv!$L16:$HD16))</f>
        <v>0</v>
      </c>
      <c r="SA16" s="5">
        <f>IF(ISERROR(LOOKUP(SA$1,$S16:$HK16,csv!$L16:$HD16)),NA(),LOOKUP(SA$1,$S16:$HK16,csv!$L16:$HD16))</f>
        <v>0</v>
      </c>
      <c r="SB16" s="5">
        <f>IF(ISERROR(LOOKUP(SB$1,$S16:$HK16,csv!$L16:$HD16)),NA(),LOOKUP(SB$1,$S16:$HK16,csv!$L16:$HD16))</f>
        <v>0</v>
      </c>
      <c r="SC16" s="5">
        <f>IF(ISERROR(LOOKUP(SC$1,$S16:$HK16,csv!$L16:$HD16)),NA(),LOOKUP(SC$1,$S16:$HK16,csv!$L16:$HD16))</f>
        <v>0</v>
      </c>
      <c r="SD16" s="5">
        <f>IF(ISERROR(LOOKUP(SD$1,$S16:$HK16,csv!$L16:$HD16)),NA(),LOOKUP(SD$1,$S16:$HK16,csv!$L16:$HD16))</f>
        <v>0</v>
      </c>
      <c r="SE16" s="5">
        <f>IF(ISERROR(LOOKUP(SE$1,$S16:$HK16,csv!$L16:$HD16)),NA(),LOOKUP(SE$1,$S16:$HK16,csv!$L16:$HD16))</f>
        <v>0</v>
      </c>
      <c r="SF16" s="5">
        <f>IF(ISERROR(LOOKUP(SF$1,$S16:$HK16,csv!$L16:$HD16)),NA(),LOOKUP(SF$1,$S16:$HK16,csv!$L16:$HD16))</f>
        <v>0</v>
      </c>
      <c r="SG16" s="5">
        <f>IF(ISERROR(LOOKUP(SG$1,$S16:$HK16,csv!$L16:$HD16)),NA(),LOOKUP(SG$1,$S16:$HK16,csv!$L16:$HD16))</f>
        <v>0</v>
      </c>
      <c r="SH16" s="5">
        <f>IF(ISERROR(LOOKUP(SH$1,$S16:$HK16,csv!$L16:$HD16)),NA(),LOOKUP(SH$1,$S16:$HK16,csv!$L16:$HD16))</f>
        <v>0</v>
      </c>
      <c r="SI16" s="5">
        <f>IF(ISERROR(LOOKUP(SI$1,$S16:$HK16,csv!$L16:$HD16)),NA(),LOOKUP(SI$1,$S16:$HK16,csv!$L16:$HD16))</f>
        <v>0</v>
      </c>
      <c r="SJ16" s="5">
        <f>IF(ISERROR(LOOKUP(SJ$1,$S16:$HK16,csv!$L16:$HD16)),NA(),LOOKUP(SJ$1,$S16:$HK16,csv!$L16:$HD16))</f>
        <v>0</v>
      </c>
      <c r="SK16" s="5">
        <f>IF(ISERROR(LOOKUP(SK$1,$S16:$HK16,csv!$L16:$HD16)),NA(),LOOKUP(SK$1,$S16:$HK16,csv!$L16:$HD16))</f>
        <v>0</v>
      </c>
      <c r="SL16" s="5">
        <f>IF(ISERROR(LOOKUP(SL$1,$S16:$HK16,csv!$L16:$HD16)),NA(),LOOKUP(SL$1,$S16:$HK16,csv!$L16:$HD16))</f>
        <v>0</v>
      </c>
      <c r="SM16" s="5">
        <f>IF(ISERROR(LOOKUP(SM$1,$S16:$HK16,csv!$L16:$HD16)),NA(),LOOKUP(SM$1,$S16:$HK16,csv!$L16:$HD16))</f>
        <v>0</v>
      </c>
      <c r="SN16" s="5">
        <f>IF(ISERROR(LOOKUP(SN$1,$S16:$HK16,csv!$L16:$HD16)),NA(),LOOKUP(SN$1,$S16:$HK16,csv!$L16:$HD16))</f>
        <v>0</v>
      </c>
      <c r="SO16" s="5">
        <f>IF(ISERROR(LOOKUP(SO$1,$S16:$HK16,csv!$L16:$HD16)),NA(),LOOKUP(SO$1,$S16:$HK16,csv!$L16:$HD16))</f>
        <v>0</v>
      </c>
      <c r="SP16" s="5">
        <f>IF(ISERROR(LOOKUP(SP$1,$S16:$HK16,csv!$L16:$HD16)),NA(),LOOKUP(SP$1,$S16:$HK16,csv!$L16:$HD16))</f>
        <v>0</v>
      </c>
      <c r="SQ16" s="5">
        <f>IF(ISERROR(LOOKUP(SQ$1,$S16:$HK16,csv!$L16:$HD16)),NA(),LOOKUP(SQ$1,$S16:$HK16,csv!$L16:$HD16))</f>
        <v>0</v>
      </c>
      <c r="SR16" s="5">
        <f>IF(ISERROR(LOOKUP(SR$1,$S16:$HK16,csv!$L16:$HD16)),NA(),LOOKUP(SR$1,$S16:$HK16,csv!$L16:$HD16))</f>
        <v>0</v>
      </c>
      <c r="SS16" s="5">
        <f>IF(ISERROR(LOOKUP(SS$1,$S16:$HK16,csv!$L16:$HD16)),NA(),LOOKUP(SS$1,$S16:$HK16,csv!$L16:$HD16))</f>
        <v>0</v>
      </c>
      <c r="ST16" s="5">
        <f>IF(ISERROR(LOOKUP(ST$1,$S16:$HK16,csv!$L16:$HD16)),NA(),LOOKUP(ST$1,$S16:$HK16,csv!$L16:$HD16))</f>
        <v>0</v>
      </c>
      <c r="SU16" s="5">
        <f>IF(ISERROR(LOOKUP(SU$1,$S16:$HK16,csv!$L16:$HD16)),NA(),LOOKUP(SU$1,$S16:$HK16,csv!$L16:$HD16))</f>
        <v>0</v>
      </c>
      <c r="SV16" s="5">
        <f>IF(ISERROR(LOOKUP(SV$1,$S16:$HK16,csv!$L16:$HD16)),NA(),LOOKUP(SV$1,$S16:$HK16,csv!$L16:$HD16))</f>
        <v>0</v>
      </c>
      <c r="SW16" s="5">
        <f>IF(ISERROR(LOOKUP(SW$1,$S16:$HK16,csv!$L16:$HD16)),NA(),LOOKUP(SW$1,$S16:$HK16,csv!$L16:$HD16))</f>
        <v>0</v>
      </c>
      <c r="SX16" s="5">
        <f>IF(ISERROR(LOOKUP(SX$1,$S16:$HK16,csv!$L16:$HD16)),NA(),LOOKUP(SX$1,$S16:$HK16,csv!$L16:$HD16))</f>
        <v>0</v>
      </c>
      <c r="SY16" s="5">
        <f>IF(ISERROR(LOOKUP(SY$1,$S16:$HK16,csv!$L16:$HD16)),NA(),LOOKUP(SY$1,$S16:$HK16,csv!$L16:$HD16))</f>
        <v>0</v>
      </c>
      <c r="SZ16" s="5">
        <f>IF(ISERROR(LOOKUP(SZ$1,$S16:$HK16,csv!$L16:$HD16)),NA(),LOOKUP(SZ$1,$S16:$HK16,csv!$L16:$HD16))</f>
        <v>0</v>
      </c>
      <c r="TA16" s="5">
        <f>IF(ISERROR(LOOKUP(TA$1,$S16:$HK16,csv!$L16:$HD16)),NA(),LOOKUP(TA$1,$S16:$HK16,csv!$L16:$HD16))</f>
        <v>0</v>
      </c>
      <c r="TB16" s="5">
        <f>IF(ISERROR(LOOKUP(TB$1,$S16:$HK16,csv!$L16:$HD16)),NA(),LOOKUP(TB$1,$S16:$HK16,csv!$L16:$HD16))</f>
        <v>0</v>
      </c>
      <c r="TD16">
        <f>csv!HG16/10</f>
        <v>0</v>
      </c>
    </row>
    <row r="17" spans="3:524" x14ac:dyDescent="0.15">
      <c r="C17" s="32"/>
      <c r="S17" s="4">
        <f>ROUND((csv!$HG17/10+calc!S$1),1)</f>
        <v>-10</v>
      </c>
      <c r="T17" s="4">
        <f>ROUND((csv!$HG17/10+calc!T$1),1)</f>
        <v>-9.9</v>
      </c>
      <c r="U17" s="4">
        <f>ROUND((csv!$HG17/10+calc!U$1),1)</f>
        <v>-9.8000000000000007</v>
      </c>
      <c r="V17" s="4">
        <f>ROUND((csv!$HG17/10+calc!V$1),1)</f>
        <v>-9.6999999999999993</v>
      </c>
      <c r="W17" s="4">
        <f>ROUND((csv!$HG17/10+calc!W$1),1)</f>
        <v>-9.6</v>
      </c>
      <c r="X17" s="4">
        <f>ROUND((csv!$HG17/10+calc!X$1),1)</f>
        <v>-9.5</v>
      </c>
      <c r="Y17" s="4">
        <f>ROUND((csv!$HG17/10+calc!Y$1),1)</f>
        <v>-9.4</v>
      </c>
      <c r="Z17" s="4">
        <f>ROUND((csv!$HG17/10+calc!Z$1),1)</f>
        <v>-9.3000000000000007</v>
      </c>
      <c r="AA17" s="4">
        <f>ROUND((csv!$HG17/10+calc!AA$1),1)</f>
        <v>-9.1999999999999993</v>
      </c>
      <c r="AB17" s="4">
        <f>ROUND((csv!$HG17/10+calc!AB$1),1)</f>
        <v>-9.1</v>
      </c>
      <c r="AC17" s="4">
        <f>ROUND((csv!$HG17/10+calc!AC$1),1)</f>
        <v>-9</v>
      </c>
      <c r="AD17" s="4">
        <f>ROUND((csv!$HG17/10+calc!AD$1),1)</f>
        <v>-8.9</v>
      </c>
      <c r="AE17" s="4">
        <f>ROUND((csv!$HG17/10+calc!AE$1),1)</f>
        <v>-8.8000000000000007</v>
      </c>
      <c r="AF17" s="4">
        <f>ROUND((csv!$HG17/10+calc!AF$1),1)</f>
        <v>-8.6999999999999993</v>
      </c>
      <c r="AG17" s="4">
        <f>ROUND((csv!$HG17/10+calc!AG$1),1)</f>
        <v>-8.6</v>
      </c>
      <c r="AH17" s="4">
        <f>ROUND((csv!$HG17/10+calc!AH$1),1)</f>
        <v>-8.5</v>
      </c>
      <c r="AI17" s="4">
        <f>ROUND((csv!$HG17/10+calc!AI$1),1)</f>
        <v>-8.4</v>
      </c>
      <c r="AJ17" s="4">
        <f>ROUND((csv!$HG17/10+calc!AJ$1),1)</f>
        <v>-8.3000000000000007</v>
      </c>
      <c r="AK17" s="4">
        <f>ROUND((csv!$HG17/10+calc!AK$1),1)</f>
        <v>-8.1999999999999993</v>
      </c>
      <c r="AL17" s="4">
        <f>ROUND((csv!$HG17/10+calc!AL$1),1)</f>
        <v>-8.1</v>
      </c>
      <c r="AM17" s="4">
        <f>ROUND((csv!$HG17/10+calc!AM$1),1)</f>
        <v>-8</v>
      </c>
      <c r="AN17" s="4">
        <f>ROUND((csv!$HG17/10+calc!AN$1),1)</f>
        <v>-7.9</v>
      </c>
      <c r="AO17" s="4">
        <f>ROUND((csv!$HG17/10+calc!AO$1),1)</f>
        <v>-7.8</v>
      </c>
      <c r="AP17" s="4">
        <f>ROUND((csv!$HG17/10+calc!AP$1),1)</f>
        <v>-7.7</v>
      </c>
      <c r="AQ17" s="4">
        <f>ROUND((csv!$HG17/10+calc!AQ$1),1)</f>
        <v>-7.6</v>
      </c>
      <c r="AR17" s="4">
        <f>ROUND((csv!$HG17/10+calc!AR$1),1)</f>
        <v>-7.5</v>
      </c>
      <c r="AS17" s="4">
        <f>ROUND((csv!$HG17/10+calc!AS$1),1)</f>
        <v>-7.4</v>
      </c>
      <c r="AT17" s="4">
        <f>ROUND((csv!$HG17/10+calc!AT$1),1)</f>
        <v>-7.3</v>
      </c>
      <c r="AU17" s="4">
        <f>ROUND((csv!$HG17/10+calc!AU$1),1)</f>
        <v>-7.2</v>
      </c>
      <c r="AV17" s="4">
        <f>ROUND((csv!$HG17/10+calc!AV$1),1)</f>
        <v>-7.1</v>
      </c>
      <c r="AW17" s="4">
        <f>ROUND((csv!$HG17/10+calc!AW$1),1)</f>
        <v>-7</v>
      </c>
      <c r="AX17" s="4">
        <f>ROUND((csv!$HG17/10+calc!AX$1),1)</f>
        <v>-6.9</v>
      </c>
      <c r="AY17" s="4">
        <f>ROUND((csv!$HG17/10+calc!AY$1),1)</f>
        <v>-6.8</v>
      </c>
      <c r="AZ17" s="4">
        <f>ROUND((csv!$HG17/10+calc!AZ$1),1)</f>
        <v>-6.7</v>
      </c>
      <c r="BA17" s="4">
        <f>ROUND((csv!$HG17/10+calc!BA$1),1)</f>
        <v>-6.6</v>
      </c>
      <c r="BB17" s="4">
        <f>ROUND((csv!$HG17/10+calc!BB$1),1)</f>
        <v>-6.5</v>
      </c>
      <c r="BC17" s="4">
        <f>ROUND((csv!$HG17/10+calc!BC$1),1)</f>
        <v>-6.4</v>
      </c>
      <c r="BD17" s="4">
        <f>ROUND((csv!$HG17/10+calc!BD$1),1)</f>
        <v>-6.3</v>
      </c>
      <c r="BE17" s="4">
        <f>ROUND((csv!$HG17/10+calc!BE$1),1)</f>
        <v>-6.2</v>
      </c>
      <c r="BF17" s="4">
        <f>ROUND((csv!$HG17/10+calc!BF$1),1)</f>
        <v>-6.1</v>
      </c>
      <c r="BG17" s="4">
        <f>ROUND((csv!$HG17/10+calc!BG$1),1)</f>
        <v>-6</v>
      </c>
      <c r="BH17" s="4">
        <f>ROUND((csv!$HG17/10+calc!BH$1),1)</f>
        <v>-5.9</v>
      </c>
      <c r="BI17" s="4">
        <f>ROUND((csv!$HG17/10+calc!BI$1),1)</f>
        <v>-5.8</v>
      </c>
      <c r="BJ17" s="4">
        <f>ROUND((csv!$HG17/10+calc!BJ$1),1)</f>
        <v>-5.7</v>
      </c>
      <c r="BK17" s="4">
        <f>ROUND((csv!$HG17/10+calc!BK$1),1)</f>
        <v>-5.6</v>
      </c>
      <c r="BL17" s="4">
        <f>ROUND((csv!$HG17/10+calc!BL$1),1)</f>
        <v>-5.5</v>
      </c>
      <c r="BM17" s="4">
        <f>ROUND((csv!$HG17/10+calc!BM$1),1)</f>
        <v>-5.4</v>
      </c>
      <c r="BN17" s="4">
        <f>ROUND((csv!$HG17/10+calc!BN$1),1)</f>
        <v>-5.3</v>
      </c>
      <c r="BO17" s="4">
        <f>ROUND((csv!$HG17/10+calc!BO$1),1)</f>
        <v>-5.2</v>
      </c>
      <c r="BP17" s="4">
        <f>ROUND((csv!$HG17/10+calc!BP$1),1)</f>
        <v>-5.0999999999999996</v>
      </c>
      <c r="BQ17" s="4">
        <f>ROUND((csv!$HG17/10+calc!BQ$1),1)</f>
        <v>-5</v>
      </c>
      <c r="BR17" s="4">
        <f>ROUND((csv!$HG17/10+calc!BR$1),1)</f>
        <v>-4.9000000000000004</v>
      </c>
      <c r="BS17" s="4">
        <f>ROUND((csv!$HG17/10+calc!BS$1),1)</f>
        <v>-4.8</v>
      </c>
      <c r="BT17" s="4">
        <f>ROUND((csv!$HG17/10+calc!BT$1),1)</f>
        <v>-4.7</v>
      </c>
      <c r="BU17" s="4">
        <f>ROUND((csv!$HG17/10+calc!BU$1),1)</f>
        <v>-4.5999999999999996</v>
      </c>
      <c r="BV17" s="4">
        <f>ROUND((csv!$HG17/10+calc!BV$1),1)</f>
        <v>-4.5</v>
      </c>
      <c r="BW17" s="4">
        <f>ROUND((csv!$HG17/10+calc!BW$1),1)</f>
        <v>-4.4000000000000004</v>
      </c>
      <c r="BX17" s="4">
        <f>ROUND((csv!$HG17/10+calc!BX$1),1)</f>
        <v>-4.3</v>
      </c>
      <c r="BY17" s="4">
        <f>ROUND((csv!$HG17/10+calc!BY$1),1)</f>
        <v>-4.2</v>
      </c>
      <c r="BZ17" s="4">
        <f>ROUND((csv!$HG17/10+calc!BZ$1),1)</f>
        <v>-4.0999999999999996</v>
      </c>
      <c r="CA17" s="4">
        <f>ROUND((csv!$HG17/10+calc!CA$1),1)</f>
        <v>-4</v>
      </c>
      <c r="CB17" s="4">
        <f>ROUND((csv!$HG17/10+calc!CB$1),1)</f>
        <v>-3.9</v>
      </c>
      <c r="CC17" s="4">
        <f>ROUND((csv!$HG17/10+calc!CC$1),1)</f>
        <v>-3.8</v>
      </c>
      <c r="CD17" s="4">
        <f>ROUND((csv!$HG17/10+calc!CD$1),1)</f>
        <v>-3.7</v>
      </c>
      <c r="CE17" s="4">
        <f>ROUND((csv!$HG17/10+calc!CE$1),1)</f>
        <v>-3.6</v>
      </c>
      <c r="CF17" s="4">
        <f>ROUND((csv!$HG17/10+calc!CF$1),1)</f>
        <v>-3.5</v>
      </c>
      <c r="CG17" s="4">
        <f>ROUND((csv!$HG17/10+calc!CG$1),1)</f>
        <v>-3.4</v>
      </c>
      <c r="CH17" s="4">
        <f>ROUND((csv!$HG17/10+calc!CH$1),1)</f>
        <v>-3.3</v>
      </c>
      <c r="CI17" s="4">
        <f>ROUND((csv!$HG17/10+calc!CI$1),1)</f>
        <v>-3.2</v>
      </c>
      <c r="CJ17" s="4">
        <f>ROUND((csv!$HG17/10+calc!CJ$1),1)</f>
        <v>-3.1</v>
      </c>
      <c r="CK17" s="4">
        <f>ROUND((csv!$HG17/10+calc!CK$1),1)</f>
        <v>-3</v>
      </c>
      <c r="CL17" s="4">
        <f>ROUND((csv!$HG17/10+calc!CL$1),1)</f>
        <v>-2.9</v>
      </c>
      <c r="CM17" s="4">
        <f>ROUND((csv!$HG17/10+calc!CM$1),1)</f>
        <v>-2.8</v>
      </c>
      <c r="CN17" s="4">
        <f>ROUND((csv!$HG17/10+calc!CN$1),1)</f>
        <v>-2.7</v>
      </c>
      <c r="CO17" s="4">
        <f>ROUND((csv!$HG17/10+calc!CO$1),1)</f>
        <v>-2.6</v>
      </c>
      <c r="CP17" s="4">
        <f>ROUND((csv!$HG17/10+calc!CP$1),1)</f>
        <v>-2.5</v>
      </c>
      <c r="CQ17" s="4">
        <f>ROUND((csv!$HG17/10+calc!CQ$1),1)</f>
        <v>-2.4</v>
      </c>
      <c r="CR17" s="4">
        <f>ROUND((csv!$HG17/10+calc!CR$1),1)</f>
        <v>-2.2999999999999998</v>
      </c>
      <c r="CS17" s="4">
        <f>ROUND((csv!$HG17/10+calc!CS$1),1)</f>
        <v>-2.2000000000000002</v>
      </c>
      <c r="CT17" s="4">
        <f>ROUND((csv!$HG17/10+calc!CT$1),1)</f>
        <v>-2.1</v>
      </c>
      <c r="CU17" s="4">
        <f>ROUND((csv!$HG17/10+calc!CU$1),1)</f>
        <v>-2</v>
      </c>
      <c r="CV17" s="4">
        <f>ROUND((csv!$HG17/10+calc!CV$1),1)</f>
        <v>-1.9</v>
      </c>
      <c r="CW17" s="4">
        <f>ROUND((csv!$HG17/10+calc!CW$1),1)</f>
        <v>-1.8</v>
      </c>
      <c r="CX17" s="4">
        <f>ROUND((csv!$HG17/10+calc!CX$1),1)</f>
        <v>-1.7</v>
      </c>
      <c r="CY17" s="4">
        <f>ROUND((csv!$HG17/10+calc!CY$1),1)</f>
        <v>-1.6</v>
      </c>
      <c r="CZ17" s="4">
        <f>ROUND((csv!$HG17/10+calc!CZ$1),1)</f>
        <v>-1.5</v>
      </c>
      <c r="DA17" s="4">
        <f>ROUND((csv!$HG17/10+calc!DA$1),1)</f>
        <v>-1.4</v>
      </c>
      <c r="DB17" s="4">
        <f>ROUND((csv!$HG17/10+calc!DB$1),1)</f>
        <v>-1.3</v>
      </c>
      <c r="DC17" s="4">
        <f>ROUND((csv!$HG17/10+calc!DC$1),1)</f>
        <v>-1.2</v>
      </c>
      <c r="DD17" s="4">
        <f>ROUND((csv!$HG17/10+calc!DD$1),1)</f>
        <v>-1.1000000000000001</v>
      </c>
      <c r="DE17" s="4">
        <f>ROUND((csv!$HG17/10+calc!DE$1),1)</f>
        <v>-1</v>
      </c>
      <c r="DF17" s="4">
        <f>ROUND((csv!$HG17/10+calc!DF$1),1)</f>
        <v>-0.9</v>
      </c>
      <c r="DG17" s="4">
        <f>ROUND((csv!$HG17/10+calc!DG$1),1)</f>
        <v>-0.8</v>
      </c>
      <c r="DH17" s="4">
        <f>ROUND((csv!$HG17/10+calc!DH$1),1)</f>
        <v>-0.7</v>
      </c>
      <c r="DI17" s="4">
        <f>ROUND((csv!$HG17/10+calc!DI$1),1)</f>
        <v>-0.6</v>
      </c>
      <c r="DJ17" s="4">
        <f>ROUND((csv!$HG17/10+calc!DJ$1),1)</f>
        <v>-0.5</v>
      </c>
      <c r="DK17" s="4">
        <f>ROUND((csv!$HG17/10+calc!DK$1),1)</f>
        <v>-0.4</v>
      </c>
      <c r="DL17" s="4">
        <f>ROUND((csv!$HG17/10+calc!DL$1),1)</f>
        <v>-0.3</v>
      </c>
      <c r="DM17" s="4">
        <f>ROUND((csv!$HG17/10+calc!DM$1),1)</f>
        <v>-0.2</v>
      </c>
      <c r="DN17" s="4">
        <f>ROUND((csv!$HG17/10+calc!DN$1),1)</f>
        <v>-0.1</v>
      </c>
      <c r="DO17" s="4">
        <f>ROUND((csv!$HG17/10+calc!DO$1),1)</f>
        <v>0</v>
      </c>
      <c r="DP17" s="4">
        <f>ROUND((csv!$HG17/10+calc!DP$1),1)</f>
        <v>0.1</v>
      </c>
      <c r="DQ17" s="4">
        <f>ROUND((csv!$HG17/10+calc!DQ$1),1)</f>
        <v>0.2</v>
      </c>
      <c r="DR17" s="4">
        <f>ROUND((csv!$HG17/10+calc!DR$1),1)</f>
        <v>0.3</v>
      </c>
      <c r="DS17" s="4">
        <f>ROUND((csv!$HG17/10+calc!DS$1),1)</f>
        <v>0.4</v>
      </c>
      <c r="DT17" s="4">
        <f>ROUND((csv!$HG17/10+calc!DT$1),1)</f>
        <v>0.5</v>
      </c>
      <c r="DU17" s="4">
        <f>ROUND((csv!$HG17/10+calc!DU$1),1)</f>
        <v>0.6</v>
      </c>
      <c r="DV17" s="4">
        <f>ROUND((csv!$HG17/10+calc!DV$1),1)</f>
        <v>0.7</v>
      </c>
      <c r="DW17" s="4">
        <f>ROUND((csv!$HG17/10+calc!DW$1),1)</f>
        <v>0.8</v>
      </c>
      <c r="DX17" s="4">
        <f>ROUND((csv!$HG17/10+calc!DX$1),1)</f>
        <v>0.9</v>
      </c>
      <c r="DY17" s="4">
        <f>ROUND((csv!$HG17/10+calc!DY$1),1)</f>
        <v>1</v>
      </c>
      <c r="DZ17" s="4">
        <f>ROUND((csv!$HG17/10+calc!DZ$1),1)</f>
        <v>1.1000000000000001</v>
      </c>
      <c r="EA17" s="4">
        <f>ROUND((csv!$HG17/10+calc!EA$1),1)</f>
        <v>1.2</v>
      </c>
      <c r="EB17" s="4">
        <f>ROUND((csv!$HG17/10+calc!EB$1),1)</f>
        <v>1.3</v>
      </c>
      <c r="EC17" s="4">
        <f>ROUND((csv!$HG17/10+calc!EC$1),1)</f>
        <v>1.4</v>
      </c>
      <c r="ED17" s="4">
        <f>ROUND((csv!$HG17/10+calc!ED$1),1)</f>
        <v>1.5</v>
      </c>
      <c r="EE17" s="4">
        <f>ROUND((csv!$HG17/10+calc!EE$1),1)</f>
        <v>1.6</v>
      </c>
      <c r="EF17" s="4">
        <f>ROUND((csv!$HG17/10+calc!EF$1),1)</f>
        <v>1.7</v>
      </c>
      <c r="EG17" s="4">
        <f>ROUND((csv!$HG17/10+calc!EG$1),1)</f>
        <v>1.8</v>
      </c>
      <c r="EH17" s="4">
        <f>ROUND((csv!$HG17/10+calc!EH$1),1)</f>
        <v>1.9</v>
      </c>
      <c r="EI17" s="4">
        <f>ROUND((csv!$HG17/10+calc!EI$1),1)</f>
        <v>2</v>
      </c>
      <c r="EJ17" s="4">
        <f>ROUND((csv!$HG17/10+calc!EJ$1),1)</f>
        <v>2.1</v>
      </c>
      <c r="EK17" s="4">
        <f>ROUND((csv!$HG17/10+calc!EK$1),1)</f>
        <v>2.2000000000000002</v>
      </c>
      <c r="EL17" s="4">
        <f>ROUND((csv!$HG17/10+calc!EL$1),1)</f>
        <v>2.2999999999999998</v>
      </c>
      <c r="EM17" s="4">
        <f>ROUND((csv!$HG17/10+calc!EM$1),1)</f>
        <v>2.4</v>
      </c>
      <c r="EN17" s="4">
        <f>ROUND((csv!$HG17/10+calc!EN$1),1)</f>
        <v>2.5</v>
      </c>
      <c r="EO17" s="4">
        <f>ROUND((csv!$HG17/10+calc!EO$1),1)</f>
        <v>2.6</v>
      </c>
      <c r="EP17" s="4">
        <f>ROUND((csv!$HG17/10+calc!EP$1),1)</f>
        <v>2.7</v>
      </c>
      <c r="EQ17" s="4">
        <f>ROUND((csv!$HG17/10+calc!EQ$1),1)</f>
        <v>2.8</v>
      </c>
      <c r="ER17" s="4">
        <f>ROUND((csv!$HG17/10+calc!ER$1),1)</f>
        <v>2.9</v>
      </c>
      <c r="ES17" s="4">
        <f>ROUND((csv!$HG17/10+calc!ES$1),1)</f>
        <v>3</v>
      </c>
      <c r="ET17" s="4">
        <f>ROUND((csv!$HG17/10+calc!ET$1),1)</f>
        <v>3.1</v>
      </c>
      <c r="EU17" s="4">
        <f>ROUND((csv!$HG17/10+calc!EU$1),1)</f>
        <v>3.2</v>
      </c>
      <c r="EV17" s="4">
        <f>ROUND((csv!$HG17/10+calc!EV$1),1)</f>
        <v>3.3</v>
      </c>
      <c r="EW17" s="4">
        <f>ROUND((csv!$HG17/10+calc!EW$1),1)</f>
        <v>3.4</v>
      </c>
      <c r="EX17" s="4">
        <f>ROUND((csv!$HG17/10+calc!EX$1),1)</f>
        <v>3.5</v>
      </c>
      <c r="EY17" s="4">
        <f>ROUND((csv!$HG17/10+calc!EY$1),1)</f>
        <v>3.6</v>
      </c>
      <c r="EZ17" s="4">
        <f>ROUND((csv!$HG17/10+calc!EZ$1),1)</f>
        <v>3.7</v>
      </c>
      <c r="FA17" s="4">
        <f>ROUND((csv!$HG17/10+calc!FA$1),1)</f>
        <v>3.8</v>
      </c>
      <c r="FB17" s="4">
        <f>ROUND((csv!$HG17/10+calc!FB$1),1)</f>
        <v>3.9</v>
      </c>
      <c r="FC17" s="4">
        <f>ROUND((csv!$HG17/10+calc!FC$1),1)</f>
        <v>4</v>
      </c>
      <c r="FD17" s="4">
        <f>ROUND((csv!$HG17/10+calc!FD$1),1)</f>
        <v>4.0999999999999996</v>
      </c>
      <c r="FE17" s="4">
        <f>ROUND((csv!$HG17/10+calc!FE$1),1)</f>
        <v>4.2</v>
      </c>
      <c r="FF17" s="4">
        <f>ROUND((csv!$HG17/10+calc!FF$1),1)</f>
        <v>4.3</v>
      </c>
      <c r="FG17" s="4">
        <f>ROUND((csv!$HG17/10+calc!FG$1),1)</f>
        <v>4.4000000000000004</v>
      </c>
      <c r="FH17" s="4">
        <f>ROUND((csv!$HG17/10+calc!FH$1),1)</f>
        <v>4.5</v>
      </c>
      <c r="FI17" s="4">
        <f>ROUND((csv!$HG17/10+calc!FI$1),1)</f>
        <v>4.5999999999999996</v>
      </c>
      <c r="FJ17" s="4">
        <f>ROUND((csv!$HG17/10+calc!FJ$1),1)</f>
        <v>4.7</v>
      </c>
      <c r="FK17" s="4">
        <f>ROUND((csv!$HG17/10+calc!FK$1),1)</f>
        <v>4.8</v>
      </c>
      <c r="FL17" s="4">
        <f>ROUND((csv!$HG17/10+calc!FL$1),1)</f>
        <v>4.9000000000000004</v>
      </c>
      <c r="FM17" s="4">
        <f>ROUND((csv!$HG17/10+calc!FM$1),1)</f>
        <v>5</v>
      </c>
      <c r="FN17" s="4">
        <f>ROUND((csv!$HG17/10+calc!FN$1),1)</f>
        <v>5.0999999999999996</v>
      </c>
      <c r="FO17" s="4">
        <f>ROUND((csv!$HG17/10+calc!FO$1),1)</f>
        <v>5.2</v>
      </c>
      <c r="FP17" s="4">
        <f>ROUND((csv!$HG17/10+calc!FP$1),1)</f>
        <v>5.3</v>
      </c>
      <c r="FQ17" s="4">
        <f>ROUND((csv!$HG17/10+calc!FQ$1),1)</f>
        <v>5.4</v>
      </c>
      <c r="FR17" s="4">
        <f>ROUND((csv!$HG17/10+calc!FR$1),1)</f>
        <v>5.5</v>
      </c>
      <c r="FS17" s="4">
        <f>ROUND((csv!$HG17/10+calc!FS$1),1)</f>
        <v>5.6</v>
      </c>
      <c r="FT17" s="4">
        <f>ROUND((csv!$HG17/10+calc!FT$1),1)</f>
        <v>5.7</v>
      </c>
      <c r="FU17" s="4">
        <f>ROUND((csv!$HG17/10+calc!FU$1),1)</f>
        <v>5.8</v>
      </c>
      <c r="FV17" s="4">
        <f>ROUND((csv!$HG17/10+calc!FV$1),1)</f>
        <v>5.9</v>
      </c>
      <c r="FW17" s="4">
        <f>ROUND((csv!$HG17/10+calc!FW$1),1)</f>
        <v>6</v>
      </c>
      <c r="FX17" s="4">
        <f>ROUND((csv!$HG17/10+calc!FX$1),1)</f>
        <v>6.1</v>
      </c>
      <c r="FY17" s="4">
        <f>ROUND((csv!$HG17/10+calc!FY$1),1)</f>
        <v>6.2</v>
      </c>
      <c r="FZ17" s="4">
        <f>ROUND((csv!$HG17/10+calc!FZ$1),1)</f>
        <v>6.3</v>
      </c>
      <c r="GA17" s="4">
        <f>ROUND((csv!$HG17/10+calc!GA$1),1)</f>
        <v>6.4</v>
      </c>
      <c r="GB17" s="4">
        <f>ROUND((csv!$HG17/10+calc!GB$1),1)</f>
        <v>6.5</v>
      </c>
      <c r="GC17" s="4">
        <f>ROUND((csv!$HG17/10+calc!GC$1),1)</f>
        <v>6.6</v>
      </c>
      <c r="GD17" s="4">
        <f>ROUND((csv!$HG17/10+calc!GD$1),1)</f>
        <v>6.7</v>
      </c>
      <c r="GE17" s="4">
        <f>ROUND((csv!$HG17/10+calc!GE$1),1)</f>
        <v>6.8</v>
      </c>
      <c r="GF17" s="4">
        <f>ROUND((csv!$HG17/10+calc!GF$1),1)</f>
        <v>6.9</v>
      </c>
      <c r="GG17" s="4">
        <f>ROUND((csv!$HG17/10+calc!GG$1),1)</f>
        <v>7</v>
      </c>
      <c r="GH17" s="4">
        <f>ROUND((csv!$HG17/10+calc!GH$1),1)</f>
        <v>7.1</v>
      </c>
      <c r="GI17" s="4">
        <f>ROUND((csv!$HG17/10+calc!GI$1),1)</f>
        <v>7.2</v>
      </c>
      <c r="GJ17" s="4">
        <f>ROUND((csv!$HG17/10+calc!GJ$1),1)</f>
        <v>7.3</v>
      </c>
      <c r="GK17" s="4">
        <f>ROUND((csv!$HG17/10+calc!GK$1),1)</f>
        <v>7.4</v>
      </c>
      <c r="GL17" s="4">
        <f>ROUND((csv!$HG17/10+calc!GL$1),1)</f>
        <v>7.5</v>
      </c>
      <c r="GM17" s="4">
        <f>ROUND((csv!$HG17/10+calc!GM$1),1)</f>
        <v>7.6</v>
      </c>
      <c r="GN17" s="4">
        <f>ROUND((csv!$HG17/10+calc!GN$1),1)</f>
        <v>7.7</v>
      </c>
      <c r="GO17" s="4">
        <f>ROUND((csv!$HG17/10+calc!GO$1),1)</f>
        <v>7.8</v>
      </c>
      <c r="GP17" s="4">
        <f>ROUND((csv!$HG17/10+calc!GP$1),1)</f>
        <v>7.9</v>
      </c>
      <c r="GQ17" s="4">
        <f>ROUND((csv!$HG17/10+calc!GQ$1),1)</f>
        <v>8</v>
      </c>
      <c r="GR17" s="4">
        <f>ROUND((csv!$HG17/10+calc!GR$1),1)</f>
        <v>8.1</v>
      </c>
      <c r="GS17" s="4">
        <f>ROUND((csv!$HG17/10+calc!GS$1),1)</f>
        <v>8.1999999999999993</v>
      </c>
      <c r="GT17" s="4">
        <f>ROUND((csv!$HG17/10+calc!GT$1),1)</f>
        <v>8.3000000000000007</v>
      </c>
      <c r="GU17" s="4">
        <f>ROUND((csv!$HG17/10+calc!GU$1),1)</f>
        <v>8.4</v>
      </c>
      <c r="GV17" s="4">
        <f>ROUND((csv!$HG17/10+calc!GV$1),1)</f>
        <v>8.5</v>
      </c>
      <c r="GW17" s="4">
        <f>ROUND((csv!$HG17/10+calc!GW$1),1)</f>
        <v>8.6</v>
      </c>
      <c r="GX17" s="4">
        <f>ROUND((csv!$HG17/10+calc!GX$1),1)</f>
        <v>8.6999999999999993</v>
      </c>
      <c r="GY17" s="4">
        <f>ROUND((csv!$HG17/10+calc!GY$1),1)</f>
        <v>8.8000000000000007</v>
      </c>
      <c r="GZ17" s="4">
        <f>ROUND((csv!$HG17/10+calc!GZ$1),1)</f>
        <v>8.9</v>
      </c>
      <c r="HA17" s="4">
        <f>ROUND((csv!$HG17/10+calc!HA$1),1)</f>
        <v>9</v>
      </c>
      <c r="HB17" s="4">
        <f>ROUND((csv!$HG17/10+calc!HB$1),1)</f>
        <v>9.1</v>
      </c>
      <c r="HC17" s="4">
        <f>ROUND((csv!$HG17/10+calc!HC$1),1)</f>
        <v>9.1999999999999993</v>
      </c>
      <c r="HD17" s="4">
        <f>ROUND((csv!$HG17/10+calc!HD$1),1)</f>
        <v>9.3000000000000007</v>
      </c>
      <c r="HE17" s="4">
        <f>ROUND((csv!$HG17/10+calc!HE$1),1)</f>
        <v>9.4</v>
      </c>
      <c r="HF17" s="4">
        <f>ROUND((csv!$HG17/10+calc!HF$1),1)</f>
        <v>9.5</v>
      </c>
      <c r="HG17" s="4">
        <f>ROUND((csv!$HG17/10+calc!HG$1),1)</f>
        <v>9.6</v>
      </c>
      <c r="HH17" s="4">
        <f>ROUND((csv!$HG17/10+calc!HH$1),1)</f>
        <v>9.6999999999999993</v>
      </c>
      <c r="HI17" s="4">
        <f>ROUND((csv!$HG17/10+calc!HI$1),1)</f>
        <v>9.8000000000000007</v>
      </c>
      <c r="HJ17" s="4">
        <f>ROUND((csv!$HG17/10+calc!HJ$1),1)</f>
        <v>9.9</v>
      </c>
      <c r="HK17" s="4">
        <f>ROUND((csv!$HG17/10+calc!HK$1),1)</f>
        <v>10</v>
      </c>
      <c r="HM17" s="2">
        <f>csv!A17*10000+csv!B17*100+csv!C17</f>
        <v>0</v>
      </c>
      <c r="HN17" s="5">
        <f>IF(ISERROR(LOOKUP(HN$1,$S17:$HK17,csv!$L17:$HD17)),NA(),LOOKUP(HN$1,$S17:$HK17,csv!$L17:$HD17))</f>
        <v>0</v>
      </c>
      <c r="HO17" s="5">
        <f>IF(ISERROR(LOOKUP(HO$1,$S17:$HK17,csv!$L17:$HD17)),NA(),LOOKUP(HO$1,$S17:$HK17,csv!$L17:$HD17))</f>
        <v>0</v>
      </c>
      <c r="HP17" s="5">
        <f>IF(ISERROR(LOOKUP(HP$1,$S17:$HK17,csv!$L17:$HD17)),NA(),LOOKUP(HP$1,$S17:$HK17,csv!$L17:$HD17))</f>
        <v>0</v>
      </c>
      <c r="HQ17" s="5">
        <f>IF(ISERROR(LOOKUP(HQ$1,$S17:$HK17,csv!$L17:$HD17)),NA(),LOOKUP(HQ$1,$S17:$HK17,csv!$L17:$HD17))</f>
        <v>0</v>
      </c>
      <c r="HR17" s="5">
        <f>IF(ISERROR(LOOKUP(HR$1,$S17:$HK17,csv!$L17:$HD17)),NA(),LOOKUP(HR$1,$S17:$HK17,csv!$L17:$HD17))</f>
        <v>0</v>
      </c>
      <c r="HS17" s="5">
        <f>IF(ISERROR(LOOKUP(HS$1,$S17:$HK17,csv!$L17:$HD17)),NA(),LOOKUP(HS$1,$S17:$HK17,csv!$L17:$HD17))</f>
        <v>0</v>
      </c>
      <c r="HT17" s="5">
        <f>IF(ISERROR(LOOKUP(HT$1,$S17:$HK17,csv!$L17:$HD17)),NA(),LOOKUP(HT$1,$S17:$HK17,csv!$L17:$HD17))</f>
        <v>0</v>
      </c>
      <c r="HU17" s="5">
        <f>IF(ISERROR(LOOKUP(HU$1,$S17:$HK17,csv!$L17:$HD17)),NA(),LOOKUP(HU$1,$S17:$HK17,csv!$L17:$HD17))</f>
        <v>0</v>
      </c>
      <c r="HV17" s="5">
        <f>IF(ISERROR(LOOKUP(HV$1,$S17:$HK17,csv!$L17:$HD17)),NA(),LOOKUP(HV$1,$S17:$HK17,csv!$L17:$HD17))</f>
        <v>0</v>
      </c>
      <c r="HW17" s="5">
        <f>IF(ISERROR(LOOKUP(HW$1,$S17:$HK17,csv!$L17:$HD17)),NA(),LOOKUP(HW$1,$S17:$HK17,csv!$L17:$HD17))</f>
        <v>0</v>
      </c>
      <c r="HX17" s="5">
        <f>IF(ISERROR(LOOKUP(HX$1,$S17:$HK17,csv!$L17:$HD17)),NA(),LOOKUP(HX$1,$S17:$HK17,csv!$L17:$HD17))</f>
        <v>0</v>
      </c>
      <c r="HY17" s="5">
        <f>IF(ISERROR(LOOKUP(HY$1,$S17:$HK17,csv!$L17:$HD17)),NA(),LOOKUP(HY$1,$S17:$HK17,csv!$L17:$HD17))</f>
        <v>0</v>
      </c>
      <c r="HZ17" s="5">
        <f>IF(ISERROR(LOOKUP(HZ$1,$S17:$HK17,csv!$L17:$HD17)),NA(),LOOKUP(HZ$1,$S17:$HK17,csv!$L17:$HD17))</f>
        <v>0</v>
      </c>
      <c r="IA17" s="5">
        <f>IF(ISERROR(LOOKUP(IA$1,$S17:$HK17,csv!$L17:$HD17)),NA(),LOOKUP(IA$1,$S17:$HK17,csv!$L17:$HD17))</f>
        <v>0</v>
      </c>
      <c r="IB17" s="5">
        <f>IF(ISERROR(LOOKUP(IB$1,$S17:$HK17,csv!$L17:$HD17)),NA(),LOOKUP(IB$1,$S17:$HK17,csv!$L17:$HD17))</f>
        <v>0</v>
      </c>
      <c r="IC17" s="5">
        <f>IF(ISERROR(LOOKUP(IC$1,$S17:$HK17,csv!$L17:$HD17)),NA(),LOOKUP(IC$1,$S17:$HK17,csv!$L17:$HD17))</f>
        <v>0</v>
      </c>
      <c r="ID17" s="5">
        <f>IF(ISERROR(LOOKUP(ID$1,$S17:$HK17,csv!$L17:$HD17)),NA(),LOOKUP(ID$1,$S17:$HK17,csv!$L17:$HD17))</f>
        <v>0</v>
      </c>
      <c r="IE17" s="5">
        <f>IF(ISERROR(LOOKUP(IE$1,$S17:$HK17,csv!$L17:$HD17)),NA(),LOOKUP(IE$1,$S17:$HK17,csv!$L17:$HD17))</f>
        <v>0</v>
      </c>
      <c r="IF17" s="5">
        <f>IF(ISERROR(LOOKUP(IF$1,$S17:$HK17,csv!$L17:$HD17)),NA(),LOOKUP(IF$1,$S17:$HK17,csv!$L17:$HD17))</f>
        <v>0</v>
      </c>
      <c r="IG17" s="5">
        <f>IF(ISERROR(LOOKUP(IG$1,$S17:$HK17,csv!$L17:$HD17)),NA(),LOOKUP(IG$1,$S17:$HK17,csv!$L17:$HD17))</f>
        <v>0</v>
      </c>
      <c r="IH17" s="5">
        <f>IF(ISERROR(LOOKUP(IH$1,$S17:$HK17,csv!$L17:$HD17)),NA(),LOOKUP(IH$1,$S17:$HK17,csv!$L17:$HD17))</f>
        <v>0</v>
      </c>
      <c r="II17" s="5">
        <f>IF(ISERROR(LOOKUP(II$1,$S17:$HK17,csv!$L17:$HD17)),NA(),LOOKUP(II$1,$S17:$HK17,csv!$L17:$HD17))</f>
        <v>0</v>
      </c>
      <c r="IJ17" s="5">
        <f>IF(ISERROR(LOOKUP(IJ$1,$S17:$HK17,csv!$L17:$HD17)),NA(),LOOKUP(IJ$1,$S17:$HK17,csv!$L17:$HD17))</f>
        <v>0</v>
      </c>
      <c r="IK17" s="5">
        <f>IF(ISERROR(LOOKUP(IK$1,$S17:$HK17,csv!$L17:$HD17)),NA(),LOOKUP(IK$1,$S17:$HK17,csv!$L17:$HD17))</f>
        <v>0</v>
      </c>
      <c r="IL17" s="5">
        <f>IF(ISERROR(LOOKUP(IL$1,$S17:$HK17,csv!$L17:$HD17)),NA(),LOOKUP(IL$1,$S17:$HK17,csv!$L17:$HD17))</f>
        <v>0</v>
      </c>
      <c r="IM17" s="5">
        <f>IF(ISERROR(LOOKUP(IM$1,$S17:$HK17,csv!$L17:$HD17)),NA(),LOOKUP(IM$1,$S17:$HK17,csv!$L17:$HD17))</f>
        <v>0</v>
      </c>
      <c r="IN17" s="5">
        <f>IF(ISERROR(LOOKUP(IN$1,$S17:$HK17,csv!$L17:$HD17)),NA(),LOOKUP(IN$1,$S17:$HK17,csv!$L17:$HD17))</f>
        <v>0</v>
      </c>
      <c r="IO17" s="5">
        <f>IF(ISERROR(LOOKUP(IO$1,$S17:$HK17,csv!$L17:$HD17)),NA(),LOOKUP(IO$1,$S17:$HK17,csv!$L17:$HD17))</f>
        <v>0</v>
      </c>
      <c r="IP17" s="5">
        <f>IF(ISERROR(LOOKUP(IP$1,$S17:$HK17,csv!$L17:$HD17)),NA(),LOOKUP(IP$1,$S17:$HK17,csv!$L17:$HD17))</f>
        <v>0</v>
      </c>
      <c r="IQ17" s="5">
        <f>IF(ISERROR(LOOKUP(IQ$1,$S17:$HK17,csv!$L17:$HD17)),NA(),LOOKUP(IQ$1,$S17:$HK17,csv!$L17:$HD17))</f>
        <v>0</v>
      </c>
      <c r="IR17" s="5">
        <f>IF(ISERROR(LOOKUP(IR$1,$S17:$HK17,csv!$L17:$HD17)),NA(),LOOKUP(IR$1,$S17:$HK17,csv!$L17:$HD17))</f>
        <v>0</v>
      </c>
      <c r="IS17" s="5">
        <f>IF(ISERROR(LOOKUP(IS$1,$S17:$HK17,csv!$L17:$HD17)),NA(),LOOKUP(IS$1,$S17:$HK17,csv!$L17:$HD17))</f>
        <v>0</v>
      </c>
      <c r="IT17" s="5">
        <f>IF(ISERROR(LOOKUP(IT$1,$S17:$HK17,csv!$L17:$HD17)),NA(),LOOKUP(IT$1,$S17:$HK17,csv!$L17:$HD17))</f>
        <v>0</v>
      </c>
      <c r="IU17" s="5">
        <f>IF(ISERROR(LOOKUP(IU$1,$S17:$HK17,csv!$L17:$HD17)),NA(),LOOKUP(IU$1,$S17:$HK17,csv!$L17:$HD17))</f>
        <v>0</v>
      </c>
      <c r="IV17" s="5">
        <f>IF(ISERROR(LOOKUP(IV$1,$S17:$HK17,csv!$L17:$HD17)),NA(),LOOKUP(IV$1,$S17:$HK17,csv!$L17:$HD17))</f>
        <v>0</v>
      </c>
      <c r="IW17" s="5">
        <f>IF(ISERROR(LOOKUP(IW$1,$S17:$HK17,csv!$L17:$HD17)),NA(),LOOKUP(IW$1,$S17:$HK17,csv!$L17:$HD17))</f>
        <v>0</v>
      </c>
      <c r="IX17" s="5">
        <f>IF(ISERROR(LOOKUP(IX$1,$S17:$HK17,csv!$L17:$HD17)),NA(),LOOKUP(IX$1,$S17:$HK17,csv!$L17:$HD17))</f>
        <v>0</v>
      </c>
      <c r="IY17" s="5">
        <f>IF(ISERROR(LOOKUP(IY$1,$S17:$HK17,csv!$L17:$HD17)),NA(),LOOKUP(IY$1,$S17:$HK17,csv!$L17:$HD17))</f>
        <v>0</v>
      </c>
      <c r="IZ17" s="5">
        <f>IF(ISERROR(LOOKUP(IZ$1,$S17:$HK17,csv!$L17:$HD17)),NA(),LOOKUP(IZ$1,$S17:$HK17,csv!$L17:$HD17))</f>
        <v>0</v>
      </c>
      <c r="JA17" s="5">
        <f>IF(ISERROR(LOOKUP(JA$1,$S17:$HK17,csv!$L17:$HD17)),NA(),LOOKUP(JA$1,$S17:$HK17,csv!$L17:$HD17))</f>
        <v>0</v>
      </c>
      <c r="JB17" s="5">
        <f>IF(ISERROR(LOOKUP(JB$1,$S17:$HK17,csv!$L17:$HD17)),NA(),LOOKUP(JB$1,$S17:$HK17,csv!$L17:$HD17))</f>
        <v>0</v>
      </c>
      <c r="JC17" s="5">
        <f>IF(ISERROR(LOOKUP(JC$1,$S17:$HK17,csv!$L17:$HD17)),NA(),LOOKUP(JC$1,$S17:$HK17,csv!$L17:$HD17))</f>
        <v>0</v>
      </c>
      <c r="JD17" s="5">
        <f>IF(ISERROR(LOOKUP(JD$1,$S17:$HK17,csv!$L17:$HD17)),NA(),LOOKUP(JD$1,$S17:$HK17,csv!$L17:$HD17))</f>
        <v>0</v>
      </c>
      <c r="JE17" s="5">
        <f>IF(ISERROR(LOOKUP(JE$1,$S17:$HK17,csv!$L17:$HD17)),NA(),LOOKUP(JE$1,$S17:$HK17,csv!$L17:$HD17))</f>
        <v>0</v>
      </c>
      <c r="JF17" s="5">
        <f>IF(ISERROR(LOOKUP(JF$1,$S17:$HK17,csv!$L17:$HD17)),NA(),LOOKUP(JF$1,$S17:$HK17,csv!$L17:$HD17))</f>
        <v>0</v>
      </c>
      <c r="JG17" s="5">
        <f>IF(ISERROR(LOOKUP(JG$1,$S17:$HK17,csv!$L17:$HD17)),NA(),LOOKUP(JG$1,$S17:$HK17,csv!$L17:$HD17))</f>
        <v>0</v>
      </c>
      <c r="JH17" s="5">
        <f>IF(ISERROR(LOOKUP(JH$1,$S17:$HK17,csv!$L17:$HD17)),NA(),LOOKUP(JH$1,$S17:$HK17,csv!$L17:$HD17))</f>
        <v>0</v>
      </c>
      <c r="JI17" s="5">
        <f>IF(ISERROR(LOOKUP(JI$1,$S17:$HK17,csv!$L17:$HD17)),NA(),LOOKUP(JI$1,$S17:$HK17,csv!$L17:$HD17))</f>
        <v>0</v>
      </c>
      <c r="JJ17" s="5">
        <f>IF(ISERROR(LOOKUP(JJ$1,$S17:$HK17,csv!$L17:$HD17)),NA(),LOOKUP(JJ$1,$S17:$HK17,csv!$L17:$HD17))</f>
        <v>0</v>
      </c>
      <c r="JK17" s="5">
        <f>IF(ISERROR(LOOKUP(JK$1,$S17:$HK17,csv!$L17:$HD17)),NA(),LOOKUP(JK$1,$S17:$HK17,csv!$L17:$HD17))</f>
        <v>0</v>
      </c>
      <c r="JL17" s="5">
        <f>IF(ISERROR(LOOKUP(JL$1,$S17:$HK17,csv!$L17:$HD17)),NA(),LOOKUP(JL$1,$S17:$HK17,csv!$L17:$HD17))</f>
        <v>0</v>
      </c>
      <c r="JM17" s="5">
        <f>IF(ISERROR(LOOKUP(JM$1,$S17:$HK17,csv!$L17:$HD17)),NA(),LOOKUP(JM$1,$S17:$HK17,csv!$L17:$HD17))</f>
        <v>0</v>
      </c>
      <c r="JN17" s="5">
        <f>IF(ISERROR(LOOKUP(JN$1,$S17:$HK17,csv!$L17:$HD17)),NA(),LOOKUP(JN$1,$S17:$HK17,csv!$L17:$HD17))</f>
        <v>0</v>
      </c>
      <c r="JO17" s="5">
        <f>IF(ISERROR(LOOKUP(JO$1,$S17:$HK17,csv!$L17:$HD17)),NA(),LOOKUP(JO$1,$S17:$HK17,csv!$L17:$HD17))</f>
        <v>0</v>
      </c>
      <c r="JP17" s="5">
        <f>IF(ISERROR(LOOKUP(JP$1,$S17:$HK17,csv!$L17:$HD17)),NA(),LOOKUP(JP$1,$S17:$HK17,csv!$L17:$HD17))</f>
        <v>0</v>
      </c>
      <c r="JQ17" s="5">
        <f>IF(ISERROR(LOOKUP(JQ$1,$S17:$HK17,csv!$L17:$HD17)),NA(),LOOKUP(JQ$1,$S17:$HK17,csv!$L17:$HD17))</f>
        <v>0</v>
      </c>
      <c r="JR17" s="5">
        <f>IF(ISERROR(LOOKUP(JR$1,$S17:$HK17,csv!$L17:$HD17)),NA(),LOOKUP(JR$1,$S17:$HK17,csv!$L17:$HD17))</f>
        <v>0</v>
      </c>
      <c r="JS17" s="5">
        <f>IF(ISERROR(LOOKUP(JS$1,$S17:$HK17,csv!$L17:$HD17)),NA(),LOOKUP(JS$1,$S17:$HK17,csv!$L17:$HD17))</f>
        <v>0</v>
      </c>
      <c r="JT17" s="5">
        <f>IF(ISERROR(LOOKUP(JT$1,$S17:$HK17,csv!$L17:$HD17)),NA(),LOOKUP(JT$1,$S17:$HK17,csv!$L17:$HD17))</f>
        <v>0</v>
      </c>
      <c r="JU17" s="5">
        <f>IF(ISERROR(LOOKUP(JU$1,$S17:$HK17,csv!$L17:$HD17)),NA(),LOOKUP(JU$1,$S17:$HK17,csv!$L17:$HD17))</f>
        <v>0</v>
      </c>
      <c r="JV17" s="5">
        <f>IF(ISERROR(LOOKUP(JV$1,$S17:$HK17,csv!$L17:$HD17)),NA(),LOOKUP(JV$1,$S17:$HK17,csv!$L17:$HD17))</f>
        <v>0</v>
      </c>
      <c r="JW17" s="5">
        <f>IF(ISERROR(LOOKUP(JW$1,$S17:$HK17,csv!$L17:$HD17)),NA(),LOOKUP(JW$1,$S17:$HK17,csv!$L17:$HD17))</f>
        <v>0</v>
      </c>
      <c r="JX17" s="5">
        <f>IF(ISERROR(LOOKUP(JX$1,$S17:$HK17,csv!$L17:$HD17)),NA(),LOOKUP(JX$1,$S17:$HK17,csv!$L17:$HD17))</f>
        <v>0</v>
      </c>
      <c r="JY17" s="5">
        <f>IF(ISERROR(LOOKUP(JY$1,$S17:$HK17,csv!$L17:$HD17)),NA(),LOOKUP(JY$1,$S17:$HK17,csv!$L17:$HD17))</f>
        <v>0</v>
      </c>
      <c r="JZ17" s="5">
        <f>IF(ISERROR(LOOKUP(JZ$1,$S17:$HK17,csv!$L17:$HD17)),NA(),LOOKUP(JZ$1,$S17:$HK17,csv!$L17:$HD17))</f>
        <v>0</v>
      </c>
      <c r="KA17" s="5">
        <f>IF(ISERROR(LOOKUP(KA$1,$S17:$HK17,csv!$L17:$HD17)),NA(),LOOKUP(KA$1,$S17:$HK17,csv!$L17:$HD17))</f>
        <v>0</v>
      </c>
      <c r="KB17" s="5">
        <f>IF(ISERROR(LOOKUP(KB$1,$S17:$HK17,csv!$L17:$HD17)),NA(),LOOKUP(KB$1,$S17:$HK17,csv!$L17:$HD17))</f>
        <v>0</v>
      </c>
      <c r="KC17" s="5">
        <f>IF(ISERROR(LOOKUP(KC$1,$S17:$HK17,csv!$L17:$HD17)),NA(),LOOKUP(KC$1,$S17:$HK17,csv!$L17:$HD17))</f>
        <v>0</v>
      </c>
      <c r="KD17" s="5">
        <f>IF(ISERROR(LOOKUP(KD$1,$S17:$HK17,csv!$L17:$HD17)),NA(),LOOKUP(KD$1,$S17:$HK17,csv!$L17:$HD17))</f>
        <v>0</v>
      </c>
      <c r="KE17" s="5">
        <f>IF(ISERROR(LOOKUP(KE$1,$S17:$HK17,csv!$L17:$HD17)),NA(),LOOKUP(KE$1,$S17:$HK17,csv!$L17:$HD17))</f>
        <v>0</v>
      </c>
      <c r="KF17" s="5">
        <f>IF(ISERROR(LOOKUP(KF$1,$S17:$HK17,csv!$L17:$HD17)),NA(),LOOKUP(KF$1,$S17:$HK17,csv!$L17:$HD17))</f>
        <v>0</v>
      </c>
      <c r="KG17" s="5">
        <f>IF(ISERROR(LOOKUP(KG$1,$S17:$HK17,csv!$L17:$HD17)),NA(),LOOKUP(KG$1,$S17:$HK17,csv!$L17:$HD17))</f>
        <v>0</v>
      </c>
      <c r="KH17" s="5">
        <f>IF(ISERROR(LOOKUP(KH$1,$S17:$HK17,csv!$L17:$HD17)),NA(),LOOKUP(KH$1,$S17:$HK17,csv!$L17:$HD17))</f>
        <v>0</v>
      </c>
      <c r="KI17" s="5">
        <f>IF(ISERROR(LOOKUP(KI$1,$S17:$HK17,csv!$L17:$HD17)),NA(),LOOKUP(KI$1,$S17:$HK17,csv!$L17:$HD17))</f>
        <v>0</v>
      </c>
      <c r="KJ17" s="5">
        <f>IF(ISERROR(LOOKUP(KJ$1,$S17:$HK17,csv!$L17:$HD17)),NA(),LOOKUP(KJ$1,$S17:$HK17,csv!$L17:$HD17))</f>
        <v>0</v>
      </c>
      <c r="KK17" s="5">
        <f>IF(ISERROR(LOOKUP(KK$1,$S17:$HK17,csv!$L17:$HD17)),NA(),LOOKUP(KK$1,$S17:$HK17,csv!$L17:$HD17))</f>
        <v>0</v>
      </c>
      <c r="KL17" s="5">
        <f>IF(ISERROR(LOOKUP(KL$1,$S17:$HK17,csv!$L17:$HD17)),NA(),LOOKUP(KL$1,$S17:$HK17,csv!$L17:$HD17))</f>
        <v>0</v>
      </c>
      <c r="KM17" s="5">
        <f>IF(ISERROR(LOOKUP(KM$1,$S17:$HK17,csv!$L17:$HD17)),NA(),LOOKUP(KM$1,$S17:$HK17,csv!$L17:$HD17))</f>
        <v>0</v>
      </c>
      <c r="KN17" s="5">
        <f>IF(ISERROR(LOOKUP(KN$1,$S17:$HK17,csv!$L17:$HD17)),NA(),LOOKUP(KN$1,$S17:$HK17,csv!$L17:$HD17))</f>
        <v>0</v>
      </c>
      <c r="KO17" s="5">
        <f>IF(ISERROR(LOOKUP(KO$1,$S17:$HK17,csv!$L17:$HD17)),NA(),LOOKUP(KO$1,$S17:$HK17,csv!$L17:$HD17))</f>
        <v>0</v>
      </c>
      <c r="KP17" s="5">
        <f>IF(ISERROR(LOOKUP(KP$1,$S17:$HK17,csv!$L17:$HD17)),NA(),LOOKUP(KP$1,$S17:$HK17,csv!$L17:$HD17))</f>
        <v>0</v>
      </c>
      <c r="KQ17" s="5">
        <f>IF(ISERROR(LOOKUP(KQ$1,$S17:$HK17,csv!$L17:$HD17)),NA(),LOOKUP(KQ$1,$S17:$HK17,csv!$L17:$HD17))</f>
        <v>0</v>
      </c>
      <c r="KR17" s="5">
        <f>IF(ISERROR(LOOKUP(KR$1,$S17:$HK17,csv!$L17:$HD17)),NA(),LOOKUP(KR$1,$S17:$HK17,csv!$L17:$HD17))</f>
        <v>0</v>
      </c>
      <c r="KS17" s="5">
        <f>IF(ISERROR(LOOKUP(KS$1,$S17:$HK17,csv!$L17:$HD17)),NA(),LOOKUP(KS$1,$S17:$HK17,csv!$L17:$HD17))</f>
        <v>0</v>
      </c>
      <c r="KT17" s="5">
        <f>IF(ISERROR(LOOKUP(KT$1,$S17:$HK17,csv!$L17:$HD17)),NA(),LOOKUP(KT$1,$S17:$HK17,csv!$L17:$HD17))</f>
        <v>0</v>
      </c>
      <c r="KU17" s="5">
        <f>IF(ISERROR(LOOKUP(KU$1,$S17:$HK17,csv!$L17:$HD17)),NA(),LOOKUP(KU$1,$S17:$HK17,csv!$L17:$HD17))</f>
        <v>0</v>
      </c>
      <c r="KV17" s="5">
        <f>IF(ISERROR(LOOKUP(KV$1,$S17:$HK17,csv!$L17:$HD17)),NA(),LOOKUP(KV$1,$S17:$HK17,csv!$L17:$HD17))</f>
        <v>0</v>
      </c>
      <c r="KW17" s="5">
        <f>IF(ISERROR(LOOKUP(KW$1,$S17:$HK17,csv!$L17:$HD17)),NA(),LOOKUP(KW$1,$S17:$HK17,csv!$L17:$HD17))</f>
        <v>0</v>
      </c>
      <c r="KX17" s="5">
        <f>IF(ISERROR(LOOKUP(KX$1,$S17:$HK17,csv!$L17:$HD17)),NA(),LOOKUP(KX$1,$S17:$HK17,csv!$L17:$HD17))</f>
        <v>0</v>
      </c>
      <c r="KY17" s="5">
        <f>IF(ISERROR(LOOKUP(KY$1,$S17:$HK17,csv!$L17:$HD17)),NA(),LOOKUP(KY$1,$S17:$HK17,csv!$L17:$HD17))</f>
        <v>0</v>
      </c>
      <c r="KZ17" s="5">
        <f>IF(ISERROR(LOOKUP(KZ$1,$S17:$HK17,csv!$L17:$HD17)),NA(),LOOKUP(KZ$1,$S17:$HK17,csv!$L17:$HD17))</f>
        <v>0</v>
      </c>
      <c r="LA17" s="5">
        <f>IF(ISERROR(LOOKUP(LA$1,$S17:$HK17,csv!$L17:$HD17)),NA(),LOOKUP(LA$1,$S17:$HK17,csv!$L17:$HD17))</f>
        <v>0</v>
      </c>
      <c r="LB17" s="5">
        <f>IF(ISERROR(LOOKUP(LB$1,$S17:$HK17,csv!$L17:$HD17)),NA(),LOOKUP(LB$1,$S17:$HK17,csv!$L17:$HD17))</f>
        <v>0</v>
      </c>
      <c r="LC17" s="5">
        <f>IF(ISERROR(LOOKUP(LC$1,$S17:$HK17,csv!$L17:$HD17)),NA(),LOOKUP(LC$1,$S17:$HK17,csv!$L17:$HD17))</f>
        <v>0</v>
      </c>
      <c r="LD17" s="5">
        <f>IF(ISERROR(LOOKUP(LD$1,$S17:$HK17,csv!$L17:$HD17)),NA(),LOOKUP(LD$1,$S17:$HK17,csv!$L17:$HD17))</f>
        <v>0</v>
      </c>
      <c r="LE17" s="5">
        <f>IF(ISERROR(LOOKUP(LE$1,$S17:$HK17,csv!$L17:$HD17)),NA(),LOOKUP(LE$1,$S17:$HK17,csv!$L17:$HD17))</f>
        <v>0</v>
      </c>
      <c r="LF17" s="5">
        <f>IF(ISERROR(LOOKUP(LF$1,$S17:$HK17,csv!$L17:$HD17)),NA(),LOOKUP(LF$1,$S17:$HK17,csv!$L17:$HD17))</f>
        <v>0</v>
      </c>
      <c r="LG17" s="5">
        <f>IF(ISERROR(LOOKUP(LG$1,$S17:$HK17,csv!$L17:$HD17)),NA(),LOOKUP(LG$1,$S17:$HK17,csv!$L17:$HD17))</f>
        <v>0</v>
      </c>
      <c r="LH17" s="5">
        <f>IF(ISERROR(LOOKUP(LH$1,$S17:$HK17,csv!$L17:$HD17)),NA(),LOOKUP(LH$1,$S17:$HK17,csv!$L17:$HD17))</f>
        <v>0</v>
      </c>
      <c r="LI17" s="5">
        <f>IF(ISERROR(LOOKUP(LI$1,$S17:$HK17,csv!$L17:$HD17)),NA(),LOOKUP(LI$1,$S17:$HK17,csv!$L17:$HD17))</f>
        <v>0</v>
      </c>
      <c r="LJ17" s="5">
        <f>IF(ISERROR(LOOKUP(LJ$1,$S17:$HK17,csv!$L17:$HD17)),NA(),LOOKUP(LJ$1,$S17:$HK17,csv!$L17:$HD17))</f>
        <v>0</v>
      </c>
      <c r="LK17" s="5">
        <f>IF(ISERROR(LOOKUP(LK$1,$S17:$HK17,csv!$L17:$HD17)),NA(),LOOKUP(LK$1,$S17:$HK17,csv!$L17:$HD17))</f>
        <v>0</v>
      </c>
      <c r="LL17" s="5">
        <f>IF(ISERROR(LOOKUP(LL$1,$S17:$HK17,csv!$L17:$HD17)),NA(),LOOKUP(LL$1,$S17:$HK17,csv!$L17:$HD17))</f>
        <v>0</v>
      </c>
      <c r="LM17" s="5">
        <f>IF(ISERROR(LOOKUP(LM$1,$S17:$HK17,csv!$L17:$HD17)),NA(),LOOKUP(LM$1,$S17:$HK17,csv!$L17:$HD17))</f>
        <v>0</v>
      </c>
      <c r="LN17" s="5">
        <f>IF(ISERROR(LOOKUP(LN$1,$S17:$HK17,csv!$L17:$HD17)),NA(),LOOKUP(LN$1,$S17:$HK17,csv!$L17:$HD17))</f>
        <v>0</v>
      </c>
      <c r="LO17" s="5">
        <f>IF(ISERROR(LOOKUP(LO$1,$S17:$HK17,csv!$L17:$HD17)),NA(),LOOKUP(LO$1,$S17:$HK17,csv!$L17:$HD17))</f>
        <v>0</v>
      </c>
      <c r="LP17" s="5">
        <f>IF(ISERROR(LOOKUP(LP$1,$S17:$HK17,csv!$L17:$HD17)),NA(),LOOKUP(LP$1,$S17:$HK17,csv!$L17:$HD17))</f>
        <v>0</v>
      </c>
      <c r="LQ17" s="5">
        <f>IF(ISERROR(LOOKUP(LQ$1,$S17:$HK17,csv!$L17:$HD17)),NA(),LOOKUP(LQ$1,$S17:$HK17,csv!$L17:$HD17))</f>
        <v>0</v>
      </c>
      <c r="LR17" s="5">
        <f>IF(ISERROR(LOOKUP(LR$1,$S17:$HK17,csv!$L17:$HD17)),NA(),LOOKUP(LR$1,$S17:$HK17,csv!$L17:$HD17))</f>
        <v>0</v>
      </c>
      <c r="LS17" s="5">
        <f>IF(ISERROR(LOOKUP(LS$1,$S17:$HK17,csv!$L17:$HD17)),NA(),LOOKUP(LS$1,$S17:$HK17,csv!$L17:$HD17))</f>
        <v>0</v>
      </c>
      <c r="LT17" s="5">
        <f>IF(ISERROR(LOOKUP(LT$1,$S17:$HK17,csv!$L17:$HD17)),NA(),LOOKUP(LT$1,$S17:$HK17,csv!$L17:$HD17))</f>
        <v>0</v>
      </c>
      <c r="LU17" s="5">
        <f>IF(ISERROR(LOOKUP(LU$1,$S17:$HK17,csv!$L17:$HD17)),NA(),LOOKUP(LU$1,$S17:$HK17,csv!$L17:$HD17))</f>
        <v>0</v>
      </c>
      <c r="LV17" s="5">
        <f>IF(ISERROR(LOOKUP(LV$1,$S17:$HK17,csv!$L17:$HD17)),NA(),LOOKUP(LV$1,$S17:$HK17,csv!$L17:$HD17))</f>
        <v>0</v>
      </c>
      <c r="LW17" s="5">
        <f>IF(ISERROR(LOOKUP(LW$1,$S17:$HK17,csv!$L17:$HD17)),NA(),LOOKUP(LW$1,$S17:$HK17,csv!$L17:$HD17))</f>
        <v>0</v>
      </c>
      <c r="LX17" s="5">
        <f>IF(ISERROR(LOOKUP(LX$1,$S17:$HK17,csv!$L17:$HD17)),NA(),LOOKUP(LX$1,$S17:$HK17,csv!$L17:$HD17))</f>
        <v>0</v>
      </c>
      <c r="LY17" s="5">
        <f>IF(ISERROR(LOOKUP(LY$1,$S17:$HK17,csv!$L17:$HD17)),NA(),LOOKUP(LY$1,$S17:$HK17,csv!$L17:$HD17))</f>
        <v>0</v>
      </c>
      <c r="LZ17" s="5">
        <f>IF(ISERROR(LOOKUP(LZ$1,$S17:$HK17,csv!$L17:$HD17)),NA(),LOOKUP(LZ$1,$S17:$HK17,csv!$L17:$HD17))</f>
        <v>0</v>
      </c>
      <c r="MA17" s="5">
        <f>IF(ISERROR(LOOKUP(MA$1,$S17:$HK17,csv!$L17:$HD17)),NA(),LOOKUP(MA$1,$S17:$HK17,csv!$L17:$HD17))</f>
        <v>0</v>
      </c>
      <c r="MB17" s="5">
        <f>IF(ISERROR(LOOKUP(MB$1,$S17:$HK17,csv!$L17:$HD17)),NA(),LOOKUP(MB$1,$S17:$HK17,csv!$L17:$HD17))</f>
        <v>0</v>
      </c>
      <c r="MC17" s="5">
        <f>IF(ISERROR(LOOKUP(MC$1,$S17:$HK17,csv!$L17:$HD17)),NA(),LOOKUP(MC$1,$S17:$HK17,csv!$L17:$HD17))</f>
        <v>0</v>
      </c>
      <c r="MD17" s="5">
        <f>IF(ISERROR(LOOKUP(MD$1,$S17:$HK17,csv!$L17:$HD17)),NA(),LOOKUP(MD$1,$S17:$HK17,csv!$L17:$HD17))</f>
        <v>0</v>
      </c>
      <c r="ME17" s="5">
        <f>IF(ISERROR(LOOKUP(ME$1,$S17:$HK17,csv!$L17:$HD17)),NA(),LOOKUP(ME$1,$S17:$HK17,csv!$L17:$HD17))</f>
        <v>0</v>
      </c>
      <c r="MF17" s="5">
        <f>IF(ISERROR(LOOKUP(MF$1,$S17:$HK17,csv!$L17:$HD17)),NA(),LOOKUP(MF$1,$S17:$HK17,csv!$L17:$HD17))</f>
        <v>0</v>
      </c>
      <c r="MG17" s="5">
        <f>IF(ISERROR(LOOKUP(MG$1,$S17:$HK17,csv!$L17:$HD17)),NA(),LOOKUP(MG$1,$S17:$HK17,csv!$L17:$HD17))</f>
        <v>0</v>
      </c>
      <c r="MH17" s="5">
        <f>IF(ISERROR(LOOKUP(MH$1,$S17:$HK17,csv!$L17:$HD17)),NA(),LOOKUP(MH$1,$S17:$HK17,csv!$L17:$HD17))</f>
        <v>0</v>
      </c>
      <c r="MI17" s="5">
        <f>IF(ISERROR(LOOKUP(MI$1,$S17:$HK17,csv!$L17:$HD17)),NA(),LOOKUP(MI$1,$S17:$HK17,csv!$L17:$HD17))</f>
        <v>0</v>
      </c>
      <c r="MJ17" s="5">
        <f>IF(ISERROR(LOOKUP(MJ$1,$S17:$HK17,csv!$L17:$HD17)),NA(),LOOKUP(MJ$1,$S17:$HK17,csv!$L17:$HD17))</f>
        <v>0</v>
      </c>
      <c r="MK17" s="5">
        <f>IF(ISERROR(LOOKUP(MK$1,$S17:$HK17,csv!$L17:$HD17)),NA(),LOOKUP(MK$1,$S17:$HK17,csv!$L17:$HD17))</f>
        <v>0</v>
      </c>
      <c r="ML17" s="5">
        <f>IF(ISERROR(LOOKUP(ML$1,$S17:$HK17,csv!$L17:$HD17)),NA(),LOOKUP(ML$1,$S17:$HK17,csv!$L17:$HD17))</f>
        <v>0</v>
      </c>
      <c r="MM17" s="5">
        <f>IF(ISERROR(LOOKUP(MM$1,$S17:$HK17,csv!$L17:$HD17)),NA(),LOOKUP(MM$1,$S17:$HK17,csv!$L17:$HD17))</f>
        <v>0</v>
      </c>
      <c r="MN17" s="5">
        <f>IF(ISERROR(LOOKUP(MN$1,$S17:$HK17,csv!$L17:$HD17)),NA(),LOOKUP(MN$1,$S17:$HK17,csv!$L17:$HD17))</f>
        <v>0</v>
      </c>
      <c r="MO17" s="5">
        <f>IF(ISERROR(LOOKUP(MO$1,$S17:$HK17,csv!$L17:$HD17)),NA(),LOOKUP(MO$1,$S17:$HK17,csv!$L17:$HD17))</f>
        <v>0</v>
      </c>
      <c r="MP17" s="5">
        <f>IF(ISERROR(LOOKUP(MP$1,$S17:$HK17,csv!$L17:$HD17)),NA(),LOOKUP(MP$1,$S17:$HK17,csv!$L17:$HD17))</f>
        <v>0</v>
      </c>
      <c r="MQ17" s="5">
        <f>IF(ISERROR(LOOKUP(MQ$1,$S17:$HK17,csv!$L17:$HD17)),NA(),LOOKUP(MQ$1,$S17:$HK17,csv!$L17:$HD17))</f>
        <v>0</v>
      </c>
      <c r="MR17" s="5">
        <f>IF(ISERROR(LOOKUP(MR$1,$S17:$HK17,csv!$L17:$HD17)),NA(),LOOKUP(MR$1,$S17:$HK17,csv!$L17:$HD17))</f>
        <v>0</v>
      </c>
      <c r="MS17" s="5">
        <f>IF(ISERROR(LOOKUP(MS$1,$S17:$HK17,csv!$L17:$HD17)),NA(),LOOKUP(MS$1,$S17:$HK17,csv!$L17:$HD17))</f>
        <v>0</v>
      </c>
      <c r="MT17" s="5">
        <f>IF(ISERROR(LOOKUP(MT$1,$S17:$HK17,csv!$L17:$HD17)),NA(),LOOKUP(MT$1,$S17:$HK17,csv!$L17:$HD17))</f>
        <v>0</v>
      </c>
      <c r="MU17" s="5">
        <f>IF(ISERROR(LOOKUP(MU$1,$S17:$HK17,csv!$L17:$HD17)),NA(),LOOKUP(MU$1,$S17:$HK17,csv!$L17:$HD17))</f>
        <v>0</v>
      </c>
      <c r="MV17" s="5">
        <f>IF(ISERROR(LOOKUP(MV$1,$S17:$HK17,csv!$L17:$HD17)),NA(),LOOKUP(MV$1,$S17:$HK17,csv!$L17:$HD17))</f>
        <v>0</v>
      </c>
      <c r="MW17" s="5">
        <f>IF(ISERROR(LOOKUP(MW$1,$S17:$HK17,csv!$L17:$HD17)),NA(),LOOKUP(MW$1,$S17:$HK17,csv!$L17:$HD17))</f>
        <v>0</v>
      </c>
      <c r="MX17" s="5">
        <f>IF(ISERROR(LOOKUP(MX$1,$S17:$HK17,csv!$L17:$HD17)),NA(),LOOKUP(MX$1,$S17:$HK17,csv!$L17:$HD17))</f>
        <v>0</v>
      </c>
      <c r="MY17" s="5">
        <f>IF(ISERROR(LOOKUP(MY$1,$S17:$HK17,csv!$L17:$HD17)),NA(),LOOKUP(MY$1,$S17:$HK17,csv!$L17:$HD17))</f>
        <v>0</v>
      </c>
      <c r="MZ17" s="5">
        <f>IF(ISERROR(LOOKUP(MZ$1,$S17:$HK17,csv!$L17:$HD17)),NA(),LOOKUP(MZ$1,$S17:$HK17,csv!$L17:$HD17))</f>
        <v>0</v>
      </c>
      <c r="NA17" s="5">
        <f>IF(ISERROR(LOOKUP(NA$1,$S17:$HK17,csv!$L17:$HD17)),NA(),LOOKUP(NA$1,$S17:$HK17,csv!$L17:$HD17))</f>
        <v>0</v>
      </c>
      <c r="NB17" s="5">
        <f>IF(ISERROR(LOOKUP(NB$1,$S17:$HK17,csv!$L17:$HD17)),NA(),LOOKUP(NB$1,$S17:$HK17,csv!$L17:$HD17))</f>
        <v>0</v>
      </c>
      <c r="NC17" s="5">
        <f>IF(ISERROR(LOOKUP(NC$1,$S17:$HK17,csv!$L17:$HD17)),NA(),LOOKUP(NC$1,$S17:$HK17,csv!$L17:$HD17))</f>
        <v>0</v>
      </c>
      <c r="ND17" s="5">
        <f>IF(ISERROR(LOOKUP(ND$1,$S17:$HK17,csv!$L17:$HD17)),NA(),LOOKUP(ND$1,$S17:$HK17,csv!$L17:$HD17))</f>
        <v>0</v>
      </c>
      <c r="NE17" s="5">
        <f>IF(ISERROR(LOOKUP(NE$1,$S17:$HK17,csv!$L17:$HD17)),NA(),LOOKUP(NE$1,$S17:$HK17,csv!$L17:$HD17))</f>
        <v>0</v>
      </c>
      <c r="NF17" s="5">
        <f>IF(ISERROR(LOOKUP(NF$1,$S17:$HK17,csv!$L17:$HD17)),NA(),LOOKUP(NF$1,$S17:$HK17,csv!$L17:$HD17))</f>
        <v>0</v>
      </c>
      <c r="NG17" s="5">
        <f>IF(ISERROR(LOOKUP(NG$1,$S17:$HK17,csv!$L17:$HD17)),NA(),LOOKUP(NG$1,$S17:$HK17,csv!$L17:$HD17))</f>
        <v>0</v>
      </c>
      <c r="NH17" s="5">
        <f>IF(ISERROR(LOOKUP(NH$1,$S17:$HK17,csv!$L17:$HD17)),NA(),LOOKUP(NH$1,$S17:$HK17,csv!$L17:$HD17))</f>
        <v>0</v>
      </c>
      <c r="NI17" s="5">
        <f>IF(ISERROR(LOOKUP(NI$1,$S17:$HK17,csv!$L17:$HD17)),NA(),LOOKUP(NI$1,$S17:$HK17,csv!$L17:$HD17))</f>
        <v>0</v>
      </c>
      <c r="NJ17" s="5">
        <f>IF(ISERROR(LOOKUP(NJ$1,$S17:$HK17,csv!$L17:$HD17)),NA(),LOOKUP(NJ$1,$S17:$HK17,csv!$L17:$HD17))</f>
        <v>0</v>
      </c>
      <c r="NK17" s="5">
        <f>IF(ISERROR(LOOKUP(NK$1,$S17:$HK17,csv!$L17:$HD17)),NA(),LOOKUP(NK$1,$S17:$HK17,csv!$L17:$HD17))</f>
        <v>0</v>
      </c>
      <c r="NL17" s="5">
        <f>IF(ISERROR(LOOKUP(NL$1,$S17:$HK17,csv!$L17:$HD17)),NA(),LOOKUP(NL$1,$S17:$HK17,csv!$L17:$HD17))</f>
        <v>0</v>
      </c>
      <c r="NM17" s="5">
        <f>IF(ISERROR(LOOKUP(NM$1,$S17:$HK17,csv!$L17:$HD17)),NA(),LOOKUP(NM$1,$S17:$HK17,csv!$L17:$HD17))</f>
        <v>0</v>
      </c>
      <c r="NN17" s="5">
        <f>IF(ISERROR(LOOKUP(NN$1,$S17:$HK17,csv!$L17:$HD17)),NA(),LOOKUP(NN$1,$S17:$HK17,csv!$L17:$HD17))</f>
        <v>0</v>
      </c>
      <c r="NO17" s="5">
        <f>IF(ISERROR(LOOKUP(NO$1,$S17:$HK17,csv!$L17:$HD17)),NA(),LOOKUP(NO$1,$S17:$HK17,csv!$L17:$HD17))</f>
        <v>0</v>
      </c>
      <c r="NP17" s="5">
        <f>IF(ISERROR(LOOKUP(NP$1,$S17:$HK17,csv!$L17:$HD17)),NA(),LOOKUP(NP$1,$S17:$HK17,csv!$L17:$HD17))</f>
        <v>0</v>
      </c>
      <c r="NQ17" s="5">
        <f>IF(ISERROR(LOOKUP(NQ$1,$S17:$HK17,csv!$L17:$HD17)),NA(),LOOKUP(NQ$1,$S17:$HK17,csv!$L17:$HD17))</f>
        <v>0</v>
      </c>
      <c r="NR17" s="5">
        <f>IF(ISERROR(LOOKUP(NR$1,$S17:$HK17,csv!$L17:$HD17)),NA(),LOOKUP(NR$1,$S17:$HK17,csv!$L17:$HD17))</f>
        <v>0</v>
      </c>
      <c r="NS17" s="5">
        <f>IF(ISERROR(LOOKUP(NS$1,$S17:$HK17,csv!$L17:$HD17)),NA(),LOOKUP(NS$1,$S17:$HK17,csv!$L17:$HD17))</f>
        <v>0</v>
      </c>
      <c r="NT17" s="5">
        <f>IF(ISERROR(LOOKUP(NT$1,$S17:$HK17,csv!$L17:$HD17)),NA(),LOOKUP(NT$1,$S17:$HK17,csv!$L17:$HD17))</f>
        <v>0</v>
      </c>
      <c r="NU17" s="5">
        <f>IF(ISERROR(LOOKUP(NU$1,$S17:$HK17,csv!$L17:$HD17)),NA(),LOOKUP(NU$1,$S17:$HK17,csv!$L17:$HD17))</f>
        <v>0</v>
      </c>
      <c r="NV17" s="5">
        <f>IF(ISERROR(LOOKUP(NV$1,$S17:$HK17,csv!$L17:$HD17)),NA(),LOOKUP(NV$1,$S17:$HK17,csv!$L17:$HD17))</f>
        <v>0</v>
      </c>
      <c r="NW17" s="5">
        <f>IF(ISERROR(LOOKUP(NW$1,$S17:$HK17,csv!$L17:$HD17)),NA(),LOOKUP(NW$1,$S17:$HK17,csv!$L17:$HD17))</f>
        <v>0</v>
      </c>
      <c r="NX17" s="5">
        <f>IF(ISERROR(LOOKUP(NX$1,$S17:$HK17,csv!$L17:$HD17)),NA(),LOOKUP(NX$1,$S17:$HK17,csv!$L17:$HD17))</f>
        <v>0</v>
      </c>
      <c r="NY17" s="5">
        <f>IF(ISERROR(LOOKUP(NY$1,$S17:$HK17,csv!$L17:$HD17)),NA(),LOOKUP(NY$1,$S17:$HK17,csv!$L17:$HD17))</f>
        <v>0</v>
      </c>
      <c r="NZ17" s="5">
        <f>IF(ISERROR(LOOKUP(NZ$1,$S17:$HK17,csv!$L17:$HD17)),NA(),LOOKUP(NZ$1,$S17:$HK17,csv!$L17:$HD17))</f>
        <v>0</v>
      </c>
      <c r="OA17" s="5">
        <f>IF(ISERROR(LOOKUP(OA$1,$S17:$HK17,csv!$L17:$HD17)),NA(),LOOKUP(OA$1,$S17:$HK17,csv!$L17:$HD17))</f>
        <v>0</v>
      </c>
      <c r="OB17" s="5">
        <f>IF(ISERROR(LOOKUP(OB$1,$S17:$HK17,csv!$L17:$HD17)),NA(),LOOKUP(OB$1,$S17:$HK17,csv!$L17:$HD17))</f>
        <v>0</v>
      </c>
      <c r="OC17" s="5">
        <f>IF(ISERROR(LOOKUP(OC$1,$S17:$HK17,csv!$L17:$HD17)),NA(),LOOKUP(OC$1,$S17:$HK17,csv!$L17:$HD17))</f>
        <v>0</v>
      </c>
      <c r="OD17" s="5">
        <f>IF(ISERROR(LOOKUP(OD$1,$S17:$HK17,csv!$L17:$HD17)),NA(),LOOKUP(OD$1,$S17:$HK17,csv!$L17:$HD17))</f>
        <v>0</v>
      </c>
      <c r="OE17" s="5">
        <f>IF(ISERROR(LOOKUP(OE$1,$S17:$HK17,csv!$L17:$HD17)),NA(),LOOKUP(OE$1,$S17:$HK17,csv!$L17:$HD17))</f>
        <v>0</v>
      </c>
      <c r="OF17" s="5">
        <f>IF(ISERROR(LOOKUP(OF$1,$S17:$HK17,csv!$L17:$HD17)),NA(),LOOKUP(OF$1,$S17:$HK17,csv!$L17:$HD17))</f>
        <v>0</v>
      </c>
      <c r="OG17" s="5">
        <f>IF(ISERROR(LOOKUP(OG$1,$S17:$HK17,csv!$L17:$HD17)),NA(),LOOKUP(OG$1,$S17:$HK17,csv!$L17:$HD17))</f>
        <v>0</v>
      </c>
      <c r="OH17" s="5">
        <f>IF(ISERROR(LOOKUP(OH$1,$S17:$HK17,csv!$L17:$HD17)),NA(),LOOKUP(OH$1,$S17:$HK17,csv!$L17:$HD17))</f>
        <v>0</v>
      </c>
      <c r="OI17" s="5">
        <f>IF(ISERROR(LOOKUP(OI$1,$S17:$HK17,csv!$L17:$HD17)),NA(),LOOKUP(OI$1,$S17:$HK17,csv!$L17:$HD17))</f>
        <v>0</v>
      </c>
      <c r="OJ17" s="5">
        <f>IF(ISERROR(LOOKUP(OJ$1,$S17:$HK17,csv!$L17:$HD17)),NA(),LOOKUP(OJ$1,$S17:$HK17,csv!$L17:$HD17))</f>
        <v>0</v>
      </c>
      <c r="OK17" s="5">
        <f>IF(ISERROR(LOOKUP(OK$1,$S17:$HK17,csv!$L17:$HD17)),NA(),LOOKUP(OK$1,$S17:$HK17,csv!$L17:$HD17))</f>
        <v>0</v>
      </c>
      <c r="OL17" s="5">
        <f>IF(ISERROR(LOOKUP(OL$1,$S17:$HK17,csv!$L17:$HD17)),NA(),LOOKUP(OL$1,$S17:$HK17,csv!$L17:$HD17))</f>
        <v>0</v>
      </c>
      <c r="OM17" s="5">
        <f>IF(ISERROR(LOOKUP(OM$1,$S17:$HK17,csv!$L17:$HD17)),NA(),LOOKUP(OM$1,$S17:$HK17,csv!$L17:$HD17))</f>
        <v>0</v>
      </c>
      <c r="ON17" s="5">
        <f>IF(ISERROR(LOOKUP(ON$1,$S17:$HK17,csv!$L17:$HD17)),NA(),LOOKUP(ON$1,$S17:$HK17,csv!$L17:$HD17))</f>
        <v>0</v>
      </c>
      <c r="OO17" s="5">
        <f>IF(ISERROR(LOOKUP(OO$1,$S17:$HK17,csv!$L17:$HD17)),NA(),LOOKUP(OO$1,$S17:$HK17,csv!$L17:$HD17))</f>
        <v>0</v>
      </c>
      <c r="OP17" s="5">
        <f>IF(ISERROR(LOOKUP(OP$1,$S17:$HK17,csv!$L17:$HD17)),NA(),LOOKUP(OP$1,$S17:$HK17,csv!$L17:$HD17))</f>
        <v>0</v>
      </c>
      <c r="OQ17" s="5">
        <f>IF(ISERROR(LOOKUP(OQ$1,$S17:$HK17,csv!$L17:$HD17)),NA(),LOOKUP(OQ$1,$S17:$HK17,csv!$L17:$HD17))</f>
        <v>0</v>
      </c>
      <c r="OR17" s="5">
        <f>IF(ISERROR(LOOKUP(OR$1,$S17:$HK17,csv!$L17:$HD17)),NA(),LOOKUP(OR$1,$S17:$HK17,csv!$L17:$HD17))</f>
        <v>0</v>
      </c>
      <c r="OS17" s="5">
        <f>IF(ISERROR(LOOKUP(OS$1,$S17:$HK17,csv!$L17:$HD17)),NA(),LOOKUP(OS$1,$S17:$HK17,csv!$L17:$HD17))</f>
        <v>0</v>
      </c>
      <c r="OT17" s="5">
        <f>IF(ISERROR(LOOKUP(OT$1,$S17:$HK17,csv!$L17:$HD17)),NA(),LOOKUP(OT$1,$S17:$HK17,csv!$L17:$HD17))</f>
        <v>0</v>
      </c>
      <c r="OU17" s="5">
        <f>IF(ISERROR(LOOKUP(OU$1,$S17:$HK17,csv!$L17:$HD17)),NA(),LOOKUP(OU$1,$S17:$HK17,csv!$L17:$HD17))</f>
        <v>0</v>
      </c>
      <c r="OV17" s="5">
        <f>IF(ISERROR(LOOKUP(OV$1,$S17:$HK17,csv!$L17:$HD17)),NA(),LOOKUP(OV$1,$S17:$HK17,csv!$L17:$HD17))</f>
        <v>0</v>
      </c>
      <c r="OW17" s="5">
        <f>IF(ISERROR(LOOKUP(OW$1,$S17:$HK17,csv!$L17:$HD17)),NA(),LOOKUP(OW$1,$S17:$HK17,csv!$L17:$HD17))</f>
        <v>0</v>
      </c>
      <c r="OX17" s="5">
        <f>IF(ISERROR(LOOKUP(OX$1,$S17:$HK17,csv!$L17:$HD17)),NA(),LOOKUP(OX$1,$S17:$HK17,csv!$L17:$HD17))</f>
        <v>0</v>
      </c>
      <c r="OY17" s="5">
        <f>IF(ISERROR(LOOKUP(OY$1,$S17:$HK17,csv!$L17:$HD17)),NA(),LOOKUP(OY$1,$S17:$HK17,csv!$L17:$HD17))</f>
        <v>0</v>
      </c>
      <c r="OZ17" s="5">
        <f>IF(ISERROR(LOOKUP(OZ$1,$S17:$HK17,csv!$L17:$HD17)),NA(),LOOKUP(OZ$1,$S17:$HK17,csv!$L17:$HD17))</f>
        <v>0</v>
      </c>
      <c r="PA17" s="5">
        <f>IF(ISERROR(LOOKUP(PA$1,$S17:$HK17,csv!$L17:$HD17)),NA(),LOOKUP(PA$1,$S17:$HK17,csv!$L17:$HD17))</f>
        <v>0</v>
      </c>
      <c r="PB17" s="5">
        <f>IF(ISERROR(LOOKUP(PB$1,$S17:$HK17,csv!$L17:$HD17)),NA(),LOOKUP(PB$1,$S17:$HK17,csv!$L17:$HD17))</f>
        <v>0</v>
      </c>
      <c r="PC17" s="5">
        <f>IF(ISERROR(LOOKUP(PC$1,$S17:$HK17,csv!$L17:$HD17)),NA(),LOOKUP(PC$1,$S17:$HK17,csv!$L17:$HD17))</f>
        <v>0</v>
      </c>
      <c r="PD17" s="5">
        <f>IF(ISERROR(LOOKUP(PD$1,$S17:$HK17,csv!$L17:$HD17)),NA(),LOOKUP(PD$1,$S17:$HK17,csv!$L17:$HD17))</f>
        <v>0</v>
      </c>
      <c r="PE17" s="5">
        <f>IF(ISERROR(LOOKUP(PE$1,$S17:$HK17,csv!$L17:$HD17)),NA(),LOOKUP(PE$1,$S17:$HK17,csv!$L17:$HD17))</f>
        <v>0</v>
      </c>
      <c r="PF17" s="5">
        <f>IF(ISERROR(LOOKUP(PF$1,$S17:$HK17,csv!$L17:$HD17)),NA(),LOOKUP(PF$1,$S17:$HK17,csv!$L17:$HD17))</f>
        <v>0</v>
      </c>
      <c r="PG17" s="5">
        <f>IF(ISERROR(LOOKUP(PG$1,$S17:$HK17,csv!$L17:$HD17)),NA(),LOOKUP(PG$1,$S17:$HK17,csv!$L17:$HD17))</f>
        <v>0</v>
      </c>
      <c r="PH17" s="5">
        <f>IF(ISERROR(LOOKUP(PH$1,$S17:$HK17,csv!$L17:$HD17)),NA(),LOOKUP(PH$1,$S17:$HK17,csv!$L17:$HD17))</f>
        <v>0</v>
      </c>
      <c r="PI17" s="5">
        <f>IF(ISERROR(LOOKUP(PI$1,$S17:$HK17,csv!$L17:$HD17)),NA(),LOOKUP(PI$1,$S17:$HK17,csv!$L17:$HD17))</f>
        <v>0</v>
      </c>
      <c r="PJ17" s="5">
        <f>IF(ISERROR(LOOKUP(PJ$1,$S17:$HK17,csv!$L17:$HD17)),NA(),LOOKUP(PJ$1,$S17:$HK17,csv!$L17:$HD17))</f>
        <v>0</v>
      </c>
      <c r="PK17" s="5">
        <f>IF(ISERROR(LOOKUP(PK$1,$S17:$HK17,csv!$L17:$HD17)),NA(),LOOKUP(PK$1,$S17:$HK17,csv!$L17:$HD17))</f>
        <v>0</v>
      </c>
      <c r="PL17" s="5">
        <f>IF(ISERROR(LOOKUP(PL$1,$S17:$HK17,csv!$L17:$HD17)),NA(),LOOKUP(PL$1,$S17:$HK17,csv!$L17:$HD17))</f>
        <v>0</v>
      </c>
      <c r="PM17" s="5">
        <f>IF(ISERROR(LOOKUP(PM$1,$S17:$HK17,csv!$L17:$HD17)),NA(),LOOKUP(PM$1,$S17:$HK17,csv!$L17:$HD17))</f>
        <v>0</v>
      </c>
      <c r="PN17" s="5">
        <f>IF(ISERROR(LOOKUP(PN$1,$S17:$HK17,csv!$L17:$HD17)),NA(),LOOKUP(PN$1,$S17:$HK17,csv!$L17:$HD17))</f>
        <v>0</v>
      </c>
      <c r="PO17" s="5">
        <f>IF(ISERROR(LOOKUP(PO$1,$S17:$HK17,csv!$L17:$HD17)),NA(),LOOKUP(PO$1,$S17:$HK17,csv!$L17:$HD17))</f>
        <v>0</v>
      </c>
      <c r="PP17" s="5">
        <f>IF(ISERROR(LOOKUP(PP$1,$S17:$HK17,csv!$L17:$HD17)),NA(),LOOKUP(PP$1,$S17:$HK17,csv!$L17:$HD17))</f>
        <v>0</v>
      </c>
      <c r="PQ17" s="5">
        <f>IF(ISERROR(LOOKUP(PQ$1,$S17:$HK17,csv!$L17:$HD17)),NA(),LOOKUP(PQ$1,$S17:$HK17,csv!$L17:$HD17))</f>
        <v>0</v>
      </c>
      <c r="PR17" s="5">
        <f>IF(ISERROR(LOOKUP(PR$1,$S17:$HK17,csv!$L17:$HD17)),NA(),LOOKUP(PR$1,$S17:$HK17,csv!$L17:$HD17))</f>
        <v>0</v>
      </c>
      <c r="PS17" s="5">
        <f>IF(ISERROR(LOOKUP(PS$1,$S17:$HK17,csv!$L17:$HD17)),NA(),LOOKUP(PS$1,$S17:$HK17,csv!$L17:$HD17))</f>
        <v>0</v>
      </c>
      <c r="PT17" s="5">
        <f>IF(ISERROR(LOOKUP(PT$1,$S17:$HK17,csv!$L17:$HD17)),NA(),LOOKUP(PT$1,$S17:$HK17,csv!$L17:$HD17))</f>
        <v>0</v>
      </c>
      <c r="PU17" s="5">
        <f>IF(ISERROR(LOOKUP(PU$1,$S17:$HK17,csv!$L17:$HD17)),NA(),LOOKUP(PU$1,$S17:$HK17,csv!$L17:$HD17))</f>
        <v>0</v>
      </c>
      <c r="PV17" s="5">
        <f>IF(ISERROR(LOOKUP(PV$1,$S17:$HK17,csv!$L17:$HD17)),NA(),LOOKUP(PV$1,$S17:$HK17,csv!$L17:$HD17))</f>
        <v>0</v>
      </c>
      <c r="PW17" s="5">
        <f>IF(ISERROR(LOOKUP(PW$1,$S17:$HK17,csv!$L17:$HD17)),NA(),LOOKUP(PW$1,$S17:$HK17,csv!$L17:$HD17))</f>
        <v>0</v>
      </c>
      <c r="PX17" s="5">
        <f>IF(ISERROR(LOOKUP(PX$1,$S17:$HK17,csv!$L17:$HD17)),NA(),LOOKUP(PX$1,$S17:$HK17,csv!$L17:$HD17))</f>
        <v>0</v>
      </c>
      <c r="PY17" s="5">
        <f>IF(ISERROR(LOOKUP(PY$1,$S17:$HK17,csv!$L17:$HD17)),NA(),LOOKUP(PY$1,$S17:$HK17,csv!$L17:$HD17))</f>
        <v>0</v>
      </c>
      <c r="PZ17" s="5">
        <f>IF(ISERROR(LOOKUP(PZ$1,$S17:$HK17,csv!$L17:$HD17)),NA(),LOOKUP(PZ$1,$S17:$HK17,csv!$L17:$HD17))</f>
        <v>0</v>
      </c>
      <c r="QA17" s="5">
        <f>IF(ISERROR(LOOKUP(QA$1,$S17:$HK17,csv!$L17:$HD17)),NA(),LOOKUP(QA$1,$S17:$HK17,csv!$L17:$HD17))</f>
        <v>0</v>
      </c>
      <c r="QB17" s="5">
        <f>IF(ISERROR(LOOKUP(QB$1,$S17:$HK17,csv!$L17:$HD17)),NA(),LOOKUP(QB$1,$S17:$HK17,csv!$L17:$HD17))</f>
        <v>0</v>
      </c>
      <c r="QC17" s="5">
        <f>IF(ISERROR(LOOKUP(QC$1,$S17:$HK17,csv!$L17:$HD17)),NA(),LOOKUP(QC$1,$S17:$HK17,csv!$L17:$HD17))</f>
        <v>0</v>
      </c>
      <c r="QD17" s="5">
        <f>IF(ISERROR(LOOKUP(QD$1,$S17:$HK17,csv!$L17:$HD17)),NA(),LOOKUP(QD$1,$S17:$HK17,csv!$L17:$HD17))</f>
        <v>0</v>
      </c>
      <c r="QE17" s="5">
        <f>IF(ISERROR(LOOKUP(QE$1,$S17:$HK17,csv!$L17:$HD17)),NA(),LOOKUP(QE$1,$S17:$HK17,csv!$L17:$HD17))</f>
        <v>0</v>
      </c>
      <c r="QF17" s="5">
        <f>IF(ISERROR(LOOKUP(QF$1,$S17:$HK17,csv!$L17:$HD17)),NA(),LOOKUP(QF$1,$S17:$HK17,csv!$L17:$HD17))</f>
        <v>0</v>
      </c>
      <c r="QG17" s="5">
        <f>IF(ISERROR(LOOKUP(QG$1,$S17:$HK17,csv!$L17:$HD17)),NA(),LOOKUP(QG$1,$S17:$HK17,csv!$L17:$HD17))</f>
        <v>0</v>
      </c>
      <c r="QH17" s="5">
        <f>IF(ISERROR(LOOKUP(QH$1,$S17:$HK17,csv!$L17:$HD17)),NA(),LOOKUP(QH$1,$S17:$HK17,csv!$L17:$HD17))</f>
        <v>0</v>
      </c>
      <c r="QI17" s="5">
        <f>IF(ISERROR(LOOKUP(QI$1,$S17:$HK17,csv!$L17:$HD17)),NA(),LOOKUP(QI$1,$S17:$HK17,csv!$L17:$HD17))</f>
        <v>0</v>
      </c>
      <c r="QJ17" s="5">
        <f>IF(ISERROR(LOOKUP(QJ$1,$S17:$HK17,csv!$L17:$HD17)),NA(),LOOKUP(QJ$1,$S17:$HK17,csv!$L17:$HD17))</f>
        <v>0</v>
      </c>
      <c r="QK17" s="5">
        <f>IF(ISERROR(LOOKUP(QK$1,$S17:$HK17,csv!$L17:$HD17)),NA(),LOOKUP(QK$1,$S17:$HK17,csv!$L17:$HD17))</f>
        <v>0</v>
      </c>
      <c r="QL17" s="5">
        <f>IF(ISERROR(LOOKUP(QL$1,$S17:$HK17,csv!$L17:$HD17)),NA(),LOOKUP(QL$1,$S17:$HK17,csv!$L17:$HD17))</f>
        <v>0</v>
      </c>
      <c r="QM17" s="5">
        <f>IF(ISERROR(LOOKUP(QM$1,$S17:$HK17,csv!$L17:$HD17)),NA(),LOOKUP(QM$1,$S17:$HK17,csv!$L17:$HD17))</f>
        <v>0</v>
      </c>
      <c r="QN17" s="5">
        <f>IF(ISERROR(LOOKUP(QN$1,$S17:$HK17,csv!$L17:$HD17)),NA(),LOOKUP(QN$1,$S17:$HK17,csv!$L17:$HD17))</f>
        <v>0</v>
      </c>
      <c r="QO17" s="5">
        <f>IF(ISERROR(LOOKUP(QO$1,$S17:$HK17,csv!$L17:$HD17)),NA(),LOOKUP(QO$1,$S17:$HK17,csv!$L17:$HD17))</f>
        <v>0</v>
      </c>
      <c r="QP17" s="5">
        <f>IF(ISERROR(LOOKUP(QP$1,$S17:$HK17,csv!$L17:$HD17)),NA(),LOOKUP(QP$1,$S17:$HK17,csv!$L17:$HD17))</f>
        <v>0</v>
      </c>
      <c r="QQ17" s="5">
        <f>IF(ISERROR(LOOKUP(QQ$1,$S17:$HK17,csv!$L17:$HD17)),NA(),LOOKUP(QQ$1,$S17:$HK17,csv!$L17:$HD17))</f>
        <v>0</v>
      </c>
      <c r="QR17" s="5">
        <f>IF(ISERROR(LOOKUP(QR$1,$S17:$HK17,csv!$L17:$HD17)),NA(),LOOKUP(QR$1,$S17:$HK17,csv!$L17:$HD17))</f>
        <v>0</v>
      </c>
      <c r="QS17" s="5">
        <f>IF(ISERROR(LOOKUP(QS$1,$S17:$HK17,csv!$L17:$HD17)),NA(),LOOKUP(QS$1,$S17:$HK17,csv!$L17:$HD17))</f>
        <v>0</v>
      </c>
      <c r="QT17" s="5">
        <f>IF(ISERROR(LOOKUP(QT$1,$S17:$HK17,csv!$L17:$HD17)),NA(),LOOKUP(QT$1,$S17:$HK17,csv!$L17:$HD17))</f>
        <v>0</v>
      </c>
      <c r="QU17" s="5">
        <f>IF(ISERROR(LOOKUP(QU$1,$S17:$HK17,csv!$L17:$HD17)),NA(),LOOKUP(QU$1,$S17:$HK17,csv!$L17:$HD17))</f>
        <v>0</v>
      </c>
      <c r="QV17" s="5">
        <f>IF(ISERROR(LOOKUP(QV$1,$S17:$HK17,csv!$L17:$HD17)),NA(),LOOKUP(QV$1,$S17:$HK17,csv!$L17:$HD17))</f>
        <v>0</v>
      </c>
      <c r="QW17" s="5">
        <f>IF(ISERROR(LOOKUP(QW$1,$S17:$HK17,csv!$L17:$HD17)),NA(),LOOKUP(QW$1,$S17:$HK17,csv!$L17:$HD17))</f>
        <v>0</v>
      </c>
      <c r="QX17" s="5">
        <f>IF(ISERROR(LOOKUP(QX$1,$S17:$HK17,csv!$L17:$HD17)),NA(),LOOKUP(QX$1,$S17:$HK17,csv!$L17:$HD17))</f>
        <v>0</v>
      </c>
      <c r="QY17" s="5">
        <f>IF(ISERROR(LOOKUP(QY$1,$S17:$HK17,csv!$L17:$HD17)),NA(),LOOKUP(QY$1,$S17:$HK17,csv!$L17:$HD17))</f>
        <v>0</v>
      </c>
      <c r="QZ17" s="5">
        <f>IF(ISERROR(LOOKUP(QZ$1,$S17:$HK17,csv!$L17:$HD17)),NA(),LOOKUP(QZ$1,$S17:$HK17,csv!$L17:$HD17))</f>
        <v>0</v>
      </c>
      <c r="RA17" s="5">
        <f>IF(ISERROR(LOOKUP(RA$1,$S17:$HK17,csv!$L17:$HD17)),NA(),LOOKUP(RA$1,$S17:$HK17,csv!$L17:$HD17))</f>
        <v>0</v>
      </c>
      <c r="RB17" s="5">
        <f>IF(ISERROR(LOOKUP(RB$1,$S17:$HK17,csv!$L17:$HD17)),NA(),LOOKUP(RB$1,$S17:$HK17,csv!$L17:$HD17))</f>
        <v>0</v>
      </c>
      <c r="RC17" s="5">
        <f>IF(ISERROR(LOOKUP(RC$1,$S17:$HK17,csv!$L17:$HD17)),NA(),LOOKUP(RC$1,$S17:$HK17,csv!$L17:$HD17))</f>
        <v>0</v>
      </c>
      <c r="RD17" s="5">
        <f>IF(ISERROR(LOOKUP(RD$1,$S17:$HK17,csv!$L17:$HD17)),NA(),LOOKUP(RD$1,$S17:$HK17,csv!$L17:$HD17))</f>
        <v>0</v>
      </c>
      <c r="RE17" s="5">
        <f>IF(ISERROR(LOOKUP(RE$1,$S17:$HK17,csv!$L17:$HD17)),NA(),LOOKUP(RE$1,$S17:$HK17,csv!$L17:$HD17))</f>
        <v>0</v>
      </c>
      <c r="RF17" s="5">
        <f>IF(ISERROR(LOOKUP(RF$1,$S17:$HK17,csv!$L17:$HD17)),NA(),LOOKUP(RF$1,$S17:$HK17,csv!$L17:$HD17))</f>
        <v>0</v>
      </c>
      <c r="RG17" s="5">
        <f>IF(ISERROR(LOOKUP(RG$1,$S17:$HK17,csv!$L17:$HD17)),NA(),LOOKUP(RG$1,$S17:$HK17,csv!$L17:$HD17))</f>
        <v>0</v>
      </c>
      <c r="RH17" s="5">
        <f>IF(ISERROR(LOOKUP(RH$1,$S17:$HK17,csv!$L17:$HD17)),NA(),LOOKUP(RH$1,$S17:$HK17,csv!$L17:$HD17))</f>
        <v>0</v>
      </c>
      <c r="RI17" s="5">
        <f>IF(ISERROR(LOOKUP(RI$1,$S17:$HK17,csv!$L17:$HD17)),NA(),LOOKUP(RI$1,$S17:$HK17,csv!$L17:$HD17))</f>
        <v>0</v>
      </c>
      <c r="RJ17" s="5">
        <f>IF(ISERROR(LOOKUP(RJ$1,$S17:$HK17,csv!$L17:$HD17)),NA(),LOOKUP(RJ$1,$S17:$HK17,csv!$L17:$HD17))</f>
        <v>0</v>
      </c>
      <c r="RK17" s="5">
        <f>IF(ISERROR(LOOKUP(RK$1,$S17:$HK17,csv!$L17:$HD17)),NA(),LOOKUP(RK$1,$S17:$HK17,csv!$L17:$HD17))</f>
        <v>0</v>
      </c>
      <c r="RL17" s="5">
        <f>IF(ISERROR(LOOKUP(RL$1,$S17:$HK17,csv!$L17:$HD17)),NA(),LOOKUP(RL$1,$S17:$HK17,csv!$L17:$HD17))</f>
        <v>0</v>
      </c>
      <c r="RM17" s="5">
        <f>IF(ISERROR(LOOKUP(RM$1,$S17:$HK17,csv!$L17:$HD17)),NA(),LOOKUP(RM$1,$S17:$HK17,csv!$L17:$HD17))</f>
        <v>0</v>
      </c>
      <c r="RN17" s="5">
        <f>IF(ISERROR(LOOKUP(RN$1,$S17:$HK17,csv!$L17:$HD17)),NA(),LOOKUP(RN$1,$S17:$HK17,csv!$L17:$HD17))</f>
        <v>0</v>
      </c>
      <c r="RO17" s="5">
        <f>IF(ISERROR(LOOKUP(RO$1,$S17:$HK17,csv!$L17:$HD17)),NA(),LOOKUP(RO$1,$S17:$HK17,csv!$L17:$HD17))</f>
        <v>0</v>
      </c>
      <c r="RP17" s="5">
        <f>IF(ISERROR(LOOKUP(RP$1,$S17:$HK17,csv!$L17:$HD17)),NA(),LOOKUP(RP$1,$S17:$HK17,csv!$L17:$HD17))</f>
        <v>0</v>
      </c>
      <c r="RQ17" s="5">
        <f>IF(ISERROR(LOOKUP(RQ$1,$S17:$HK17,csv!$L17:$HD17)),NA(),LOOKUP(RQ$1,$S17:$HK17,csv!$L17:$HD17))</f>
        <v>0</v>
      </c>
      <c r="RR17" s="5">
        <f>IF(ISERROR(LOOKUP(RR$1,$S17:$HK17,csv!$L17:$HD17)),NA(),LOOKUP(RR$1,$S17:$HK17,csv!$L17:$HD17))</f>
        <v>0</v>
      </c>
      <c r="RS17" s="5">
        <f>IF(ISERROR(LOOKUP(RS$1,$S17:$HK17,csv!$L17:$HD17)),NA(),LOOKUP(RS$1,$S17:$HK17,csv!$L17:$HD17))</f>
        <v>0</v>
      </c>
      <c r="RT17" s="5">
        <f>IF(ISERROR(LOOKUP(RT$1,$S17:$HK17,csv!$L17:$HD17)),NA(),LOOKUP(RT$1,$S17:$HK17,csv!$L17:$HD17))</f>
        <v>0</v>
      </c>
      <c r="RU17" s="5">
        <f>IF(ISERROR(LOOKUP(RU$1,$S17:$HK17,csv!$L17:$HD17)),NA(),LOOKUP(RU$1,$S17:$HK17,csv!$L17:$HD17))</f>
        <v>0</v>
      </c>
      <c r="RV17" s="5">
        <f>IF(ISERROR(LOOKUP(RV$1,$S17:$HK17,csv!$L17:$HD17)),NA(),LOOKUP(RV$1,$S17:$HK17,csv!$L17:$HD17))</f>
        <v>0</v>
      </c>
      <c r="RW17" s="5">
        <f>IF(ISERROR(LOOKUP(RW$1,$S17:$HK17,csv!$L17:$HD17)),NA(),LOOKUP(RW$1,$S17:$HK17,csv!$L17:$HD17))</f>
        <v>0</v>
      </c>
      <c r="RX17" s="5">
        <f>IF(ISERROR(LOOKUP(RX$1,$S17:$HK17,csv!$L17:$HD17)),NA(),LOOKUP(RX$1,$S17:$HK17,csv!$L17:$HD17))</f>
        <v>0</v>
      </c>
      <c r="RY17" s="5">
        <f>IF(ISERROR(LOOKUP(RY$1,$S17:$HK17,csv!$L17:$HD17)),NA(),LOOKUP(RY$1,$S17:$HK17,csv!$L17:$HD17))</f>
        <v>0</v>
      </c>
      <c r="RZ17" s="5">
        <f>IF(ISERROR(LOOKUP(RZ$1,$S17:$HK17,csv!$L17:$HD17)),NA(),LOOKUP(RZ$1,$S17:$HK17,csv!$L17:$HD17))</f>
        <v>0</v>
      </c>
      <c r="SA17" s="5">
        <f>IF(ISERROR(LOOKUP(SA$1,$S17:$HK17,csv!$L17:$HD17)),NA(),LOOKUP(SA$1,$S17:$HK17,csv!$L17:$HD17))</f>
        <v>0</v>
      </c>
      <c r="SB17" s="5">
        <f>IF(ISERROR(LOOKUP(SB$1,$S17:$HK17,csv!$L17:$HD17)),NA(),LOOKUP(SB$1,$S17:$HK17,csv!$L17:$HD17))</f>
        <v>0</v>
      </c>
      <c r="SC17" s="5">
        <f>IF(ISERROR(LOOKUP(SC$1,$S17:$HK17,csv!$L17:$HD17)),NA(),LOOKUP(SC$1,$S17:$HK17,csv!$L17:$HD17))</f>
        <v>0</v>
      </c>
      <c r="SD17" s="5">
        <f>IF(ISERROR(LOOKUP(SD$1,$S17:$HK17,csv!$L17:$HD17)),NA(),LOOKUP(SD$1,$S17:$HK17,csv!$L17:$HD17))</f>
        <v>0</v>
      </c>
      <c r="SE17" s="5">
        <f>IF(ISERROR(LOOKUP(SE$1,$S17:$HK17,csv!$L17:$HD17)),NA(),LOOKUP(SE$1,$S17:$HK17,csv!$L17:$HD17))</f>
        <v>0</v>
      </c>
      <c r="SF17" s="5">
        <f>IF(ISERROR(LOOKUP(SF$1,$S17:$HK17,csv!$L17:$HD17)),NA(),LOOKUP(SF$1,$S17:$HK17,csv!$L17:$HD17))</f>
        <v>0</v>
      </c>
      <c r="SG17" s="5">
        <f>IF(ISERROR(LOOKUP(SG$1,$S17:$HK17,csv!$L17:$HD17)),NA(),LOOKUP(SG$1,$S17:$HK17,csv!$L17:$HD17))</f>
        <v>0</v>
      </c>
      <c r="SH17" s="5">
        <f>IF(ISERROR(LOOKUP(SH$1,$S17:$HK17,csv!$L17:$HD17)),NA(),LOOKUP(SH$1,$S17:$HK17,csv!$L17:$HD17))</f>
        <v>0</v>
      </c>
      <c r="SI17" s="5">
        <f>IF(ISERROR(LOOKUP(SI$1,$S17:$HK17,csv!$L17:$HD17)),NA(),LOOKUP(SI$1,$S17:$HK17,csv!$L17:$HD17))</f>
        <v>0</v>
      </c>
      <c r="SJ17" s="5">
        <f>IF(ISERROR(LOOKUP(SJ$1,$S17:$HK17,csv!$L17:$HD17)),NA(),LOOKUP(SJ$1,$S17:$HK17,csv!$L17:$HD17))</f>
        <v>0</v>
      </c>
      <c r="SK17" s="5">
        <f>IF(ISERROR(LOOKUP(SK$1,$S17:$HK17,csv!$L17:$HD17)),NA(),LOOKUP(SK$1,$S17:$HK17,csv!$L17:$HD17))</f>
        <v>0</v>
      </c>
      <c r="SL17" s="5">
        <f>IF(ISERROR(LOOKUP(SL$1,$S17:$HK17,csv!$L17:$HD17)),NA(),LOOKUP(SL$1,$S17:$HK17,csv!$L17:$HD17))</f>
        <v>0</v>
      </c>
      <c r="SM17" s="5">
        <f>IF(ISERROR(LOOKUP(SM$1,$S17:$HK17,csv!$L17:$HD17)),NA(),LOOKUP(SM$1,$S17:$HK17,csv!$L17:$HD17))</f>
        <v>0</v>
      </c>
      <c r="SN17" s="5">
        <f>IF(ISERROR(LOOKUP(SN$1,$S17:$HK17,csv!$L17:$HD17)),NA(),LOOKUP(SN$1,$S17:$HK17,csv!$L17:$HD17))</f>
        <v>0</v>
      </c>
      <c r="SO17" s="5">
        <f>IF(ISERROR(LOOKUP(SO$1,$S17:$HK17,csv!$L17:$HD17)),NA(),LOOKUP(SO$1,$S17:$HK17,csv!$L17:$HD17))</f>
        <v>0</v>
      </c>
      <c r="SP17" s="5">
        <f>IF(ISERROR(LOOKUP(SP$1,$S17:$HK17,csv!$L17:$HD17)),NA(),LOOKUP(SP$1,$S17:$HK17,csv!$L17:$HD17))</f>
        <v>0</v>
      </c>
      <c r="SQ17" s="5">
        <f>IF(ISERROR(LOOKUP(SQ$1,$S17:$HK17,csv!$L17:$HD17)),NA(),LOOKUP(SQ$1,$S17:$HK17,csv!$L17:$HD17))</f>
        <v>0</v>
      </c>
      <c r="SR17" s="5">
        <f>IF(ISERROR(LOOKUP(SR$1,$S17:$HK17,csv!$L17:$HD17)),NA(),LOOKUP(SR$1,$S17:$HK17,csv!$L17:$HD17))</f>
        <v>0</v>
      </c>
      <c r="SS17" s="5">
        <f>IF(ISERROR(LOOKUP(SS$1,$S17:$HK17,csv!$L17:$HD17)),NA(),LOOKUP(SS$1,$S17:$HK17,csv!$L17:$HD17))</f>
        <v>0</v>
      </c>
      <c r="ST17" s="5">
        <f>IF(ISERROR(LOOKUP(ST$1,$S17:$HK17,csv!$L17:$HD17)),NA(),LOOKUP(ST$1,$S17:$HK17,csv!$L17:$HD17))</f>
        <v>0</v>
      </c>
      <c r="SU17" s="5">
        <f>IF(ISERROR(LOOKUP(SU$1,$S17:$HK17,csv!$L17:$HD17)),NA(),LOOKUP(SU$1,$S17:$HK17,csv!$L17:$HD17))</f>
        <v>0</v>
      </c>
      <c r="SV17" s="5">
        <f>IF(ISERROR(LOOKUP(SV$1,$S17:$HK17,csv!$L17:$HD17)),NA(),LOOKUP(SV$1,$S17:$HK17,csv!$L17:$HD17))</f>
        <v>0</v>
      </c>
      <c r="SW17" s="5">
        <f>IF(ISERROR(LOOKUP(SW$1,$S17:$HK17,csv!$L17:$HD17)),NA(),LOOKUP(SW$1,$S17:$HK17,csv!$L17:$HD17))</f>
        <v>0</v>
      </c>
      <c r="SX17" s="5">
        <f>IF(ISERROR(LOOKUP(SX$1,$S17:$HK17,csv!$L17:$HD17)),NA(),LOOKUP(SX$1,$S17:$HK17,csv!$L17:$HD17))</f>
        <v>0</v>
      </c>
      <c r="SY17" s="5">
        <f>IF(ISERROR(LOOKUP(SY$1,$S17:$HK17,csv!$L17:$HD17)),NA(),LOOKUP(SY$1,$S17:$HK17,csv!$L17:$HD17))</f>
        <v>0</v>
      </c>
      <c r="SZ17" s="5">
        <f>IF(ISERROR(LOOKUP(SZ$1,$S17:$HK17,csv!$L17:$HD17)),NA(),LOOKUP(SZ$1,$S17:$HK17,csv!$L17:$HD17))</f>
        <v>0</v>
      </c>
      <c r="TA17" s="5">
        <f>IF(ISERROR(LOOKUP(TA$1,$S17:$HK17,csv!$L17:$HD17)),NA(),LOOKUP(TA$1,$S17:$HK17,csv!$L17:$HD17))</f>
        <v>0</v>
      </c>
      <c r="TB17" s="5">
        <f>IF(ISERROR(LOOKUP(TB$1,$S17:$HK17,csv!$L17:$HD17)),NA(),LOOKUP(TB$1,$S17:$HK17,csv!$L17:$HD17))</f>
        <v>0</v>
      </c>
      <c r="TD17">
        <f>csv!HG17/10</f>
        <v>0</v>
      </c>
    </row>
    <row r="18" spans="3:524" x14ac:dyDescent="0.15">
      <c r="S18" s="4">
        <f>ROUND((csv!$HG18/10+calc!S$1),1)</f>
        <v>-10</v>
      </c>
      <c r="T18" s="4">
        <f>ROUND((csv!$HG18/10+calc!T$1),1)</f>
        <v>-9.9</v>
      </c>
      <c r="U18" s="4">
        <f>ROUND((csv!$HG18/10+calc!U$1),1)</f>
        <v>-9.8000000000000007</v>
      </c>
      <c r="V18" s="4">
        <f>ROUND((csv!$HG18/10+calc!V$1),1)</f>
        <v>-9.6999999999999993</v>
      </c>
      <c r="W18" s="4">
        <f>ROUND((csv!$HG18/10+calc!W$1),1)</f>
        <v>-9.6</v>
      </c>
      <c r="X18" s="4">
        <f>ROUND((csv!$HG18/10+calc!X$1),1)</f>
        <v>-9.5</v>
      </c>
      <c r="Y18" s="4">
        <f>ROUND((csv!$HG18/10+calc!Y$1),1)</f>
        <v>-9.4</v>
      </c>
      <c r="Z18" s="4">
        <f>ROUND((csv!$HG18/10+calc!Z$1),1)</f>
        <v>-9.3000000000000007</v>
      </c>
      <c r="AA18" s="4">
        <f>ROUND((csv!$HG18/10+calc!AA$1),1)</f>
        <v>-9.1999999999999993</v>
      </c>
      <c r="AB18" s="4">
        <f>ROUND((csv!$HG18/10+calc!AB$1),1)</f>
        <v>-9.1</v>
      </c>
      <c r="AC18" s="4">
        <f>ROUND((csv!$HG18/10+calc!AC$1),1)</f>
        <v>-9</v>
      </c>
      <c r="AD18" s="4">
        <f>ROUND((csv!$HG18/10+calc!AD$1),1)</f>
        <v>-8.9</v>
      </c>
      <c r="AE18" s="4">
        <f>ROUND((csv!$HG18/10+calc!AE$1),1)</f>
        <v>-8.8000000000000007</v>
      </c>
      <c r="AF18" s="4">
        <f>ROUND((csv!$HG18/10+calc!AF$1),1)</f>
        <v>-8.6999999999999993</v>
      </c>
      <c r="AG18" s="4">
        <f>ROUND((csv!$HG18/10+calc!AG$1),1)</f>
        <v>-8.6</v>
      </c>
      <c r="AH18" s="4">
        <f>ROUND((csv!$HG18/10+calc!AH$1),1)</f>
        <v>-8.5</v>
      </c>
      <c r="AI18" s="4">
        <f>ROUND((csv!$HG18/10+calc!AI$1),1)</f>
        <v>-8.4</v>
      </c>
      <c r="AJ18" s="4">
        <f>ROUND((csv!$HG18/10+calc!AJ$1),1)</f>
        <v>-8.3000000000000007</v>
      </c>
      <c r="AK18" s="4">
        <f>ROUND((csv!$HG18/10+calc!AK$1),1)</f>
        <v>-8.1999999999999993</v>
      </c>
      <c r="AL18" s="4">
        <f>ROUND((csv!$HG18/10+calc!AL$1),1)</f>
        <v>-8.1</v>
      </c>
      <c r="AM18" s="4">
        <f>ROUND((csv!$HG18/10+calc!AM$1),1)</f>
        <v>-8</v>
      </c>
      <c r="AN18" s="4">
        <f>ROUND((csv!$HG18/10+calc!AN$1),1)</f>
        <v>-7.9</v>
      </c>
      <c r="AO18" s="4">
        <f>ROUND((csv!$HG18/10+calc!AO$1),1)</f>
        <v>-7.8</v>
      </c>
      <c r="AP18" s="4">
        <f>ROUND((csv!$HG18/10+calc!AP$1),1)</f>
        <v>-7.7</v>
      </c>
      <c r="AQ18" s="4">
        <f>ROUND((csv!$HG18/10+calc!AQ$1),1)</f>
        <v>-7.6</v>
      </c>
      <c r="AR18" s="4">
        <f>ROUND((csv!$HG18/10+calc!AR$1),1)</f>
        <v>-7.5</v>
      </c>
      <c r="AS18" s="4">
        <f>ROUND((csv!$HG18/10+calc!AS$1),1)</f>
        <v>-7.4</v>
      </c>
      <c r="AT18" s="4">
        <f>ROUND((csv!$HG18/10+calc!AT$1),1)</f>
        <v>-7.3</v>
      </c>
      <c r="AU18" s="4">
        <f>ROUND((csv!$HG18/10+calc!AU$1),1)</f>
        <v>-7.2</v>
      </c>
      <c r="AV18" s="4">
        <f>ROUND((csv!$HG18/10+calc!AV$1),1)</f>
        <v>-7.1</v>
      </c>
      <c r="AW18" s="4">
        <f>ROUND((csv!$HG18/10+calc!AW$1),1)</f>
        <v>-7</v>
      </c>
      <c r="AX18" s="4">
        <f>ROUND((csv!$HG18/10+calc!AX$1),1)</f>
        <v>-6.9</v>
      </c>
      <c r="AY18" s="4">
        <f>ROUND((csv!$HG18/10+calc!AY$1),1)</f>
        <v>-6.8</v>
      </c>
      <c r="AZ18" s="4">
        <f>ROUND((csv!$HG18/10+calc!AZ$1),1)</f>
        <v>-6.7</v>
      </c>
      <c r="BA18" s="4">
        <f>ROUND((csv!$HG18/10+calc!BA$1),1)</f>
        <v>-6.6</v>
      </c>
      <c r="BB18" s="4">
        <f>ROUND((csv!$HG18/10+calc!BB$1),1)</f>
        <v>-6.5</v>
      </c>
      <c r="BC18" s="4">
        <f>ROUND((csv!$HG18/10+calc!BC$1),1)</f>
        <v>-6.4</v>
      </c>
      <c r="BD18" s="4">
        <f>ROUND((csv!$HG18/10+calc!BD$1),1)</f>
        <v>-6.3</v>
      </c>
      <c r="BE18" s="4">
        <f>ROUND((csv!$HG18/10+calc!BE$1),1)</f>
        <v>-6.2</v>
      </c>
      <c r="BF18" s="4">
        <f>ROUND((csv!$HG18/10+calc!BF$1),1)</f>
        <v>-6.1</v>
      </c>
      <c r="BG18" s="4">
        <f>ROUND((csv!$HG18/10+calc!BG$1),1)</f>
        <v>-6</v>
      </c>
      <c r="BH18" s="4">
        <f>ROUND((csv!$HG18/10+calc!BH$1),1)</f>
        <v>-5.9</v>
      </c>
      <c r="BI18" s="4">
        <f>ROUND((csv!$HG18/10+calc!BI$1),1)</f>
        <v>-5.8</v>
      </c>
      <c r="BJ18" s="4">
        <f>ROUND((csv!$HG18/10+calc!BJ$1),1)</f>
        <v>-5.7</v>
      </c>
      <c r="BK18" s="4">
        <f>ROUND((csv!$HG18/10+calc!BK$1),1)</f>
        <v>-5.6</v>
      </c>
      <c r="BL18" s="4">
        <f>ROUND((csv!$HG18/10+calc!BL$1),1)</f>
        <v>-5.5</v>
      </c>
      <c r="BM18" s="4">
        <f>ROUND((csv!$HG18/10+calc!BM$1),1)</f>
        <v>-5.4</v>
      </c>
      <c r="BN18" s="4">
        <f>ROUND((csv!$HG18/10+calc!BN$1),1)</f>
        <v>-5.3</v>
      </c>
      <c r="BO18" s="4">
        <f>ROUND((csv!$HG18/10+calc!BO$1),1)</f>
        <v>-5.2</v>
      </c>
      <c r="BP18" s="4">
        <f>ROUND((csv!$HG18/10+calc!BP$1),1)</f>
        <v>-5.0999999999999996</v>
      </c>
      <c r="BQ18" s="4">
        <f>ROUND((csv!$HG18/10+calc!BQ$1),1)</f>
        <v>-5</v>
      </c>
      <c r="BR18" s="4">
        <f>ROUND((csv!$HG18/10+calc!BR$1),1)</f>
        <v>-4.9000000000000004</v>
      </c>
      <c r="BS18" s="4">
        <f>ROUND((csv!$HG18/10+calc!BS$1),1)</f>
        <v>-4.8</v>
      </c>
      <c r="BT18" s="4">
        <f>ROUND((csv!$HG18/10+calc!BT$1),1)</f>
        <v>-4.7</v>
      </c>
      <c r="BU18" s="4">
        <f>ROUND((csv!$HG18/10+calc!BU$1),1)</f>
        <v>-4.5999999999999996</v>
      </c>
      <c r="BV18" s="4">
        <f>ROUND((csv!$HG18/10+calc!BV$1),1)</f>
        <v>-4.5</v>
      </c>
      <c r="BW18" s="4">
        <f>ROUND((csv!$HG18/10+calc!BW$1),1)</f>
        <v>-4.4000000000000004</v>
      </c>
      <c r="BX18" s="4">
        <f>ROUND((csv!$HG18/10+calc!BX$1),1)</f>
        <v>-4.3</v>
      </c>
      <c r="BY18" s="4">
        <f>ROUND((csv!$HG18/10+calc!BY$1),1)</f>
        <v>-4.2</v>
      </c>
      <c r="BZ18" s="4">
        <f>ROUND((csv!$HG18/10+calc!BZ$1),1)</f>
        <v>-4.0999999999999996</v>
      </c>
      <c r="CA18" s="4">
        <f>ROUND((csv!$HG18/10+calc!CA$1),1)</f>
        <v>-4</v>
      </c>
      <c r="CB18" s="4">
        <f>ROUND((csv!$HG18/10+calc!CB$1),1)</f>
        <v>-3.9</v>
      </c>
      <c r="CC18" s="4">
        <f>ROUND((csv!$HG18/10+calc!CC$1),1)</f>
        <v>-3.8</v>
      </c>
      <c r="CD18" s="4">
        <f>ROUND((csv!$HG18/10+calc!CD$1),1)</f>
        <v>-3.7</v>
      </c>
      <c r="CE18" s="4">
        <f>ROUND((csv!$HG18/10+calc!CE$1),1)</f>
        <v>-3.6</v>
      </c>
      <c r="CF18" s="4">
        <f>ROUND((csv!$HG18/10+calc!CF$1),1)</f>
        <v>-3.5</v>
      </c>
      <c r="CG18" s="4">
        <f>ROUND((csv!$HG18/10+calc!CG$1),1)</f>
        <v>-3.4</v>
      </c>
      <c r="CH18" s="4">
        <f>ROUND((csv!$HG18/10+calc!CH$1),1)</f>
        <v>-3.3</v>
      </c>
      <c r="CI18" s="4">
        <f>ROUND((csv!$HG18/10+calc!CI$1),1)</f>
        <v>-3.2</v>
      </c>
      <c r="CJ18" s="4">
        <f>ROUND((csv!$HG18/10+calc!CJ$1),1)</f>
        <v>-3.1</v>
      </c>
      <c r="CK18" s="4">
        <f>ROUND((csv!$HG18/10+calc!CK$1),1)</f>
        <v>-3</v>
      </c>
      <c r="CL18" s="4">
        <f>ROUND((csv!$HG18/10+calc!CL$1),1)</f>
        <v>-2.9</v>
      </c>
      <c r="CM18" s="4">
        <f>ROUND((csv!$HG18/10+calc!CM$1),1)</f>
        <v>-2.8</v>
      </c>
      <c r="CN18" s="4">
        <f>ROUND((csv!$HG18/10+calc!CN$1),1)</f>
        <v>-2.7</v>
      </c>
      <c r="CO18" s="4">
        <f>ROUND((csv!$HG18/10+calc!CO$1),1)</f>
        <v>-2.6</v>
      </c>
      <c r="CP18" s="4">
        <f>ROUND((csv!$HG18/10+calc!CP$1),1)</f>
        <v>-2.5</v>
      </c>
      <c r="CQ18" s="4">
        <f>ROUND((csv!$HG18/10+calc!CQ$1),1)</f>
        <v>-2.4</v>
      </c>
      <c r="CR18" s="4">
        <f>ROUND((csv!$HG18/10+calc!CR$1),1)</f>
        <v>-2.2999999999999998</v>
      </c>
      <c r="CS18" s="4">
        <f>ROUND((csv!$HG18/10+calc!CS$1),1)</f>
        <v>-2.2000000000000002</v>
      </c>
      <c r="CT18" s="4">
        <f>ROUND((csv!$HG18/10+calc!CT$1),1)</f>
        <v>-2.1</v>
      </c>
      <c r="CU18" s="4">
        <f>ROUND((csv!$HG18/10+calc!CU$1),1)</f>
        <v>-2</v>
      </c>
      <c r="CV18" s="4">
        <f>ROUND((csv!$HG18/10+calc!CV$1),1)</f>
        <v>-1.9</v>
      </c>
      <c r="CW18" s="4">
        <f>ROUND((csv!$HG18/10+calc!CW$1),1)</f>
        <v>-1.8</v>
      </c>
      <c r="CX18" s="4">
        <f>ROUND((csv!$HG18/10+calc!CX$1),1)</f>
        <v>-1.7</v>
      </c>
      <c r="CY18" s="4">
        <f>ROUND((csv!$HG18/10+calc!CY$1),1)</f>
        <v>-1.6</v>
      </c>
      <c r="CZ18" s="4">
        <f>ROUND((csv!$HG18/10+calc!CZ$1),1)</f>
        <v>-1.5</v>
      </c>
      <c r="DA18" s="4">
        <f>ROUND((csv!$HG18/10+calc!DA$1),1)</f>
        <v>-1.4</v>
      </c>
      <c r="DB18" s="4">
        <f>ROUND((csv!$HG18/10+calc!DB$1),1)</f>
        <v>-1.3</v>
      </c>
      <c r="DC18" s="4">
        <f>ROUND((csv!$HG18/10+calc!DC$1),1)</f>
        <v>-1.2</v>
      </c>
      <c r="DD18" s="4">
        <f>ROUND((csv!$HG18/10+calc!DD$1),1)</f>
        <v>-1.1000000000000001</v>
      </c>
      <c r="DE18" s="4">
        <f>ROUND((csv!$HG18/10+calc!DE$1),1)</f>
        <v>-1</v>
      </c>
      <c r="DF18" s="4">
        <f>ROUND((csv!$HG18/10+calc!DF$1),1)</f>
        <v>-0.9</v>
      </c>
      <c r="DG18" s="4">
        <f>ROUND((csv!$HG18/10+calc!DG$1),1)</f>
        <v>-0.8</v>
      </c>
      <c r="DH18" s="4">
        <f>ROUND((csv!$HG18/10+calc!DH$1),1)</f>
        <v>-0.7</v>
      </c>
      <c r="DI18" s="4">
        <f>ROUND((csv!$HG18/10+calc!DI$1),1)</f>
        <v>-0.6</v>
      </c>
      <c r="DJ18" s="4">
        <f>ROUND((csv!$HG18/10+calc!DJ$1),1)</f>
        <v>-0.5</v>
      </c>
      <c r="DK18" s="4">
        <f>ROUND((csv!$HG18/10+calc!DK$1),1)</f>
        <v>-0.4</v>
      </c>
      <c r="DL18" s="4">
        <f>ROUND((csv!$HG18/10+calc!DL$1),1)</f>
        <v>-0.3</v>
      </c>
      <c r="DM18" s="4">
        <f>ROUND((csv!$HG18/10+calc!DM$1),1)</f>
        <v>-0.2</v>
      </c>
      <c r="DN18" s="4">
        <f>ROUND((csv!$HG18/10+calc!DN$1),1)</f>
        <v>-0.1</v>
      </c>
      <c r="DO18" s="4">
        <f>ROUND((csv!$HG18/10+calc!DO$1),1)</f>
        <v>0</v>
      </c>
      <c r="DP18" s="4">
        <f>ROUND((csv!$HG18/10+calc!DP$1),1)</f>
        <v>0.1</v>
      </c>
      <c r="DQ18" s="4">
        <f>ROUND((csv!$HG18/10+calc!DQ$1),1)</f>
        <v>0.2</v>
      </c>
      <c r="DR18" s="4">
        <f>ROUND((csv!$HG18/10+calc!DR$1),1)</f>
        <v>0.3</v>
      </c>
      <c r="DS18" s="4">
        <f>ROUND((csv!$HG18/10+calc!DS$1),1)</f>
        <v>0.4</v>
      </c>
      <c r="DT18" s="4">
        <f>ROUND((csv!$HG18/10+calc!DT$1),1)</f>
        <v>0.5</v>
      </c>
      <c r="DU18" s="4">
        <f>ROUND((csv!$HG18/10+calc!DU$1),1)</f>
        <v>0.6</v>
      </c>
      <c r="DV18" s="4">
        <f>ROUND((csv!$HG18/10+calc!DV$1),1)</f>
        <v>0.7</v>
      </c>
      <c r="DW18" s="4">
        <f>ROUND((csv!$HG18/10+calc!DW$1),1)</f>
        <v>0.8</v>
      </c>
      <c r="DX18" s="4">
        <f>ROUND((csv!$HG18/10+calc!DX$1),1)</f>
        <v>0.9</v>
      </c>
      <c r="DY18" s="4">
        <f>ROUND((csv!$HG18/10+calc!DY$1),1)</f>
        <v>1</v>
      </c>
      <c r="DZ18" s="4">
        <f>ROUND((csv!$HG18/10+calc!DZ$1),1)</f>
        <v>1.1000000000000001</v>
      </c>
      <c r="EA18" s="4">
        <f>ROUND((csv!$HG18/10+calc!EA$1),1)</f>
        <v>1.2</v>
      </c>
      <c r="EB18" s="4">
        <f>ROUND((csv!$HG18/10+calc!EB$1),1)</f>
        <v>1.3</v>
      </c>
      <c r="EC18" s="4">
        <f>ROUND((csv!$HG18/10+calc!EC$1),1)</f>
        <v>1.4</v>
      </c>
      <c r="ED18" s="4">
        <f>ROUND((csv!$HG18/10+calc!ED$1),1)</f>
        <v>1.5</v>
      </c>
      <c r="EE18" s="4">
        <f>ROUND((csv!$HG18/10+calc!EE$1),1)</f>
        <v>1.6</v>
      </c>
      <c r="EF18" s="4">
        <f>ROUND((csv!$HG18/10+calc!EF$1),1)</f>
        <v>1.7</v>
      </c>
      <c r="EG18" s="4">
        <f>ROUND((csv!$HG18/10+calc!EG$1),1)</f>
        <v>1.8</v>
      </c>
      <c r="EH18" s="4">
        <f>ROUND((csv!$HG18/10+calc!EH$1),1)</f>
        <v>1.9</v>
      </c>
      <c r="EI18" s="4">
        <f>ROUND((csv!$HG18/10+calc!EI$1),1)</f>
        <v>2</v>
      </c>
      <c r="EJ18" s="4">
        <f>ROUND((csv!$HG18/10+calc!EJ$1),1)</f>
        <v>2.1</v>
      </c>
      <c r="EK18" s="4">
        <f>ROUND((csv!$HG18/10+calc!EK$1),1)</f>
        <v>2.2000000000000002</v>
      </c>
      <c r="EL18" s="4">
        <f>ROUND((csv!$HG18/10+calc!EL$1),1)</f>
        <v>2.2999999999999998</v>
      </c>
      <c r="EM18" s="4">
        <f>ROUND((csv!$HG18/10+calc!EM$1),1)</f>
        <v>2.4</v>
      </c>
      <c r="EN18" s="4">
        <f>ROUND((csv!$HG18/10+calc!EN$1),1)</f>
        <v>2.5</v>
      </c>
      <c r="EO18" s="4">
        <f>ROUND((csv!$HG18/10+calc!EO$1),1)</f>
        <v>2.6</v>
      </c>
      <c r="EP18" s="4">
        <f>ROUND((csv!$HG18/10+calc!EP$1),1)</f>
        <v>2.7</v>
      </c>
      <c r="EQ18" s="4">
        <f>ROUND((csv!$HG18/10+calc!EQ$1),1)</f>
        <v>2.8</v>
      </c>
      <c r="ER18" s="4">
        <f>ROUND((csv!$HG18/10+calc!ER$1),1)</f>
        <v>2.9</v>
      </c>
      <c r="ES18" s="4">
        <f>ROUND((csv!$HG18/10+calc!ES$1),1)</f>
        <v>3</v>
      </c>
      <c r="ET18" s="4">
        <f>ROUND((csv!$HG18/10+calc!ET$1),1)</f>
        <v>3.1</v>
      </c>
      <c r="EU18" s="4">
        <f>ROUND((csv!$HG18/10+calc!EU$1),1)</f>
        <v>3.2</v>
      </c>
      <c r="EV18" s="4">
        <f>ROUND((csv!$HG18/10+calc!EV$1),1)</f>
        <v>3.3</v>
      </c>
      <c r="EW18" s="4">
        <f>ROUND((csv!$HG18/10+calc!EW$1),1)</f>
        <v>3.4</v>
      </c>
      <c r="EX18" s="4">
        <f>ROUND((csv!$HG18/10+calc!EX$1),1)</f>
        <v>3.5</v>
      </c>
      <c r="EY18" s="4">
        <f>ROUND((csv!$HG18/10+calc!EY$1),1)</f>
        <v>3.6</v>
      </c>
      <c r="EZ18" s="4">
        <f>ROUND((csv!$HG18/10+calc!EZ$1),1)</f>
        <v>3.7</v>
      </c>
      <c r="FA18" s="4">
        <f>ROUND((csv!$HG18/10+calc!FA$1),1)</f>
        <v>3.8</v>
      </c>
      <c r="FB18" s="4">
        <f>ROUND((csv!$HG18/10+calc!FB$1),1)</f>
        <v>3.9</v>
      </c>
      <c r="FC18" s="4">
        <f>ROUND((csv!$HG18/10+calc!FC$1),1)</f>
        <v>4</v>
      </c>
      <c r="FD18" s="4">
        <f>ROUND((csv!$HG18/10+calc!FD$1),1)</f>
        <v>4.0999999999999996</v>
      </c>
      <c r="FE18" s="4">
        <f>ROUND((csv!$HG18/10+calc!FE$1),1)</f>
        <v>4.2</v>
      </c>
      <c r="FF18" s="4">
        <f>ROUND((csv!$HG18/10+calc!FF$1),1)</f>
        <v>4.3</v>
      </c>
      <c r="FG18" s="4">
        <f>ROUND((csv!$HG18/10+calc!FG$1),1)</f>
        <v>4.4000000000000004</v>
      </c>
      <c r="FH18" s="4">
        <f>ROUND((csv!$HG18/10+calc!FH$1),1)</f>
        <v>4.5</v>
      </c>
      <c r="FI18" s="4">
        <f>ROUND((csv!$HG18/10+calc!FI$1),1)</f>
        <v>4.5999999999999996</v>
      </c>
      <c r="FJ18" s="4">
        <f>ROUND((csv!$HG18/10+calc!FJ$1),1)</f>
        <v>4.7</v>
      </c>
      <c r="FK18" s="4">
        <f>ROUND((csv!$HG18/10+calc!FK$1),1)</f>
        <v>4.8</v>
      </c>
      <c r="FL18" s="4">
        <f>ROUND((csv!$HG18/10+calc!FL$1),1)</f>
        <v>4.9000000000000004</v>
      </c>
      <c r="FM18" s="4">
        <f>ROUND((csv!$HG18/10+calc!FM$1),1)</f>
        <v>5</v>
      </c>
      <c r="FN18" s="4">
        <f>ROUND((csv!$HG18/10+calc!FN$1),1)</f>
        <v>5.0999999999999996</v>
      </c>
      <c r="FO18" s="4">
        <f>ROUND((csv!$HG18/10+calc!FO$1),1)</f>
        <v>5.2</v>
      </c>
      <c r="FP18" s="4">
        <f>ROUND((csv!$HG18/10+calc!FP$1),1)</f>
        <v>5.3</v>
      </c>
      <c r="FQ18" s="4">
        <f>ROUND((csv!$HG18/10+calc!FQ$1),1)</f>
        <v>5.4</v>
      </c>
      <c r="FR18" s="4">
        <f>ROUND((csv!$HG18/10+calc!FR$1),1)</f>
        <v>5.5</v>
      </c>
      <c r="FS18" s="4">
        <f>ROUND((csv!$HG18/10+calc!FS$1),1)</f>
        <v>5.6</v>
      </c>
      <c r="FT18" s="4">
        <f>ROUND((csv!$HG18/10+calc!FT$1),1)</f>
        <v>5.7</v>
      </c>
      <c r="FU18" s="4">
        <f>ROUND((csv!$HG18/10+calc!FU$1),1)</f>
        <v>5.8</v>
      </c>
      <c r="FV18" s="4">
        <f>ROUND((csv!$HG18/10+calc!FV$1),1)</f>
        <v>5.9</v>
      </c>
      <c r="FW18" s="4">
        <f>ROUND((csv!$HG18/10+calc!FW$1),1)</f>
        <v>6</v>
      </c>
      <c r="FX18" s="4">
        <f>ROUND((csv!$HG18/10+calc!FX$1),1)</f>
        <v>6.1</v>
      </c>
      <c r="FY18" s="4">
        <f>ROUND((csv!$HG18/10+calc!FY$1),1)</f>
        <v>6.2</v>
      </c>
      <c r="FZ18" s="4">
        <f>ROUND((csv!$HG18/10+calc!FZ$1),1)</f>
        <v>6.3</v>
      </c>
      <c r="GA18" s="4">
        <f>ROUND((csv!$HG18/10+calc!GA$1),1)</f>
        <v>6.4</v>
      </c>
      <c r="GB18" s="4">
        <f>ROUND((csv!$HG18/10+calc!GB$1),1)</f>
        <v>6.5</v>
      </c>
      <c r="GC18" s="4">
        <f>ROUND((csv!$HG18/10+calc!GC$1),1)</f>
        <v>6.6</v>
      </c>
      <c r="GD18" s="4">
        <f>ROUND((csv!$HG18/10+calc!GD$1),1)</f>
        <v>6.7</v>
      </c>
      <c r="GE18" s="4">
        <f>ROUND((csv!$HG18/10+calc!GE$1),1)</f>
        <v>6.8</v>
      </c>
      <c r="GF18" s="4">
        <f>ROUND((csv!$HG18/10+calc!GF$1),1)</f>
        <v>6.9</v>
      </c>
      <c r="GG18" s="4">
        <f>ROUND((csv!$HG18/10+calc!GG$1),1)</f>
        <v>7</v>
      </c>
      <c r="GH18" s="4">
        <f>ROUND((csv!$HG18/10+calc!GH$1),1)</f>
        <v>7.1</v>
      </c>
      <c r="GI18" s="4">
        <f>ROUND((csv!$HG18/10+calc!GI$1),1)</f>
        <v>7.2</v>
      </c>
      <c r="GJ18" s="4">
        <f>ROUND((csv!$HG18/10+calc!GJ$1),1)</f>
        <v>7.3</v>
      </c>
      <c r="GK18" s="4">
        <f>ROUND((csv!$HG18/10+calc!GK$1),1)</f>
        <v>7.4</v>
      </c>
      <c r="GL18" s="4">
        <f>ROUND((csv!$HG18/10+calc!GL$1),1)</f>
        <v>7.5</v>
      </c>
      <c r="GM18" s="4">
        <f>ROUND((csv!$HG18/10+calc!GM$1),1)</f>
        <v>7.6</v>
      </c>
      <c r="GN18" s="4">
        <f>ROUND((csv!$HG18/10+calc!GN$1),1)</f>
        <v>7.7</v>
      </c>
      <c r="GO18" s="4">
        <f>ROUND((csv!$HG18/10+calc!GO$1),1)</f>
        <v>7.8</v>
      </c>
      <c r="GP18" s="4">
        <f>ROUND((csv!$HG18/10+calc!GP$1),1)</f>
        <v>7.9</v>
      </c>
      <c r="GQ18" s="4">
        <f>ROUND((csv!$HG18/10+calc!GQ$1),1)</f>
        <v>8</v>
      </c>
      <c r="GR18" s="4">
        <f>ROUND((csv!$HG18/10+calc!GR$1),1)</f>
        <v>8.1</v>
      </c>
      <c r="GS18" s="4">
        <f>ROUND((csv!$HG18/10+calc!GS$1),1)</f>
        <v>8.1999999999999993</v>
      </c>
      <c r="GT18" s="4">
        <f>ROUND((csv!$HG18/10+calc!GT$1),1)</f>
        <v>8.3000000000000007</v>
      </c>
      <c r="GU18" s="4">
        <f>ROUND((csv!$HG18/10+calc!GU$1),1)</f>
        <v>8.4</v>
      </c>
      <c r="GV18" s="4">
        <f>ROUND((csv!$HG18/10+calc!GV$1),1)</f>
        <v>8.5</v>
      </c>
      <c r="GW18" s="4">
        <f>ROUND((csv!$HG18/10+calc!GW$1),1)</f>
        <v>8.6</v>
      </c>
      <c r="GX18" s="4">
        <f>ROUND((csv!$HG18/10+calc!GX$1),1)</f>
        <v>8.6999999999999993</v>
      </c>
      <c r="GY18" s="4">
        <f>ROUND((csv!$HG18/10+calc!GY$1),1)</f>
        <v>8.8000000000000007</v>
      </c>
      <c r="GZ18" s="4">
        <f>ROUND((csv!$HG18/10+calc!GZ$1),1)</f>
        <v>8.9</v>
      </c>
      <c r="HA18" s="4">
        <f>ROUND((csv!$HG18/10+calc!HA$1),1)</f>
        <v>9</v>
      </c>
      <c r="HB18" s="4">
        <f>ROUND((csv!$HG18/10+calc!HB$1),1)</f>
        <v>9.1</v>
      </c>
      <c r="HC18" s="4">
        <f>ROUND((csv!$HG18/10+calc!HC$1),1)</f>
        <v>9.1999999999999993</v>
      </c>
      <c r="HD18" s="4">
        <f>ROUND((csv!$HG18/10+calc!HD$1),1)</f>
        <v>9.3000000000000007</v>
      </c>
      <c r="HE18" s="4">
        <f>ROUND((csv!$HG18/10+calc!HE$1),1)</f>
        <v>9.4</v>
      </c>
      <c r="HF18" s="4">
        <f>ROUND((csv!$HG18/10+calc!HF$1),1)</f>
        <v>9.5</v>
      </c>
      <c r="HG18" s="4">
        <f>ROUND((csv!$HG18/10+calc!HG$1),1)</f>
        <v>9.6</v>
      </c>
      <c r="HH18" s="4">
        <f>ROUND((csv!$HG18/10+calc!HH$1),1)</f>
        <v>9.6999999999999993</v>
      </c>
      <c r="HI18" s="4">
        <f>ROUND((csv!$HG18/10+calc!HI$1),1)</f>
        <v>9.8000000000000007</v>
      </c>
      <c r="HJ18" s="4">
        <f>ROUND((csv!$HG18/10+calc!HJ$1),1)</f>
        <v>9.9</v>
      </c>
      <c r="HK18" s="4">
        <f>ROUND((csv!$HG18/10+calc!HK$1),1)</f>
        <v>10</v>
      </c>
      <c r="HM18" s="2">
        <f>csv!A18*10000+csv!B18*100+csv!C18</f>
        <v>0</v>
      </c>
      <c r="HN18" s="5">
        <f>IF(ISERROR(LOOKUP(HN$1,$S18:$HK18,csv!$L18:$HD18)),NA(),LOOKUP(HN$1,$S18:$HK18,csv!$L18:$HD18))</f>
        <v>0</v>
      </c>
      <c r="HO18" s="5">
        <f>IF(ISERROR(LOOKUP(HO$1,$S18:$HK18,csv!$L18:$HD18)),NA(),LOOKUP(HO$1,$S18:$HK18,csv!$L18:$HD18))</f>
        <v>0</v>
      </c>
      <c r="HP18" s="5">
        <f>IF(ISERROR(LOOKUP(HP$1,$S18:$HK18,csv!$L18:$HD18)),NA(),LOOKUP(HP$1,$S18:$HK18,csv!$L18:$HD18))</f>
        <v>0</v>
      </c>
      <c r="HQ18" s="5">
        <f>IF(ISERROR(LOOKUP(HQ$1,$S18:$HK18,csv!$L18:$HD18)),NA(),LOOKUP(HQ$1,$S18:$HK18,csv!$L18:$HD18))</f>
        <v>0</v>
      </c>
      <c r="HR18" s="5">
        <f>IF(ISERROR(LOOKUP(HR$1,$S18:$HK18,csv!$L18:$HD18)),NA(),LOOKUP(HR$1,$S18:$HK18,csv!$L18:$HD18))</f>
        <v>0</v>
      </c>
      <c r="HS18" s="5">
        <f>IF(ISERROR(LOOKUP(HS$1,$S18:$HK18,csv!$L18:$HD18)),NA(),LOOKUP(HS$1,$S18:$HK18,csv!$L18:$HD18))</f>
        <v>0</v>
      </c>
      <c r="HT18" s="5">
        <f>IF(ISERROR(LOOKUP(HT$1,$S18:$HK18,csv!$L18:$HD18)),NA(),LOOKUP(HT$1,$S18:$HK18,csv!$L18:$HD18))</f>
        <v>0</v>
      </c>
      <c r="HU18" s="5">
        <f>IF(ISERROR(LOOKUP(HU$1,$S18:$HK18,csv!$L18:$HD18)),NA(),LOOKUP(HU$1,$S18:$HK18,csv!$L18:$HD18))</f>
        <v>0</v>
      </c>
      <c r="HV18" s="5">
        <f>IF(ISERROR(LOOKUP(HV$1,$S18:$HK18,csv!$L18:$HD18)),NA(),LOOKUP(HV$1,$S18:$HK18,csv!$L18:$HD18))</f>
        <v>0</v>
      </c>
      <c r="HW18" s="5">
        <f>IF(ISERROR(LOOKUP(HW$1,$S18:$HK18,csv!$L18:$HD18)),NA(),LOOKUP(HW$1,$S18:$HK18,csv!$L18:$HD18))</f>
        <v>0</v>
      </c>
      <c r="HX18" s="5">
        <f>IF(ISERROR(LOOKUP(HX$1,$S18:$HK18,csv!$L18:$HD18)),NA(),LOOKUP(HX$1,$S18:$HK18,csv!$L18:$HD18))</f>
        <v>0</v>
      </c>
      <c r="HY18" s="5">
        <f>IF(ISERROR(LOOKUP(HY$1,$S18:$HK18,csv!$L18:$HD18)),NA(),LOOKUP(HY$1,$S18:$HK18,csv!$L18:$HD18))</f>
        <v>0</v>
      </c>
      <c r="HZ18" s="5">
        <f>IF(ISERROR(LOOKUP(HZ$1,$S18:$HK18,csv!$L18:$HD18)),NA(),LOOKUP(HZ$1,$S18:$HK18,csv!$L18:$HD18))</f>
        <v>0</v>
      </c>
      <c r="IA18" s="5">
        <f>IF(ISERROR(LOOKUP(IA$1,$S18:$HK18,csv!$L18:$HD18)),NA(),LOOKUP(IA$1,$S18:$HK18,csv!$L18:$HD18))</f>
        <v>0</v>
      </c>
      <c r="IB18" s="5">
        <f>IF(ISERROR(LOOKUP(IB$1,$S18:$HK18,csv!$L18:$HD18)),NA(),LOOKUP(IB$1,$S18:$HK18,csv!$L18:$HD18))</f>
        <v>0</v>
      </c>
      <c r="IC18" s="5">
        <f>IF(ISERROR(LOOKUP(IC$1,$S18:$HK18,csv!$L18:$HD18)),NA(),LOOKUP(IC$1,$S18:$HK18,csv!$L18:$HD18))</f>
        <v>0</v>
      </c>
      <c r="ID18" s="5">
        <f>IF(ISERROR(LOOKUP(ID$1,$S18:$HK18,csv!$L18:$HD18)),NA(),LOOKUP(ID$1,$S18:$HK18,csv!$L18:$HD18))</f>
        <v>0</v>
      </c>
      <c r="IE18" s="5">
        <f>IF(ISERROR(LOOKUP(IE$1,$S18:$HK18,csv!$L18:$HD18)),NA(),LOOKUP(IE$1,$S18:$HK18,csv!$L18:$HD18))</f>
        <v>0</v>
      </c>
      <c r="IF18" s="5">
        <f>IF(ISERROR(LOOKUP(IF$1,$S18:$HK18,csv!$L18:$HD18)),NA(),LOOKUP(IF$1,$S18:$HK18,csv!$L18:$HD18))</f>
        <v>0</v>
      </c>
      <c r="IG18" s="5">
        <f>IF(ISERROR(LOOKUP(IG$1,$S18:$HK18,csv!$L18:$HD18)),NA(),LOOKUP(IG$1,$S18:$HK18,csv!$L18:$HD18))</f>
        <v>0</v>
      </c>
      <c r="IH18" s="5">
        <f>IF(ISERROR(LOOKUP(IH$1,$S18:$HK18,csv!$L18:$HD18)),NA(),LOOKUP(IH$1,$S18:$HK18,csv!$L18:$HD18))</f>
        <v>0</v>
      </c>
      <c r="II18" s="5">
        <f>IF(ISERROR(LOOKUP(II$1,$S18:$HK18,csv!$L18:$HD18)),NA(),LOOKUP(II$1,$S18:$HK18,csv!$L18:$HD18))</f>
        <v>0</v>
      </c>
      <c r="IJ18" s="5">
        <f>IF(ISERROR(LOOKUP(IJ$1,$S18:$HK18,csv!$L18:$HD18)),NA(),LOOKUP(IJ$1,$S18:$HK18,csv!$L18:$HD18))</f>
        <v>0</v>
      </c>
      <c r="IK18" s="5">
        <f>IF(ISERROR(LOOKUP(IK$1,$S18:$HK18,csv!$L18:$HD18)),NA(),LOOKUP(IK$1,$S18:$HK18,csv!$L18:$HD18))</f>
        <v>0</v>
      </c>
      <c r="IL18" s="5">
        <f>IF(ISERROR(LOOKUP(IL$1,$S18:$HK18,csv!$L18:$HD18)),NA(),LOOKUP(IL$1,$S18:$HK18,csv!$L18:$HD18))</f>
        <v>0</v>
      </c>
      <c r="IM18" s="5">
        <f>IF(ISERROR(LOOKUP(IM$1,$S18:$HK18,csv!$L18:$HD18)),NA(),LOOKUP(IM$1,$S18:$HK18,csv!$L18:$HD18))</f>
        <v>0</v>
      </c>
      <c r="IN18" s="5">
        <f>IF(ISERROR(LOOKUP(IN$1,$S18:$HK18,csv!$L18:$HD18)),NA(),LOOKUP(IN$1,$S18:$HK18,csv!$L18:$HD18))</f>
        <v>0</v>
      </c>
      <c r="IO18" s="5">
        <f>IF(ISERROR(LOOKUP(IO$1,$S18:$HK18,csv!$L18:$HD18)),NA(),LOOKUP(IO$1,$S18:$HK18,csv!$L18:$HD18))</f>
        <v>0</v>
      </c>
      <c r="IP18" s="5">
        <f>IF(ISERROR(LOOKUP(IP$1,$S18:$HK18,csv!$L18:$HD18)),NA(),LOOKUP(IP$1,$S18:$HK18,csv!$L18:$HD18))</f>
        <v>0</v>
      </c>
      <c r="IQ18" s="5">
        <f>IF(ISERROR(LOOKUP(IQ$1,$S18:$HK18,csv!$L18:$HD18)),NA(),LOOKUP(IQ$1,$S18:$HK18,csv!$L18:$HD18))</f>
        <v>0</v>
      </c>
      <c r="IR18" s="5">
        <f>IF(ISERROR(LOOKUP(IR$1,$S18:$HK18,csv!$L18:$HD18)),NA(),LOOKUP(IR$1,$S18:$HK18,csv!$L18:$HD18))</f>
        <v>0</v>
      </c>
      <c r="IS18" s="5">
        <f>IF(ISERROR(LOOKUP(IS$1,$S18:$HK18,csv!$L18:$HD18)),NA(),LOOKUP(IS$1,$S18:$HK18,csv!$L18:$HD18))</f>
        <v>0</v>
      </c>
      <c r="IT18" s="5">
        <f>IF(ISERROR(LOOKUP(IT$1,$S18:$HK18,csv!$L18:$HD18)),NA(),LOOKUP(IT$1,$S18:$HK18,csv!$L18:$HD18))</f>
        <v>0</v>
      </c>
      <c r="IU18" s="5">
        <f>IF(ISERROR(LOOKUP(IU$1,$S18:$HK18,csv!$L18:$HD18)),NA(),LOOKUP(IU$1,$S18:$HK18,csv!$L18:$HD18))</f>
        <v>0</v>
      </c>
      <c r="IV18" s="5">
        <f>IF(ISERROR(LOOKUP(IV$1,$S18:$HK18,csv!$L18:$HD18)),NA(),LOOKUP(IV$1,$S18:$HK18,csv!$L18:$HD18))</f>
        <v>0</v>
      </c>
      <c r="IW18" s="5">
        <f>IF(ISERROR(LOOKUP(IW$1,$S18:$HK18,csv!$L18:$HD18)),NA(),LOOKUP(IW$1,$S18:$HK18,csv!$L18:$HD18))</f>
        <v>0</v>
      </c>
      <c r="IX18" s="5">
        <f>IF(ISERROR(LOOKUP(IX$1,$S18:$HK18,csv!$L18:$HD18)),NA(),LOOKUP(IX$1,$S18:$HK18,csv!$L18:$HD18))</f>
        <v>0</v>
      </c>
      <c r="IY18" s="5">
        <f>IF(ISERROR(LOOKUP(IY$1,$S18:$HK18,csv!$L18:$HD18)),NA(),LOOKUP(IY$1,$S18:$HK18,csv!$L18:$HD18))</f>
        <v>0</v>
      </c>
      <c r="IZ18" s="5">
        <f>IF(ISERROR(LOOKUP(IZ$1,$S18:$HK18,csv!$L18:$HD18)),NA(),LOOKUP(IZ$1,$S18:$HK18,csv!$L18:$HD18))</f>
        <v>0</v>
      </c>
      <c r="JA18" s="5">
        <f>IF(ISERROR(LOOKUP(JA$1,$S18:$HK18,csv!$L18:$HD18)),NA(),LOOKUP(JA$1,$S18:$HK18,csv!$L18:$HD18))</f>
        <v>0</v>
      </c>
      <c r="JB18" s="5">
        <f>IF(ISERROR(LOOKUP(JB$1,$S18:$HK18,csv!$L18:$HD18)),NA(),LOOKUP(JB$1,$S18:$HK18,csv!$L18:$HD18))</f>
        <v>0</v>
      </c>
      <c r="JC18" s="5">
        <f>IF(ISERROR(LOOKUP(JC$1,$S18:$HK18,csv!$L18:$HD18)),NA(),LOOKUP(JC$1,$S18:$HK18,csv!$L18:$HD18))</f>
        <v>0</v>
      </c>
      <c r="JD18" s="5">
        <f>IF(ISERROR(LOOKUP(JD$1,$S18:$HK18,csv!$L18:$HD18)),NA(),LOOKUP(JD$1,$S18:$HK18,csv!$L18:$HD18))</f>
        <v>0</v>
      </c>
      <c r="JE18" s="5">
        <f>IF(ISERROR(LOOKUP(JE$1,$S18:$HK18,csv!$L18:$HD18)),NA(),LOOKUP(JE$1,$S18:$HK18,csv!$L18:$HD18))</f>
        <v>0</v>
      </c>
      <c r="JF18" s="5">
        <f>IF(ISERROR(LOOKUP(JF$1,$S18:$HK18,csv!$L18:$HD18)),NA(),LOOKUP(JF$1,$S18:$HK18,csv!$L18:$HD18))</f>
        <v>0</v>
      </c>
      <c r="JG18" s="5">
        <f>IF(ISERROR(LOOKUP(JG$1,$S18:$HK18,csv!$L18:$HD18)),NA(),LOOKUP(JG$1,$S18:$HK18,csv!$L18:$HD18))</f>
        <v>0</v>
      </c>
      <c r="JH18" s="5">
        <f>IF(ISERROR(LOOKUP(JH$1,$S18:$HK18,csv!$L18:$HD18)),NA(),LOOKUP(JH$1,$S18:$HK18,csv!$L18:$HD18))</f>
        <v>0</v>
      </c>
      <c r="JI18" s="5">
        <f>IF(ISERROR(LOOKUP(JI$1,$S18:$HK18,csv!$L18:$HD18)),NA(),LOOKUP(JI$1,$S18:$HK18,csv!$L18:$HD18))</f>
        <v>0</v>
      </c>
      <c r="JJ18" s="5">
        <f>IF(ISERROR(LOOKUP(JJ$1,$S18:$HK18,csv!$L18:$HD18)),NA(),LOOKUP(JJ$1,$S18:$HK18,csv!$L18:$HD18))</f>
        <v>0</v>
      </c>
      <c r="JK18" s="5">
        <f>IF(ISERROR(LOOKUP(JK$1,$S18:$HK18,csv!$L18:$HD18)),NA(),LOOKUP(JK$1,$S18:$HK18,csv!$L18:$HD18))</f>
        <v>0</v>
      </c>
      <c r="JL18" s="5">
        <f>IF(ISERROR(LOOKUP(JL$1,$S18:$HK18,csv!$L18:$HD18)),NA(),LOOKUP(JL$1,$S18:$HK18,csv!$L18:$HD18))</f>
        <v>0</v>
      </c>
      <c r="JM18" s="5">
        <f>IF(ISERROR(LOOKUP(JM$1,$S18:$HK18,csv!$L18:$HD18)),NA(),LOOKUP(JM$1,$S18:$HK18,csv!$L18:$HD18))</f>
        <v>0</v>
      </c>
      <c r="JN18" s="5">
        <f>IF(ISERROR(LOOKUP(JN$1,$S18:$HK18,csv!$L18:$HD18)),NA(),LOOKUP(JN$1,$S18:$HK18,csv!$L18:$HD18))</f>
        <v>0</v>
      </c>
      <c r="JO18" s="5">
        <f>IF(ISERROR(LOOKUP(JO$1,$S18:$HK18,csv!$L18:$HD18)),NA(),LOOKUP(JO$1,$S18:$HK18,csv!$L18:$HD18))</f>
        <v>0</v>
      </c>
      <c r="JP18" s="5">
        <f>IF(ISERROR(LOOKUP(JP$1,$S18:$HK18,csv!$L18:$HD18)),NA(),LOOKUP(JP$1,$S18:$HK18,csv!$L18:$HD18))</f>
        <v>0</v>
      </c>
      <c r="JQ18" s="5">
        <f>IF(ISERROR(LOOKUP(JQ$1,$S18:$HK18,csv!$L18:$HD18)),NA(),LOOKUP(JQ$1,$S18:$HK18,csv!$L18:$HD18))</f>
        <v>0</v>
      </c>
      <c r="JR18" s="5">
        <f>IF(ISERROR(LOOKUP(JR$1,$S18:$HK18,csv!$L18:$HD18)),NA(),LOOKUP(JR$1,$S18:$HK18,csv!$L18:$HD18))</f>
        <v>0</v>
      </c>
      <c r="JS18" s="5">
        <f>IF(ISERROR(LOOKUP(JS$1,$S18:$HK18,csv!$L18:$HD18)),NA(),LOOKUP(JS$1,$S18:$HK18,csv!$L18:$HD18))</f>
        <v>0</v>
      </c>
      <c r="JT18" s="5">
        <f>IF(ISERROR(LOOKUP(JT$1,$S18:$HK18,csv!$L18:$HD18)),NA(),LOOKUP(JT$1,$S18:$HK18,csv!$L18:$HD18))</f>
        <v>0</v>
      </c>
      <c r="JU18" s="5">
        <f>IF(ISERROR(LOOKUP(JU$1,$S18:$HK18,csv!$L18:$HD18)),NA(),LOOKUP(JU$1,$S18:$HK18,csv!$L18:$HD18))</f>
        <v>0</v>
      </c>
      <c r="JV18" s="5">
        <f>IF(ISERROR(LOOKUP(JV$1,$S18:$HK18,csv!$L18:$HD18)),NA(),LOOKUP(JV$1,$S18:$HK18,csv!$L18:$HD18))</f>
        <v>0</v>
      </c>
      <c r="JW18" s="5">
        <f>IF(ISERROR(LOOKUP(JW$1,$S18:$HK18,csv!$L18:$HD18)),NA(),LOOKUP(JW$1,$S18:$HK18,csv!$L18:$HD18))</f>
        <v>0</v>
      </c>
      <c r="JX18" s="5">
        <f>IF(ISERROR(LOOKUP(JX$1,$S18:$HK18,csv!$L18:$HD18)),NA(),LOOKUP(JX$1,$S18:$HK18,csv!$L18:$HD18))</f>
        <v>0</v>
      </c>
      <c r="JY18" s="5">
        <f>IF(ISERROR(LOOKUP(JY$1,$S18:$HK18,csv!$L18:$HD18)),NA(),LOOKUP(JY$1,$S18:$HK18,csv!$L18:$HD18))</f>
        <v>0</v>
      </c>
      <c r="JZ18" s="5">
        <f>IF(ISERROR(LOOKUP(JZ$1,$S18:$HK18,csv!$L18:$HD18)),NA(),LOOKUP(JZ$1,$S18:$HK18,csv!$L18:$HD18))</f>
        <v>0</v>
      </c>
      <c r="KA18" s="5">
        <f>IF(ISERROR(LOOKUP(KA$1,$S18:$HK18,csv!$L18:$HD18)),NA(),LOOKUP(KA$1,$S18:$HK18,csv!$L18:$HD18))</f>
        <v>0</v>
      </c>
      <c r="KB18" s="5">
        <f>IF(ISERROR(LOOKUP(KB$1,$S18:$HK18,csv!$L18:$HD18)),NA(),LOOKUP(KB$1,$S18:$HK18,csv!$L18:$HD18))</f>
        <v>0</v>
      </c>
      <c r="KC18" s="5">
        <f>IF(ISERROR(LOOKUP(KC$1,$S18:$HK18,csv!$L18:$HD18)),NA(),LOOKUP(KC$1,$S18:$HK18,csv!$L18:$HD18))</f>
        <v>0</v>
      </c>
      <c r="KD18" s="5">
        <f>IF(ISERROR(LOOKUP(KD$1,$S18:$HK18,csv!$L18:$HD18)),NA(),LOOKUP(KD$1,$S18:$HK18,csv!$L18:$HD18))</f>
        <v>0</v>
      </c>
      <c r="KE18" s="5">
        <f>IF(ISERROR(LOOKUP(KE$1,$S18:$HK18,csv!$L18:$HD18)),NA(),LOOKUP(KE$1,$S18:$HK18,csv!$L18:$HD18))</f>
        <v>0</v>
      </c>
      <c r="KF18" s="5">
        <f>IF(ISERROR(LOOKUP(KF$1,$S18:$HK18,csv!$L18:$HD18)),NA(),LOOKUP(KF$1,$S18:$HK18,csv!$L18:$HD18))</f>
        <v>0</v>
      </c>
      <c r="KG18" s="5">
        <f>IF(ISERROR(LOOKUP(KG$1,$S18:$HK18,csv!$L18:$HD18)),NA(),LOOKUP(KG$1,$S18:$HK18,csv!$L18:$HD18))</f>
        <v>0</v>
      </c>
      <c r="KH18" s="5">
        <f>IF(ISERROR(LOOKUP(KH$1,$S18:$HK18,csv!$L18:$HD18)),NA(),LOOKUP(KH$1,$S18:$HK18,csv!$L18:$HD18))</f>
        <v>0</v>
      </c>
      <c r="KI18" s="5">
        <f>IF(ISERROR(LOOKUP(KI$1,$S18:$HK18,csv!$L18:$HD18)),NA(),LOOKUP(KI$1,$S18:$HK18,csv!$L18:$HD18))</f>
        <v>0</v>
      </c>
      <c r="KJ18" s="5">
        <f>IF(ISERROR(LOOKUP(KJ$1,$S18:$HK18,csv!$L18:$HD18)),NA(),LOOKUP(KJ$1,$S18:$HK18,csv!$L18:$HD18))</f>
        <v>0</v>
      </c>
      <c r="KK18" s="5">
        <f>IF(ISERROR(LOOKUP(KK$1,$S18:$HK18,csv!$L18:$HD18)),NA(),LOOKUP(KK$1,$S18:$HK18,csv!$L18:$HD18))</f>
        <v>0</v>
      </c>
      <c r="KL18" s="5">
        <f>IF(ISERROR(LOOKUP(KL$1,$S18:$HK18,csv!$L18:$HD18)),NA(),LOOKUP(KL$1,$S18:$HK18,csv!$L18:$HD18))</f>
        <v>0</v>
      </c>
      <c r="KM18" s="5">
        <f>IF(ISERROR(LOOKUP(KM$1,$S18:$HK18,csv!$L18:$HD18)),NA(),LOOKUP(KM$1,$S18:$HK18,csv!$L18:$HD18))</f>
        <v>0</v>
      </c>
      <c r="KN18" s="5">
        <f>IF(ISERROR(LOOKUP(KN$1,$S18:$HK18,csv!$L18:$HD18)),NA(),LOOKUP(KN$1,$S18:$HK18,csv!$L18:$HD18))</f>
        <v>0</v>
      </c>
      <c r="KO18" s="5">
        <f>IF(ISERROR(LOOKUP(KO$1,$S18:$HK18,csv!$L18:$HD18)),NA(),LOOKUP(KO$1,$S18:$HK18,csv!$L18:$HD18))</f>
        <v>0</v>
      </c>
      <c r="KP18" s="5">
        <f>IF(ISERROR(LOOKUP(KP$1,$S18:$HK18,csv!$L18:$HD18)),NA(),LOOKUP(KP$1,$S18:$HK18,csv!$L18:$HD18))</f>
        <v>0</v>
      </c>
      <c r="KQ18" s="5">
        <f>IF(ISERROR(LOOKUP(KQ$1,$S18:$HK18,csv!$L18:$HD18)),NA(),LOOKUP(KQ$1,$S18:$HK18,csv!$L18:$HD18))</f>
        <v>0</v>
      </c>
      <c r="KR18" s="5">
        <f>IF(ISERROR(LOOKUP(KR$1,$S18:$HK18,csv!$L18:$HD18)),NA(),LOOKUP(KR$1,$S18:$HK18,csv!$L18:$HD18))</f>
        <v>0</v>
      </c>
      <c r="KS18" s="5">
        <f>IF(ISERROR(LOOKUP(KS$1,$S18:$HK18,csv!$L18:$HD18)),NA(),LOOKUP(KS$1,$S18:$HK18,csv!$L18:$HD18))</f>
        <v>0</v>
      </c>
      <c r="KT18" s="5">
        <f>IF(ISERROR(LOOKUP(KT$1,$S18:$HK18,csv!$L18:$HD18)),NA(),LOOKUP(KT$1,$S18:$HK18,csv!$L18:$HD18))</f>
        <v>0</v>
      </c>
      <c r="KU18" s="5">
        <f>IF(ISERROR(LOOKUP(KU$1,$S18:$HK18,csv!$L18:$HD18)),NA(),LOOKUP(KU$1,$S18:$HK18,csv!$L18:$HD18))</f>
        <v>0</v>
      </c>
      <c r="KV18" s="5">
        <f>IF(ISERROR(LOOKUP(KV$1,$S18:$HK18,csv!$L18:$HD18)),NA(),LOOKUP(KV$1,$S18:$HK18,csv!$L18:$HD18))</f>
        <v>0</v>
      </c>
      <c r="KW18" s="5">
        <f>IF(ISERROR(LOOKUP(KW$1,$S18:$HK18,csv!$L18:$HD18)),NA(),LOOKUP(KW$1,$S18:$HK18,csv!$L18:$HD18))</f>
        <v>0</v>
      </c>
      <c r="KX18" s="5">
        <f>IF(ISERROR(LOOKUP(KX$1,$S18:$HK18,csv!$L18:$HD18)),NA(),LOOKUP(KX$1,$S18:$HK18,csv!$L18:$HD18))</f>
        <v>0</v>
      </c>
      <c r="KY18" s="5">
        <f>IF(ISERROR(LOOKUP(KY$1,$S18:$HK18,csv!$L18:$HD18)),NA(),LOOKUP(KY$1,$S18:$HK18,csv!$L18:$HD18))</f>
        <v>0</v>
      </c>
      <c r="KZ18" s="5">
        <f>IF(ISERROR(LOOKUP(KZ$1,$S18:$HK18,csv!$L18:$HD18)),NA(),LOOKUP(KZ$1,$S18:$HK18,csv!$L18:$HD18))</f>
        <v>0</v>
      </c>
      <c r="LA18" s="5">
        <f>IF(ISERROR(LOOKUP(LA$1,$S18:$HK18,csv!$L18:$HD18)),NA(),LOOKUP(LA$1,$S18:$HK18,csv!$L18:$HD18))</f>
        <v>0</v>
      </c>
      <c r="LB18" s="5">
        <f>IF(ISERROR(LOOKUP(LB$1,$S18:$HK18,csv!$L18:$HD18)),NA(),LOOKUP(LB$1,$S18:$HK18,csv!$L18:$HD18))</f>
        <v>0</v>
      </c>
      <c r="LC18" s="5">
        <f>IF(ISERROR(LOOKUP(LC$1,$S18:$HK18,csv!$L18:$HD18)),NA(),LOOKUP(LC$1,$S18:$HK18,csv!$L18:$HD18))</f>
        <v>0</v>
      </c>
      <c r="LD18" s="5">
        <f>IF(ISERROR(LOOKUP(LD$1,$S18:$HK18,csv!$L18:$HD18)),NA(),LOOKUP(LD$1,$S18:$HK18,csv!$L18:$HD18))</f>
        <v>0</v>
      </c>
      <c r="LE18" s="5">
        <f>IF(ISERROR(LOOKUP(LE$1,$S18:$HK18,csv!$L18:$HD18)),NA(),LOOKUP(LE$1,$S18:$HK18,csv!$L18:$HD18))</f>
        <v>0</v>
      </c>
      <c r="LF18" s="5">
        <f>IF(ISERROR(LOOKUP(LF$1,$S18:$HK18,csv!$L18:$HD18)),NA(),LOOKUP(LF$1,$S18:$HK18,csv!$L18:$HD18))</f>
        <v>0</v>
      </c>
      <c r="LG18" s="5">
        <f>IF(ISERROR(LOOKUP(LG$1,$S18:$HK18,csv!$L18:$HD18)),NA(),LOOKUP(LG$1,$S18:$HK18,csv!$L18:$HD18))</f>
        <v>0</v>
      </c>
      <c r="LH18" s="5">
        <f>IF(ISERROR(LOOKUP(LH$1,$S18:$HK18,csv!$L18:$HD18)),NA(),LOOKUP(LH$1,$S18:$HK18,csv!$L18:$HD18))</f>
        <v>0</v>
      </c>
      <c r="LI18" s="5">
        <f>IF(ISERROR(LOOKUP(LI$1,$S18:$HK18,csv!$L18:$HD18)),NA(),LOOKUP(LI$1,$S18:$HK18,csv!$L18:$HD18))</f>
        <v>0</v>
      </c>
      <c r="LJ18" s="5">
        <f>IF(ISERROR(LOOKUP(LJ$1,$S18:$HK18,csv!$L18:$HD18)),NA(),LOOKUP(LJ$1,$S18:$HK18,csv!$L18:$HD18))</f>
        <v>0</v>
      </c>
      <c r="LK18" s="5">
        <f>IF(ISERROR(LOOKUP(LK$1,$S18:$HK18,csv!$L18:$HD18)),NA(),LOOKUP(LK$1,$S18:$HK18,csv!$L18:$HD18))</f>
        <v>0</v>
      </c>
      <c r="LL18" s="5">
        <f>IF(ISERROR(LOOKUP(LL$1,$S18:$HK18,csv!$L18:$HD18)),NA(),LOOKUP(LL$1,$S18:$HK18,csv!$L18:$HD18))</f>
        <v>0</v>
      </c>
      <c r="LM18" s="5">
        <f>IF(ISERROR(LOOKUP(LM$1,$S18:$HK18,csv!$L18:$HD18)),NA(),LOOKUP(LM$1,$S18:$HK18,csv!$L18:$HD18))</f>
        <v>0</v>
      </c>
      <c r="LN18" s="5">
        <f>IF(ISERROR(LOOKUP(LN$1,$S18:$HK18,csv!$L18:$HD18)),NA(),LOOKUP(LN$1,$S18:$HK18,csv!$L18:$HD18))</f>
        <v>0</v>
      </c>
      <c r="LO18" s="5">
        <f>IF(ISERROR(LOOKUP(LO$1,$S18:$HK18,csv!$L18:$HD18)),NA(),LOOKUP(LO$1,$S18:$HK18,csv!$L18:$HD18))</f>
        <v>0</v>
      </c>
      <c r="LP18" s="5">
        <f>IF(ISERROR(LOOKUP(LP$1,$S18:$HK18,csv!$L18:$HD18)),NA(),LOOKUP(LP$1,$S18:$HK18,csv!$L18:$HD18))</f>
        <v>0</v>
      </c>
      <c r="LQ18" s="5">
        <f>IF(ISERROR(LOOKUP(LQ$1,$S18:$HK18,csv!$L18:$HD18)),NA(),LOOKUP(LQ$1,$S18:$HK18,csv!$L18:$HD18))</f>
        <v>0</v>
      </c>
      <c r="LR18" s="5">
        <f>IF(ISERROR(LOOKUP(LR$1,$S18:$HK18,csv!$L18:$HD18)),NA(),LOOKUP(LR$1,$S18:$HK18,csv!$L18:$HD18))</f>
        <v>0</v>
      </c>
      <c r="LS18" s="5">
        <f>IF(ISERROR(LOOKUP(LS$1,$S18:$HK18,csv!$L18:$HD18)),NA(),LOOKUP(LS$1,$S18:$HK18,csv!$L18:$HD18))</f>
        <v>0</v>
      </c>
      <c r="LT18" s="5">
        <f>IF(ISERROR(LOOKUP(LT$1,$S18:$HK18,csv!$L18:$HD18)),NA(),LOOKUP(LT$1,$S18:$HK18,csv!$L18:$HD18))</f>
        <v>0</v>
      </c>
      <c r="LU18" s="5">
        <f>IF(ISERROR(LOOKUP(LU$1,$S18:$HK18,csv!$L18:$HD18)),NA(),LOOKUP(LU$1,$S18:$HK18,csv!$L18:$HD18))</f>
        <v>0</v>
      </c>
      <c r="LV18" s="5">
        <f>IF(ISERROR(LOOKUP(LV$1,$S18:$HK18,csv!$L18:$HD18)),NA(),LOOKUP(LV$1,$S18:$HK18,csv!$L18:$HD18))</f>
        <v>0</v>
      </c>
      <c r="LW18" s="5">
        <f>IF(ISERROR(LOOKUP(LW$1,$S18:$HK18,csv!$L18:$HD18)),NA(),LOOKUP(LW$1,$S18:$HK18,csv!$L18:$HD18))</f>
        <v>0</v>
      </c>
      <c r="LX18" s="5">
        <f>IF(ISERROR(LOOKUP(LX$1,$S18:$HK18,csv!$L18:$HD18)),NA(),LOOKUP(LX$1,$S18:$HK18,csv!$L18:$HD18))</f>
        <v>0</v>
      </c>
      <c r="LY18" s="5">
        <f>IF(ISERROR(LOOKUP(LY$1,$S18:$HK18,csv!$L18:$HD18)),NA(),LOOKUP(LY$1,$S18:$HK18,csv!$L18:$HD18))</f>
        <v>0</v>
      </c>
      <c r="LZ18" s="5">
        <f>IF(ISERROR(LOOKUP(LZ$1,$S18:$HK18,csv!$L18:$HD18)),NA(),LOOKUP(LZ$1,$S18:$HK18,csv!$L18:$HD18))</f>
        <v>0</v>
      </c>
      <c r="MA18" s="5">
        <f>IF(ISERROR(LOOKUP(MA$1,$S18:$HK18,csv!$L18:$HD18)),NA(),LOOKUP(MA$1,$S18:$HK18,csv!$L18:$HD18))</f>
        <v>0</v>
      </c>
      <c r="MB18" s="5">
        <f>IF(ISERROR(LOOKUP(MB$1,$S18:$HK18,csv!$L18:$HD18)),NA(),LOOKUP(MB$1,$S18:$HK18,csv!$L18:$HD18))</f>
        <v>0</v>
      </c>
      <c r="MC18" s="5">
        <f>IF(ISERROR(LOOKUP(MC$1,$S18:$HK18,csv!$L18:$HD18)),NA(),LOOKUP(MC$1,$S18:$HK18,csv!$L18:$HD18))</f>
        <v>0</v>
      </c>
      <c r="MD18" s="5">
        <f>IF(ISERROR(LOOKUP(MD$1,$S18:$HK18,csv!$L18:$HD18)),NA(),LOOKUP(MD$1,$S18:$HK18,csv!$L18:$HD18))</f>
        <v>0</v>
      </c>
      <c r="ME18" s="5">
        <f>IF(ISERROR(LOOKUP(ME$1,$S18:$HK18,csv!$L18:$HD18)),NA(),LOOKUP(ME$1,$S18:$HK18,csv!$L18:$HD18))</f>
        <v>0</v>
      </c>
      <c r="MF18" s="5">
        <f>IF(ISERROR(LOOKUP(MF$1,$S18:$HK18,csv!$L18:$HD18)),NA(),LOOKUP(MF$1,$S18:$HK18,csv!$L18:$HD18))</f>
        <v>0</v>
      </c>
      <c r="MG18" s="5">
        <f>IF(ISERROR(LOOKUP(MG$1,$S18:$HK18,csv!$L18:$HD18)),NA(),LOOKUP(MG$1,$S18:$HK18,csv!$L18:$HD18))</f>
        <v>0</v>
      </c>
      <c r="MH18" s="5">
        <f>IF(ISERROR(LOOKUP(MH$1,$S18:$HK18,csv!$L18:$HD18)),NA(),LOOKUP(MH$1,$S18:$HK18,csv!$L18:$HD18))</f>
        <v>0</v>
      </c>
      <c r="MI18" s="5">
        <f>IF(ISERROR(LOOKUP(MI$1,$S18:$HK18,csv!$L18:$HD18)),NA(),LOOKUP(MI$1,$S18:$HK18,csv!$L18:$HD18))</f>
        <v>0</v>
      </c>
      <c r="MJ18" s="5">
        <f>IF(ISERROR(LOOKUP(MJ$1,$S18:$HK18,csv!$L18:$HD18)),NA(),LOOKUP(MJ$1,$S18:$HK18,csv!$L18:$HD18))</f>
        <v>0</v>
      </c>
      <c r="MK18" s="5">
        <f>IF(ISERROR(LOOKUP(MK$1,$S18:$HK18,csv!$L18:$HD18)),NA(),LOOKUP(MK$1,$S18:$HK18,csv!$L18:$HD18))</f>
        <v>0</v>
      </c>
      <c r="ML18" s="5">
        <f>IF(ISERROR(LOOKUP(ML$1,$S18:$HK18,csv!$L18:$HD18)),NA(),LOOKUP(ML$1,$S18:$HK18,csv!$L18:$HD18))</f>
        <v>0</v>
      </c>
      <c r="MM18" s="5">
        <f>IF(ISERROR(LOOKUP(MM$1,$S18:$HK18,csv!$L18:$HD18)),NA(),LOOKUP(MM$1,$S18:$HK18,csv!$L18:$HD18))</f>
        <v>0</v>
      </c>
      <c r="MN18" s="5">
        <f>IF(ISERROR(LOOKUP(MN$1,$S18:$HK18,csv!$L18:$HD18)),NA(),LOOKUP(MN$1,$S18:$HK18,csv!$L18:$HD18))</f>
        <v>0</v>
      </c>
      <c r="MO18" s="5">
        <f>IF(ISERROR(LOOKUP(MO$1,$S18:$HK18,csv!$L18:$HD18)),NA(),LOOKUP(MO$1,$S18:$HK18,csv!$L18:$HD18))</f>
        <v>0</v>
      </c>
      <c r="MP18" s="5">
        <f>IF(ISERROR(LOOKUP(MP$1,$S18:$HK18,csv!$L18:$HD18)),NA(),LOOKUP(MP$1,$S18:$HK18,csv!$L18:$HD18))</f>
        <v>0</v>
      </c>
      <c r="MQ18" s="5">
        <f>IF(ISERROR(LOOKUP(MQ$1,$S18:$HK18,csv!$L18:$HD18)),NA(),LOOKUP(MQ$1,$S18:$HK18,csv!$L18:$HD18))</f>
        <v>0</v>
      </c>
      <c r="MR18" s="5">
        <f>IF(ISERROR(LOOKUP(MR$1,$S18:$HK18,csv!$L18:$HD18)),NA(),LOOKUP(MR$1,$S18:$HK18,csv!$L18:$HD18))</f>
        <v>0</v>
      </c>
      <c r="MS18" s="5">
        <f>IF(ISERROR(LOOKUP(MS$1,$S18:$HK18,csv!$L18:$HD18)),NA(),LOOKUP(MS$1,$S18:$HK18,csv!$L18:$HD18))</f>
        <v>0</v>
      </c>
      <c r="MT18" s="5">
        <f>IF(ISERROR(LOOKUP(MT$1,$S18:$HK18,csv!$L18:$HD18)),NA(),LOOKUP(MT$1,$S18:$HK18,csv!$L18:$HD18))</f>
        <v>0</v>
      </c>
      <c r="MU18" s="5">
        <f>IF(ISERROR(LOOKUP(MU$1,$S18:$HK18,csv!$L18:$HD18)),NA(),LOOKUP(MU$1,$S18:$HK18,csv!$L18:$HD18))</f>
        <v>0</v>
      </c>
      <c r="MV18" s="5">
        <f>IF(ISERROR(LOOKUP(MV$1,$S18:$HK18,csv!$L18:$HD18)),NA(),LOOKUP(MV$1,$S18:$HK18,csv!$L18:$HD18))</f>
        <v>0</v>
      </c>
      <c r="MW18" s="5">
        <f>IF(ISERROR(LOOKUP(MW$1,$S18:$HK18,csv!$L18:$HD18)),NA(),LOOKUP(MW$1,$S18:$HK18,csv!$L18:$HD18))</f>
        <v>0</v>
      </c>
      <c r="MX18" s="5">
        <f>IF(ISERROR(LOOKUP(MX$1,$S18:$HK18,csv!$L18:$HD18)),NA(),LOOKUP(MX$1,$S18:$HK18,csv!$L18:$HD18))</f>
        <v>0</v>
      </c>
      <c r="MY18" s="5">
        <f>IF(ISERROR(LOOKUP(MY$1,$S18:$HK18,csv!$L18:$HD18)),NA(),LOOKUP(MY$1,$S18:$HK18,csv!$L18:$HD18))</f>
        <v>0</v>
      </c>
      <c r="MZ18" s="5">
        <f>IF(ISERROR(LOOKUP(MZ$1,$S18:$HK18,csv!$L18:$HD18)),NA(),LOOKUP(MZ$1,$S18:$HK18,csv!$L18:$HD18))</f>
        <v>0</v>
      </c>
      <c r="NA18" s="5">
        <f>IF(ISERROR(LOOKUP(NA$1,$S18:$HK18,csv!$L18:$HD18)),NA(),LOOKUP(NA$1,$S18:$HK18,csv!$L18:$HD18))</f>
        <v>0</v>
      </c>
      <c r="NB18" s="5">
        <f>IF(ISERROR(LOOKUP(NB$1,$S18:$HK18,csv!$L18:$HD18)),NA(),LOOKUP(NB$1,$S18:$HK18,csv!$L18:$HD18))</f>
        <v>0</v>
      </c>
      <c r="NC18" s="5">
        <f>IF(ISERROR(LOOKUP(NC$1,$S18:$HK18,csv!$L18:$HD18)),NA(),LOOKUP(NC$1,$S18:$HK18,csv!$L18:$HD18))</f>
        <v>0</v>
      </c>
      <c r="ND18" s="5">
        <f>IF(ISERROR(LOOKUP(ND$1,$S18:$HK18,csv!$L18:$HD18)),NA(),LOOKUP(ND$1,$S18:$HK18,csv!$L18:$HD18))</f>
        <v>0</v>
      </c>
      <c r="NE18" s="5">
        <f>IF(ISERROR(LOOKUP(NE$1,$S18:$HK18,csv!$L18:$HD18)),NA(),LOOKUP(NE$1,$S18:$HK18,csv!$L18:$HD18))</f>
        <v>0</v>
      </c>
      <c r="NF18" s="5">
        <f>IF(ISERROR(LOOKUP(NF$1,$S18:$HK18,csv!$L18:$HD18)),NA(),LOOKUP(NF$1,$S18:$HK18,csv!$L18:$HD18))</f>
        <v>0</v>
      </c>
      <c r="NG18" s="5">
        <f>IF(ISERROR(LOOKUP(NG$1,$S18:$HK18,csv!$L18:$HD18)),NA(),LOOKUP(NG$1,$S18:$HK18,csv!$L18:$HD18))</f>
        <v>0</v>
      </c>
      <c r="NH18" s="5">
        <f>IF(ISERROR(LOOKUP(NH$1,$S18:$HK18,csv!$L18:$HD18)),NA(),LOOKUP(NH$1,$S18:$HK18,csv!$L18:$HD18))</f>
        <v>0</v>
      </c>
      <c r="NI18" s="5">
        <f>IF(ISERROR(LOOKUP(NI$1,$S18:$HK18,csv!$L18:$HD18)),NA(),LOOKUP(NI$1,$S18:$HK18,csv!$L18:$HD18))</f>
        <v>0</v>
      </c>
      <c r="NJ18" s="5">
        <f>IF(ISERROR(LOOKUP(NJ$1,$S18:$HK18,csv!$L18:$HD18)),NA(),LOOKUP(NJ$1,$S18:$HK18,csv!$L18:$HD18))</f>
        <v>0</v>
      </c>
      <c r="NK18" s="5">
        <f>IF(ISERROR(LOOKUP(NK$1,$S18:$HK18,csv!$L18:$HD18)),NA(),LOOKUP(NK$1,$S18:$HK18,csv!$L18:$HD18))</f>
        <v>0</v>
      </c>
      <c r="NL18" s="5">
        <f>IF(ISERROR(LOOKUP(NL$1,$S18:$HK18,csv!$L18:$HD18)),NA(),LOOKUP(NL$1,$S18:$HK18,csv!$L18:$HD18))</f>
        <v>0</v>
      </c>
      <c r="NM18" s="5">
        <f>IF(ISERROR(LOOKUP(NM$1,$S18:$HK18,csv!$L18:$HD18)),NA(),LOOKUP(NM$1,$S18:$HK18,csv!$L18:$HD18))</f>
        <v>0</v>
      </c>
      <c r="NN18" s="5">
        <f>IF(ISERROR(LOOKUP(NN$1,$S18:$HK18,csv!$L18:$HD18)),NA(),LOOKUP(NN$1,$S18:$HK18,csv!$L18:$HD18))</f>
        <v>0</v>
      </c>
      <c r="NO18" s="5">
        <f>IF(ISERROR(LOOKUP(NO$1,$S18:$HK18,csv!$L18:$HD18)),NA(),LOOKUP(NO$1,$S18:$HK18,csv!$L18:$HD18))</f>
        <v>0</v>
      </c>
      <c r="NP18" s="5">
        <f>IF(ISERROR(LOOKUP(NP$1,$S18:$HK18,csv!$L18:$HD18)),NA(),LOOKUP(NP$1,$S18:$HK18,csv!$L18:$HD18))</f>
        <v>0</v>
      </c>
      <c r="NQ18" s="5">
        <f>IF(ISERROR(LOOKUP(NQ$1,$S18:$HK18,csv!$L18:$HD18)),NA(),LOOKUP(NQ$1,$S18:$HK18,csv!$L18:$HD18))</f>
        <v>0</v>
      </c>
      <c r="NR18" s="5">
        <f>IF(ISERROR(LOOKUP(NR$1,$S18:$HK18,csv!$L18:$HD18)),NA(),LOOKUP(NR$1,$S18:$HK18,csv!$L18:$HD18))</f>
        <v>0</v>
      </c>
      <c r="NS18" s="5">
        <f>IF(ISERROR(LOOKUP(NS$1,$S18:$HK18,csv!$L18:$HD18)),NA(),LOOKUP(NS$1,$S18:$HK18,csv!$L18:$HD18))</f>
        <v>0</v>
      </c>
      <c r="NT18" s="5">
        <f>IF(ISERROR(LOOKUP(NT$1,$S18:$HK18,csv!$L18:$HD18)),NA(),LOOKUP(NT$1,$S18:$HK18,csv!$L18:$HD18))</f>
        <v>0</v>
      </c>
      <c r="NU18" s="5">
        <f>IF(ISERROR(LOOKUP(NU$1,$S18:$HK18,csv!$L18:$HD18)),NA(),LOOKUP(NU$1,$S18:$HK18,csv!$L18:$HD18))</f>
        <v>0</v>
      </c>
      <c r="NV18" s="5">
        <f>IF(ISERROR(LOOKUP(NV$1,$S18:$HK18,csv!$L18:$HD18)),NA(),LOOKUP(NV$1,$S18:$HK18,csv!$L18:$HD18))</f>
        <v>0</v>
      </c>
      <c r="NW18" s="5">
        <f>IF(ISERROR(LOOKUP(NW$1,$S18:$HK18,csv!$L18:$HD18)),NA(),LOOKUP(NW$1,$S18:$HK18,csv!$L18:$HD18))</f>
        <v>0</v>
      </c>
      <c r="NX18" s="5">
        <f>IF(ISERROR(LOOKUP(NX$1,$S18:$HK18,csv!$L18:$HD18)),NA(),LOOKUP(NX$1,$S18:$HK18,csv!$L18:$HD18))</f>
        <v>0</v>
      </c>
      <c r="NY18" s="5">
        <f>IF(ISERROR(LOOKUP(NY$1,$S18:$HK18,csv!$L18:$HD18)),NA(),LOOKUP(NY$1,$S18:$HK18,csv!$L18:$HD18))</f>
        <v>0</v>
      </c>
      <c r="NZ18" s="5">
        <f>IF(ISERROR(LOOKUP(NZ$1,$S18:$HK18,csv!$L18:$HD18)),NA(),LOOKUP(NZ$1,$S18:$HK18,csv!$L18:$HD18))</f>
        <v>0</v>
      </c>
      <c r="OA18" s="5">
        <f>IF(ISERROR(LOOKUP(OA$1,$S18:$HK18,csv!$L18:$HD18)),NA(),LOOKUP(OA$1,$S18:$HK18,csv!$L18:$HD18))</f>
        <v>0</v>
      </c>
      <c r="OB18" s="5">
        <f>IF(ISERROR(LOOKUP(OB$1,$S18:$HK18,csv!$L18:$HD18)),NA(),LOOKUP(OB$1,$S18:$HK18,csv!$L18:$HD18))</f>
        <v>0</v>
      </c>
      <c r="OC18" s="5">
        <f>IF(ISERROR(LOOKUP(OC$1,$S18:$HK18,csv!$L18:$HD18)),NA(),LOOKUP(OC$1,$S18:$HK18,csv!$L18:$HD18))</f>
        <v>0</v>
      </c>
      <c r="OD18" s="5">
        <f>IF(ISERROR(LOOKUP(OD$1,$S18:$HK18,csv!$L18:$HD18)),NA(),LOOKUP(OD$1,$S18:$HK18,csv!$L18:$HD18))</f>
        <v>0</v>
      </c>
      <c r="OE18" s="5">
        <f>IF(ISERROR(LOOKUP(OE$1,$S18:$HK18,csv!$L18:$HD18)),NA(),LOOKUP(OE$1,$S18:$HK18,csv!$L18:$HD18))</f>
        <v>0</v>
      </c>
      <c r="OF18" s="5">
        <f>IF(ISERROR(LOOKUP(OF$1,$S18:$HK18,csv!$L18:$HD18)),NA(),LOOKUP(OF$1,$S18:$HK18,csv!$L18:$HD18))</f>
        <v>0</v>
      </c>
      <c r="OG18" s="5">
        <f>IF(ISERROR(LOOKUP(OG$1,$S18:$HK18,csv!$L18:$HD18)),NA(),LOOKUP(OG$1,$S18:$HK18,csv!$L18:$HD18))</f>
        <v>0</v>
      </c>
      <c r="OH18" s="5">
        <f>IF(ISERROR(LOOKUP(OH$1,$S18:$HK18,csv!$L18:$HD18)),NA(),LOOKUP(OH$1,$S18:$HK18,csv!$L18:$HD18))</f>
        <v>0</v>
      </c>
      <c r="OI18" s="5">
        <f>IF(ISERROR(LOOKUP(OI$1,$S18:$HK18,csv!$L18:$HD18)),NA(),LOOKUP(OI$1,$S18:$HK18,csv!$L18:$HD18))</f>
        <v>0</v>
      </c>
      <c r="OJ18" s="5">
        <f>IF(ISERROR(LOOKUP(OJ$1,$S18:$HK18,csv!$L18:$HD18)),NA(),LOOKUP(OJ$1,$S18:$HK18,csv!$L18:$HD18))</f>
        <v>0</v>
      </c>
      <c r="OK18" s="5">
        <f>IF(ISERROR(LOOKUP(OK$1,$S18:$HK18,csv!$L18:$HD18)),NA(),LOOKUP(OK$1,$S18:$HK18,csv!$L18:$HD18))</f>
        <v>0</v>
      </c>
      <c r="OL18" s="5">
        <f>IF(ISERROR(LOOKUP(OL$1,$S18:$HK18,csv!$L18:$HD18)),NA(),LOOKUP(OL$1,$S18:$HK18,csv!$L18:$HD18))</f>
        <v>0</v>
      </c>
      <c r="OM18" s="5">
        <f>IF(ISERROR(LOOKUP(OM$1,$S18:$HK18,csv!$L18:$HD18)),NA(),LOOKUP(OM$1,$S18:$HK18,csv!$L18:$HD18))</f>
        <v>0</v>
      </c>
      <c r="ON18" s="5">
        <f>IF(ISERROR(LOOKUP(ON$1,$S18:$HK18,csv!$L18:$HD18)),NA(),LOOKUP(ON$1,$S18:$HK18,csv!$L18:$HD18))</f>
        <v>0</v>
      </c>
      <c r="OO18" s="5">
        <f>IF(ISERROR(LOOKUP(OO$1,$S18:$HK18,csv!$L18:$HD18)),NA(),LOOKUP(OO$1,$S18:$HK18,csv!$L18:$HD18))</f>
        <v>0</v>
      </c>
      <c r="OP18" s="5">
        <f>IF(ISERROR(LOOKUP(OP$1,$S18:$HK18,csv!$L18:$HD18)),NA(),LOOKUP(OP$1,$S18:$HK18,csv!$L18:$HD18))</f>
        <v>0</v>
      </c>
      <c r="OQ18" s="5">
        <f>IF(ISERROR(LOOKUP(OQ$1,$S18:$HK18,csv!$L18:$HD18)),NA(),LOOKUP(OQ$1,$S18:$HK18,csv!$L18:$HD18))</f>
        <v>0</v>
      </c>
      <c r="OR18" s="5">
        <f>IF(ISERROR(LOOKUP(OR$1,$S18:$HK18,csv!$L18:$HD18)),NA(),LOOKUP(OR$1,$S18:$HK18,csv!$L18:$HD18))</f>
        <v>0</v>
      </c>
      <c r="OS18" s="5">
        <f>IF(ISERROR(LOOKUP(OS$1,$S18:$HK18,csv!$L18:$HD18)),NA(),LOOKUP(OS$1,$S18:$HK18,csv!$L18:$HD18))</f>
        <v>0</v>
      </c>
      <c r="OT18" s="5">
        <f>IF(ISERROR(LOOKUP(OT$1,$S18:$HK18,csv!$L18:$HD18)),NA(),LOOKUP(OT$1,$S18:$HK18,csv!$L18:$HD18))</f>
        <v>0</v>
      </c>
      <c r="OU18" s="5">
        <f>IF(ISERROR(LOOKUP(OU$1,$S18:$HK18,csv!$L18:$HD18)),NA(),LOOKUP(OU$1,$S18:$HK18,csv!$L18:$HD18))</f>
        <v>0</v>
      </c>
      <c r="OV18" s="5">
        <f>IF(ISERROR(LOOKUP(OV$1,$S18:$HK18,csv!$L18:$HD18)),NA(),LOOKUP(OV$1,$S18:$HK18,csv!$L18:$HD18))</f>
        <v>0</v>
      </c>
      <c r="OW18" s="5">
        <f>IF(ISERROR(LOOKUP(OW$1,$S18:$HK18,csv!$L18:$HD18)),NA(),LOOKUP(OW$1,$S18:$HK18,csv!$L18:$HD18))</f>
        <v>0</v>
      </c>
      <c r="OX18" s="5">
        <f>IF(ISERROR(LOOKUP(OX$1,$S18:$HK18,csv!$L18:$HD18)),NA(),LOOKUP(OX$1,$S18:$HK18,csv!$L18:$HD18))</f>
        <v>0</v>
      </c>
      <c r="OY18" s="5">
        <f>IF(ISERROR(LOOKUP(OY$1,$S18:$HK18,csv!$L18:$HD18)),NA(),LOOKUP(OY$1,$S18:$HK18,csv!$L18:$HD18))</f>
        <v>0</v>
      </c>
      <c r="OZ18" s="5">
        <f>IF(ISERROR(LOOKUP(OZ$1,$S18:$HK18,csv!$L18:$HD18)),NA(),LOOKUP(OZ$1,$S18:$HK18,csv!$L18:$HD18))</f>
        <v>0</v>
      </c>
      <c r="PA18" s="5">
        <f>IF(ISERROR(LOOKUP(PA$1,$S18:$HK18,csv!$L18:$HD18)),NA(),LOOKUP(PA$1,$S18:$HK18,csv!$L18:$HD18))</f>
        <v>0</v>
      </c>
      <c r="PB18" s="5">
        <f>IF(ISERROR(LOOKUP(PB$1,$S18:$HK18,csv!$L18:$HD18)),NA(),LOOKUP(PB$1,$S18:$HK18,csv!$L18:$HD18))</f>
        <v>0</v>
      </c>
      <c r="PC18" s="5">
        <f>IF(ISERROR(LOOKUP(PC$1,$S18:$HK18,csv!$L18:$HD18)),NA(),LOOKUP(PC$1,$S18:$HK18,csv!$L18:$HD18))</f>
        <v>0</v>
      </c>
      <c r="PD18" s="5">
        <f>IF(ISERROR(LOOKUP(PD$1,$S18:$HK18,csv!$L18:$HD18)),NA(),LOOKUP(PD$1,$S18:$HK18,csv!$L18:$HD18))</f>
        <v>0</v>
      </c>
      <c r="PE18" s="5">
        <f>IF(ISERROR(LOOKUP(PE$1,$S18:$HK18,csv!$L18:$HD18)),NA(),LOOKUP(PE$1,$S18:$HK18,csv!$L18:$HD18))</f>
        <v>0</v>
      </c>
      <c r="PF18" s="5">
        <f>IF(ISERROR(LOOKUP(PF$1,$S18:$HK18,csv!$L18:$HD18)),NA(),LOOKUP(PF$1,$S18:$HK18,csv!$L18:$HD18))</f>
        <v>0</v>
      </c>
      <c r="PG18" s="5">
        <f>IF(ISERROR(LOOKUP(PG$1,$S18:$HK18,csv!$L18:$HD18)),NA(),LOOKUP(PG$1,$S18:$HK18,csv!$L18:$HD18))</f>
        <v>0</v>
      </c>
      <c r="PH18" s="5">
        <f>IF(ISERROR(LOOKUP(PH$1,$S18:$HK18,csv!$L18:$HD18)),NA(),LOOKUP(PH$1,$S18:$HK18,csv!$L18:$HD18))</f>
        <v>0</v>
      </c>
      <c r="PI18" s="5">
        <f>IF(ISERROR(LOOKUP(PI$1,$S18:$HK18,csv!$L18:$HD18)),NA(),LOOKUP(PI$1,$S18:$HK18,csv!$L18:$HD18))</f>
        <v>0</v>
      </c>
      <c r="PJ18" s="5">
        <f>IF(ISERROR(LOOKUP(PJ$1,$S18:$HK18,csv!$L18:$HD18)),NA(),LOOKUP(PJ$1,$S18:$HK18,csv!$L18:$HD18))</f>
        <v>0</v>
      </c>
      <c r="PK18" s="5">
        <f>IF(ISERROR(LOOKUP(PK$1,$S18:$HK18,csv!$L18:$HD18)),NA(),LOOKUP(PK$1,$S18:$HK18,csv!$L18:$HD18))</f>
        <v>0</v>
      </c>
      <c r="PL18" s="5">
        <f>IF(ISERROR(LOOKUP(PL$1,$S18:$HK18,csv!$L18:$HD18)),NA(),LOOKUP(PL$1,$S18:$HK18,csv!$L18:$HD18))</f>
        <v>0</v>
      </c>
      <c r="PM18" s="5">
        <f>IF(ISERROR(LOOKUP(PM$1,$S18:$HK18,csv!$L18:$HD18)),NA(),LOOKUP(PM$1,$S18:$HK18,csv!$L18:$HD18))</f>
        <v>0</v>
      </c>
      <c r="PN18" s="5">
        <f>IF(ISERROR(LOOKUP(PN$1,$S18:$HK18,csv!$L18:$HD18)),NA(),LOOKUP(PN$1,$S18:$HK18,csv!$L18:$HD18))</f>
        <v>0</v>
      </c>
      <c r="PO18" s="5">
        <f>IF(ISERROR(LOOKUP(PO$1,$S18:$HK18,csv!$L18:$HD18)),NA(),LOOKUP(PO$1,$S18:$HK18,csv!$L18:$HD18))</f>
        <v>0</v>
      </c>
      <c r="PP18" s="5">
        <f>IF(ISERROR(LOOKUP(PP$1,$S18:$HK18,csv!$L18:$HD18)),NA(),LOOKUP(PP$1,$S18:$HK18,csv!$L18:$HD18))</f>
        <v>0</v>
      </c>
      <c r="PQ18" s="5">
        <f>IF(ISERROR(LOOKUP(PQ$1,$S18:$HK18,csv!$L18:$HD18)),NA(),LOOKUP(PQ$1,$S18:$HK18,csv!$L18:$HD18))</f>
        <v>0</v>
      </c>
      <c r="PR18" s="5">
        <f>IF(ISERROR(LOOKUP(PR$1,$S18:$HK18,csv!$L18:$HD18)),NA(),LOOKUP(PR$1,$S18:$HK18,csv!$L18:$HD18))</f>
        <v>0</v>
      </c>
      <c r="PS18" s="5">
        <f>IF(ISERROR(LOOKUP(PS$1,$S18:$HK18,csv!$L18:$HD18)),NA(),LOOKUP(PS$1,$S18:$HK18,csv!$L18:$HD18))</f>
        <v>0</v>
      </c>
      <c r="PT18" s="5">
        <f>IF(ISERROR(LOOKUP(PT$1,$S18:$HK18,csv!$L18:$HD18)),NA(),LOOKUP(PT$1,$S18:$HK18,csv!$L18:$HD18))</f>
        <v>0</v>
      </c>
      <c r="PU18" s="5">
        <f>IF(ISERROR(LOOKUP(PU$1,$S18:$HK18,csv!$L18:$HD18)),NA(),LOOKUP(PU$1,$S18:$HK18,csv!$L18:$HD18))</f>
        <v>0</v>
      </c>
      <c r="PV18" s="5">
        <f>IF(ISERROR(LOOKUP(PV$1,$S18:$HK18,csv!$L18:$HD18)),NA(),LOOKUP(PV$1,$S18:$HK18,csv!$L18:$HD18))</f>
        <v>0</v>
      </c>
      <c r="PW18" s="5">
        <f>IF(ISERROR(LOOKUP(PW$1,$S18:$HK18,csv!$L18:$HD18)),NA(),LOOKUP(PW$1,$S18:$HK18,csv!$L18:$HD18))</f>
        <v>0</v>
      </c>
      <c r="PX18" s="5">
        <f>IF(ISERROR(LOOKUP(PX$1,$S18:$HK18,csv!$L18:$HD18)),NA(),LOOKUP(PX$1,$S18:$HK18,csv!$L18:$HD18))</f>
        <v>0</v>
      </c>
      <c r="PY18" s="5">
        <f>IF(ISERROR(LOOKUP(PY$1,$S18:$HK18,csv!$L18:$HD18)),NA(),LOOKUP(PY$1,$S18:$HK18,csv!$L18:$HD18))</f>
        <v>0</v>
      </c>
      <c r="PZ18" s="5">
        <f>IF(ISERROR(LOOKUP(PZ$1,$S18:$HK18,csv!$L18:$HD18)),NA(),LOOKUP(PZ$1,$S18:$HK18,csv!$L18:$HD18))</f>
        <v>0</v>
      </c>
      <c r="QA18" s="5">
        <f>IF(ISERROR(LOOKUP(QA$1,$S18:$HK18,csv!$L18:$HD18)),NA(),LOOKUP(QA$1,$S18:$HK18,csv!$L18:$HD18))</f>
        <v>0</v>
      </c>
      <c r="QB18" s="5">
        <f>IF(ISERROR(LOOKUP(QB$1,$S18:$HK18,csv!$L18:$HD18)),NA(),LOOKUP(QB$1,$S18:$HK18,csv!$L18:$HD18))</f>
        <v>0</v>
      </c>
      <c r="QC18" s="5">
        <f>IF(ISERROR(LOOKUP(QC$1,$S18:$HK18,csv!$L18:$HD18)),NA(),LOOKUP(QC$1,$S18:$HK18,csv!$L18:$HD18))</f>
        <v>0</v>
      </c>
      <c r="QD18" s="5">
        <f>IF(ISERROR(LOOKUP(QD$1,$S18:$HK18,csv!$L18:$HD18)),NA(),LOOKUP(QD$1,$S18:$HK18,csv!$L18:$HD18))</f>
        <v>0</v>
      </c>
      <c r="QE18" s="5">
        <f>IF(ISERROR(LOOKUP(QE$1,$S18:$HK18,csv!$L18:$HD18)),NA(),LOOKUP(QE$1,$S18:$HK18,csv!$L18:$HD18))</f>
        <v>0</v>
      </c>
      <c r="QF18" s="5">
        <f>IF(ISERROR(LOOKUP(QF$1,$S18:$HK18,csv!$L18:$HD18)),NA(),LOOKUP(QF$1,$S18:$HK18,csv!$L18:$HD18))</f>
        <v>0</v>
      </c>
      <c r="QG18" s="5">
        <f>IF(ISERROR(LOOKUP(QG$1,$S18:$HK18,csv!$L18:$HD18)),NA(),LOOKUP(QG$1,$S18:$HK18,csv!$L18:$HD18))</f>
        <v>0</v>
      </c>
      <c r="QH18" s="5">
        <f>IF(ISERROR(LOOKUP(QH$1,$S18:$HK18,csv!$L18:$HD18)),NA(),LOOKUP(QH$1,$S18:$HK18,csv!$L18:$HD18))</f>
        <v>0</v>
      </c>
      <c r="QI18" s="5">
        <f>IF(ISERROR(LOOKUP(QI$1,$S18:$HK18,csv!$L18:$HD18)),NA(),LOOKUP(QI$1,$S18:$HK18,csv!$L18:$HD18))</f>
        <v>0</v>
      </c>
      <c r="QJ18" s="5">
        <f>IF(ISERROR(LOOKUP(QJ$1,$S18:$HK18,csv!$L18:$HD18)),NA(),LOOKUP(QJ$1,$S18:$HK18,csv!$L18:$HD18))</f>
        <v>0</v>
      </c>
      <c r="QK18" s="5">
        <f>IF(ISERROR(LOOKUP(QK$1,$S18:$HK18,csv!$L18:$HD18)),NA(),LOOKUP(QK$1,$S18:$HK18,csv!$L18:$HD18))</f>
        <v>0</v>
      </c>
      <c r="QL18" s="5">
        <f>IF(ISERROR(LOOKUP(QL$1,$S18:$HK18,csv!$L18:$HD18)),NA(),LOOKUP(QL$1,$S18:$HK18,csv!$L18:$HD18))</f>
        <v>0</v>
      </c>
      <c r="QM18" s="5">
        <f>IF(ISERROR(LOOKUP(QM$1,$S18:$HK18,csv!$L18:$HD18)),NA(),LOOKUP(QM$1,$S18:$HK18,csv!$L18:$HD18))</f>
        <v>0</v>
      </c>
      <c r="QN18" s="5">
        <f>IF(ISERROR(LOOKUP(QN$1,$S18:$HK18,csv!$L18:$HD18)),NA(),LOOKUP(QN$1,$S18:$HK18,csv!$L18:$HD18))</f>
        <v>0</v>
      </c>
      <c r="QO18" s="5">
        <f>IF(ISERROR(LOOKUP(QO$1,$S18:$HK18,csv!$L18:$HD18)),NA(),LOOKUP(QO$1,$S18:$HK18,csv!$L18:$HD18))</f>
        <v>0</v>
      </c>
      <c r="QP18" s="5">
        <f>IF(ISERROR(LOOKUP(QP$1,$S18:$HK18,csv!$L18:$HD18)),NA(),LOOKUP(QP$1,$S18:$HK18,csv!$L18:$HD18))</f>
        <v>0</v>
      </c>
      <c r="QQ18" s="5">
        <f>IF(ISERROR(LOOKUP(QQ$1,$S18:$HK18,csv!$L18:$HD18)),NA(),LOOKUP(QQ$1,$S18:$HK18,csv!$L18:$HD18))</f>
        <v>0</v>
      </c>
      <c r="QR18" s="5">
        <f>IF(ISERROR(LOOKUP(QR$1,$S18:$HK18,csv!$L18:$HD18)),NA(),LOOKUP(QR$1,$S18:$HK18,csv!$L18:$HD18))</f>
        <v>0</v>
      </c>
      <c r="QS18" s="5">
        <f>IF(ISERROR(LOOKUP(QS$1,$S18:$HK18,csv!$L18:$HD18)),NA(),LOOKUP(QS$1,$S18:$HK18,csv!$L18:$HD18))</f>
        <v>0</v>
      </c>
      <c r="QT18" s="5">
        <f>IF(ISERROR(LOOKUP(QT$1,$S18:$HK18,csv!$L18:$HD18)),NA(),LOOKUP(QT$1,$S18:$HK18,csv!$L18:$HD18))</f>
        <v>0</v>
      </c>
      <c r="QU18" s="5">
        <f>IF(ISERROR(LOOKUP(QU$1,$S18:$HK18,csv!$L18:$HD18)),NA(),LOOKUP(QU$1,$S18:$HK18,csv!$L18:$HD18))</f>
        <v>0</v>
      </c>
      <c r="QV18" s="5">
        <f>IF(ISERROR(LOOKUP(QV$1,$S18:$HK18,csv!$L18:$HD18)),NA(),LOOKUP(QV$1,$S18:$HK18,csv!$L18:$HD18))</f>
        <v>0</v>
      </c>
      <c r="QW18" s="5">
        <f>IF(ISERROR(LOOKUP(QW$1,$S18:$HK18,csv!$L18:$HD18)),NA(),LOOKUP(QW$1,$S18:$HK18,csv!$L18:$HD18))</f>
        <v>0</v>
      </c>
      <c r="QX18" s="5">
        <f>IF(ISERROR(LOOKUP(QX$1,$S18:$HK18,csv!$L18:$HD18)),NA(),LOOKUP(QX$1,$S18:$HK18,csv!$L18:$HD18))</f>
        <v>0</v>
      </c>
      <c r="QY18" s="5">
        <f>IF(ISERROR(LOOKUP(QY$1,$S18:$HK18,csv!$L18:$HD18)),NA(),LOOKUP(QY$1,$S18:$HK18,csv!$L18:$HD18))</f>
        <v>0</v>
      </c>
      <c r="QZ18" s="5">
        <f>IF(ISERROR(LOOKUP(QZ$1,$S18:$HK18,csv!$L18:$HD18)),NA(),LOOKUP(QZ$1,$S18:$HK18,csv!$L18:$HD18))</f>
        <v>0</v>
      </c>
      <c r="RA18" s="5">
        <f>IF(ISERROR(LOOKUP(RA$1,$S18:$HK18,csv!$L18:$HD18)),NA(),LOOKUP(RA$1,$S18:$HK18,csv!$L18:$HD18))</f>
        <v>0</v>
      </c>
      <c r="RB18" s="5">
        <f>IF(ISERROR(LOOKUP(RB$1,$S18:$HK18,csv!$L18:$HD18)),NA(),LOOKUP(RB$1,$S18:$HK18,csv!$L18:$HD18))</f>
        <v>0</v>
      </c>
      <c r="RC18" s="5">
        <f>IF(ISERROR(LOOKUP(RC$1,$S18:$HK18,csv!$L18:$HD18)),NA(),LOOKUP(RC$1,$S18:$HK18,csv!$L18:$HD18))</f>
        <v>0</v>
      </c>
      <c r="RD18" s="5">
        <f>IF(ISERROR(LOOKUP(RD$1,$S18:$HK18,csv!$L18:$HD18)),NA(),LOOKUP(RD$1,$S18:$HK18,csv!$L18:$HD18))</f>
        <v>0</v>
      </c>
      <c r="RE18" s="5">
        <f>IF(ISERROR(LOOKUP(RE$1,$S18:$HK18,csv!$L18:$HD18)),NA(),LOOKUP(RE$1,$S18:$HK18,csv!$L18:$HD18))</f>
        <v>0</v>
      </c>
      <c r="RF18" s="5">
        <f>IF(ISERROR(LOOKUP(RF$1,$S18:$HK18,csv!$L18:$HD18)),NA(),LOOKUP(RF$1,$S18:$HK18,csv!$L18:$HD18))</f>
        <v>0</v>
      </c>
      <c r="RG18" s="5">
        <f>IF(ISERROR(LOOKUP(RG$1,$S18:$HK18,csv!$L18:$HD18)),NA(),LOOKUP(RG$1,$S18:$HK18,csv!$L18:$HD18))</f>
        <v>0</v>
      </c>
      <c r="RH18" s="5">
        <f>IF(ISERROR(LOOKUP(RH$1,$S18:$HK18,csv!$L18:$HD18)),NA(),LOOKUP(RH$1,$S18:$HK18,csv!$L18:$HD18))</f>
        <v>0</v>
      </c>
      <c r="RI18" s="5">
        <f>IF(ISERROR(LOOKUP(RI$1,$S18:$HK18,csv!$L18:$HD18)),NA(),LOOKUP(RI$1,$S18:$HK18,csv!$L18:$HD18))</f>
        <v>0</v>
      </c>
      <c r="RJ18" s="5">
        <f>IF(ISERROR(LOOKUP(RJ$1,$S18:$HK18,csv!$L18:$HD18)),NA(),LOOKUP(RJ$1,$S18:$HK18,csv!$L18:$HD18))</f>
        <v>0</v>
      </c>
      <c r="RK18" s="5">
        <f>IF(ISERROR(LOOKUP(RK$1,$S18:$HK18,csv!$L18:$HD18)),NA(),LOOKUP(RK$1,$S18:$HK18,csv!$L18:$HD18))</f>
        <v>0</v>
      </c>
      <c r="RL18" s="5">
        <f>IF(ISERROR(LOOKUP(RL$1,$S18:$HK18,csv!$L18:$HD18)),NA(),LOOKUP(RL$1,$S18:$HK18,csv!$L18:$HD18))</f>
        <v>0</v>
      </c>
      <c r="RM18" s="5">
        <f>IF(ISERROR(LOOKUP(RM$1,$S18:$HK18,csv!$L18:$HD18)),NA(),LOOKUP(RM$1,$S18:$HK18,csv!$L18:$HD18))</f>
        <v>0</v>
      </c>
      <c r="RN18" s="5">
        <f>IF(ISERROR(LOOKUP(RN$1,$S18:$HK18,csv!$L18:$HD18)),NA(),LOOKUP(RN$1,$S18:$HK18,csv!$L18:$HD18))</f>
        <v>0</v>
      </c>
      <c r="RO18" s="5">
        <f>IF(ISERROR(LOOKUP(RO$1,$S18:$HK18,csv!$L18:$HD18)),NA(),LOOKUP(RO$1,$S18:$HK18,csv!$L18:$HD18))</f>
        <v>0</v>
      </c>
      <c r="RP18" s="5">
        <f>IF(ISERROR(LOOKUP(RP$1,$S18:$HK18,csv!$L18:$HD18)),NA(),LOOKUP(RP$1,$S18:$HK18,csv!$L18:$HD18))</f>
        <v>0</v>
      </c>
      <c r="RQ18" s="5">
        <f>IF(ISERROR(LOOKUP(RQ$1,$S18:$HK18,csv!$L18:$HD18)),NA(),LOOKUP(RQ$1,$S18:$HK18,csv!$L18:$HD18))</f>
        <v>0</v>
      </c>
      <c r="RR18" s="5">
        <f>IF(ISERROR(LOOKUP(RR$1,$S18:$HK18,csv!$L18:$HD18)),NA(),LOOKUP(RR$1,$S18:$HK18,csv!$L18:$HD18))</f>
        <v>0</v>
      </c>
      <c r="RS18" s="5">
        <f>IF(ISERROR(LOOKUP(RS$1,$S18:$HK18,csv!$L18:$HD18)),NA(),LOOKUP(RS$1,$S18:$HK18,csv!$L18:$HD18))</f>
        <v>0</v>
      </c>
      <c r="RT18" s="5">
        <f>IF(ISERROR(LOOKUP(RT$1,$S18:$HK18,csv!$L18:$HD18)),NA(),LOOKUP(RT$1,$S18:$HK18,csv!$L18:$HD18))</f>
        <v>0</v>
      </c>
      <c r="RU18" s="5">
        <f>IF(ISERROR(LOOKUP(RU$1,$S18:$HK18,csv!$L18:$HD18)),NA(),LOOKUP(RU$1,$S18:$HK18,csv!$L18:$HD18))</f>
        <v>0</v>
      </c>
      <c r="RV18" s="5">
        <f>IF(ISERROR(LOOKUP(RV$1,$S18:$HK18,csv!$L18:$HD18)),NA(),LOOKUP(RV$1,$S18:$HK18,csv!$L18:$HD18))</f>
        <v>0</v>
      </c>
      <c r="RW18" s="5">
        <f>IF(ISERROR(LOOKUP(RW$1,$S18:$HK18,csv!$L18:$HD18)),NA(),LOOKUP(RW$1,$S18:$HK18,csv!$L18:$HD18))</f>
        <v>0</v>
      </c>
      <c r="RX18" s="5">
        <f>IF(ISERROR(LOOKUP(RX$1,$S18:$HK18,csv!$L18:$HD18)),NA(),LOOKUP(RX$1,$S18:$HK18,csv!$L18:$HD18))</f>
        <v>0</v>
      </c>
      <c r="RY18" s="5">
        <f>IF(ISERROR(LOOKUP(RY$1,$S18:$HK18,csv!$L18:$HD18)),NA(),LOOKUP(RY$1,$S18:$HK18,csv!$L18:$HD18))</f>
        <v>0</v>
      </c>
      <c r="RZ18" s="5">
        <f>IF(ISERROR(LOOKUP(RZ$1,$S18:$HK18,csv!$L18:$HD18)),NA(),LOOKUP(RZ$1,$S18:$HK18,csv!$L18:$HD18))</f>
        <v>0</v>
      </c>
      <c r="SA18" s="5">
        <f>IF(ISERROR(LOOKUP(SA$1,$S18:$HK18,csv!$L18:$HD18)),NA(),LOOKUP(SA$1,$S18:$HK18,csv!$L18:$HD18))</f>
        <v>0</v>
      </c>
      <c r="SB18" s="5">
        <f>IF(ISERROR(LOOKUP(SB$1,$S18:$HK18,csv!$L18:$HD18)),NA(),LOOKUP(SB$1,$S18:$HK18,csv!$L18:$HD18))</f>
        <v>0</v>
      </c>
      <c r="SC18" s="5">
        <f>IF(ISERROR(LOOKUP(SC$1,$S18:$HK18,csv!$L18:$HD18)),NA(),LOOKUP(SC$1,$S18:$HK18,csv!$L18:$HD18))</f>
        <v>0</v>
      </c>
      <c r="SD18" s="5">
        <f>IF(ISERROR(LOOKUP(SD$1,$S18:$HK18,csv!$L18:$HD18)),NA(),LOOKUP(SD$1,$S18:$HK18,csv!$L18:$HD18))</f>
        <v>0</v>
      </c>
      <c r="SE18" s="5">
        <f>IF(ISERROR(LOOKUP(SE$1,$S18:$HK18,csv!$L18:$HD18)),NA(),LOOKUP(SE$1,$S18:$HK18,csv!$L18:$HD18))</f>
        <v>0</v>
      </c>
      <c r="SF18" s="5">
        <f>IF(ISERROR(LOOKUP(SF$1,$S18:$HK18,csv!$L18:$HD18)),NA(),LOOKUP(SF$1,$S18:$HK18,csv!$L18:$HD18))</f>
        <v>0</v>
      </c>
      <c r="SG18" s="5">
        <f>IF(ISERROR(LOOKUP(SG$1,$S18:$HK18,csv!$L18:$HD18)),NA(),LOOKUP(SG$1,$S18:$HK18,csv!$L18:$HD18))</f>
        <v>0</v>
      </c>
      <c r="SH18" s="5">
        <f>IF(ISERROR(LOOKUP(SH$1,$S18:$HK18,csv!$L18:$HD18)),NA(),LOOKUP(SH$1,$S18:$HK18,csv!$L18:$HD18))</f>
        <v>0</v>
      </c>
      <c r="SI18" s="5">
        <f>IF(ISERROR(LOOKUP(SI$1,$S18:$HK18,csv!$L18:$HD18)),NA(),LOOKUP(SI$1,$S18:$HK18,csv!$L18:$HD18))</f>
        <v>0</v>
      </c>
      <c r="SJ18" s="5">
        <f>IF(ISERROR(LOOKUP(SJ$1,$S18:$HK18,csv!$L18:$HD18)),NA(),LOOKUP(SJ$1,$S18:$HK18,csv!$L18:$HD18))</f>
        <v>0</v>
      </c>
      <c r="SK18" s="5">
        <f>IF(ISERROR(LOOKUP(SK$1,$S18:$HK18,csv!$L18:$HD18)),NA(),LOOKUP(SK$1,$S18:$HK18,csv!$L18:$HD18))</f>
        <v>0</v>
      </c>
      <c r="SL18" s="5">
        <f>IF(ISERROR(LOOKUP(SL$1,$S18:$HK18,csv!$L18:$HD18)),NA(),LOOKUP(SL$1,$S18:$HK18,csv!$L18:$HD18))</f>
        <v>0</v>
      </c>
      <c r="SM18" s="5">
        <f>IF(ISERROR(LOOKUP(SM$1,$S18:$HK18,csv!$L18:$HD18)),NA(),LOOKUP(SM$1,$S18:$HK18,csv!$L18:$HD18))</f>
        <v>0</v>
      </c>
      <c r="SN18" s="5">
        <f>IF(ISERROR(LOOKUP(SN$1,$S18:$HK18,csv!$L18:$HD18)),NA(),LOOKUP(SN$1,$S18:$HK18,csv!$L18:$HD18))</f>
        <v>0</v>
      </c>
      <c r="SO18" s="5">
        <f>IF(ISERROR(LOOKUP(SO$1,$S18:$HK18,csv!$L18:$HD18)),NA(),LOOKUP(SO$1,$S18:$HK18,csv!$L18:$HD18))</f>
        <v>0</v>
      </c>
      <c r="SP18" s="5">
        <f>IF(ISERROR(LOOKUP(SP$1,$S18:$HK18,csv!$L18:$HD18)),NA(),LOOKUP(SP$1,$S18:$HK18,csv!$L18:$HD18))</f>
        <v>0</v>
      </c>
      <c r="SQ18" s="5">
        <f>IF(ISERROR(LOOKUP(SQ$1,$S18:$HK18,csv!$L18:$HD18)),NA(),LOOKUP(SQ$1,$S18:$HK18,csv!$L18:$HD18))</f>
        <v>0</v>
      </c>
      <c r="SR18" s="5">
        <f>IF(ISERROR(LOOKUP(SR$1,$S18:$HK18,csv!$L18:$HD18)),NA(),LOOKUP(SR$1,$S18:$HK18,csv!$L18:$HD18))</f>
        <v>0</v>
      </c>
      <c r="SS18" s="5">
        <f>IF(ISERROR(LOOKUP(SS$1,$S18:$HK18,csv!$L18:$HD18)),NA(),LOOKUP(SS$1,$S18:$HK18,csv!$L18:$HD18))</f>
        <v>0</v>
      </c>
      <c r="ST18" s="5">
        <f>IF(ISERROR(LOOKUP(ST$1,$S18:$HK18,csv!$L18:$HD18)),NA(),LOOKUP(ST$1,$S18:$HK18,csv!$L18:$HD18))</f>
        <v>0</v>
      </c>
      <c r="SU18" s="5">
        <f>IF(ISERROR(LOOKUP(SU$1,$S18:$HK18,csv!$L18:$HD18)),NA(),LOOKUP(SU$1,$S18:$HK18,csv!$L18:$HD18))</f>
        <v>0</v>
      </c>
      <c r="SV18" s="5">
        <f>IF(ISERROR(LOOKUP(SV$1,$S18:$HK18,csv!$L18:$HD18)),NA(),LOOKUP(SV$1,$S18:$HK18,csv!$L18:$HD18))</f>
        <v>0</v>
      </c>
      <c r="SW18" s="5">
        <f>IF(ISERROR(LOOKUP(SW$1,$S18:$HK18,csv!$L18:$HD18)),NA(),LOOKUP(SW$1,$S18:$HK18,csv!$L18:$HD18))</f>
        <v>0</v>
      </c>
      <c r="SX18" s="5">
        <f>IF(ISERROR(LOOKUP(SX$1,$S18:$HK18,csv!$L18:$HD18)),NA(),LOOKUP(SX$1,$S18:$HK18,csv!$L18:$HD18))</f>
        <v>0</v>
      </c>
      <c r="SY18" s="5">
        <f>IF(ISERROR(LOOKUP(SY$1,$S18:$HK18,csv!$L18:$HD18)),NA(),LOOKUP(SY$1,$S18:$HK18,csv!$L18:$HD18))</f>
        <v>0</v>
      </c>
      <c r="SZ18" s="5">
        <f>IF(ISERROR(LOOKUP(SZ$1,$S18:$HK18,csv!$L18:$HD18)),NA(),LOOKUP(SZ$1,$S18:$HK18,csv!$L18:$HD18))</f>
        <v>0</v>
      </c>
      <c r="TA18" s="5">
        <f>IF(ISERROR(LOOKUP(TA$1,$S18:$HK18,csv!$L18:$HD18)),NA(),LOOKUP(TA$1,$S18:$HK18,csv!$L18:$HD18))</f>
        <v>0</v>
      </c>
      <c r="TB18" s="5">
        <f>IF(ISERROR(LOOKUP(TB$1,$S18:$HK18,csv!$L18:$HD18)),NA(),LOOKUP(TB$1,$S18:$HK18,csv!$L18:$HD18))</f>
        <v>0</v>
      </c>
      <c r="TD18">
        <f>csv!HG18/10</f>
        <v>0</v>
      </c>
    </row>
    <row r="19" spans="3:524" x14ac:dyDescent="0.15">
      <c r="S19" s="4">
        <f>ROUND((csv!$HG19/10+calc!S$1),1)</f>
        <v>-10</v>
      </c>
      <c r="T19" s="4">
        <f>ROUND((csv!$HG19/10+calc!T$1),1)</f>
        <v>-9.9</v>
      </c>
      <c r="U19" s="4">
        <f>ROUND((csv!$HG19/10+calc!U$1),1)</f>
        <v>-9.8000000000000007</v>
      </c>
      <c r="V19" s="4">
        <f>ROUND((csv!$HG19/10+calc!V$1),1)</f>
        <v>-9.6999999999999993</v>
      </c>
      <c r="W19" s="4">
        <f>ROUND((csv!$HG19/10+calc!W$1),1)</f>
        <v>-9.6</v>
      </c>
      <c r="X19" s="4">
        <f>ROUND((csv!$HG19/10+calc!X$1),1)</f>
        <v>-9.5</v>
      </c>
      <c r="Y19" s="4">
        <f>ROUND((csv!$HG19/10+calc!Y$1),1)</f>
        <v>-9.4</v>
      </c>
      <c r="Z19" s="4">
        <f>ROUND((csv!$HG19/10+calc!Z$1),1)</f>
        <v>-9.3000000000000007</v>
      </c>
      <c r="AA19" s="4">
        <f>ROUND((csv!$HG19/10+calc!AA$1),1)</f>
        <v>-9.1999999999999993</v>
      </c>
      <c r="AB19" s="4">
        <f>ROUND((csv!$HG19/10+calc!AB$1),1)</f>
        <v>-9.1</v>
      </c>
      <c r="AC19" s="4">
        <f>ROUND((csv!$HG19/10+calc!AC$1),1)</f>
        <v>-9</v>
      </c>
      <c r="AD19" s="4">
        <f>ROUND((csv!$HG19/10+calc!AD$1),1)</f>
        <v>-8.9</v>
      </c>
      <c r="AE19" s="4">
        <f>ROUND((csv!$HG19/10+calc!AE$1),1)</f>
        <v>-8.8000000000000007</v>
      </c>
      <c r="AF19" s="4">
        <f>ROUND((csv!$HG19/10+calc!AF$1),1)</f>
        <v>-8.6999999999999993</v>
      </c>
      <c r="AG19" s="4">
        <f>ROUND((csv!$HG19/10+calc!AG$1),1)</f>
        <v>-8.6</v>
      </c>
      <c r="AH19" s="4">
        <f>ROUND((csv!$HG19/10+calc!AH$1),1)</f>
        <v>-8.5</v>
      </c>
      <c r="AI19" s="4">
        <f>ROUND((csv!$HG19/10+calc!AI$1),1)</f>
        <v>-8.4</v>
      </c>
      <c r="AJ19" s="4">
        <f>ROUND((csv!$HG19/10+calc!AJ$1),1)</f>
        <v>-8.3000000000000007</v>
      </c>
      <c r="AK19" s="4">
        <f>ROUND((csv!$HG19/10+calc!AK$1),1)</f>
        <v>-8.1999999999999993</v>
      </c>
      <c r="AL19" s="4">
        <f>ROUND((csv!$HG19/10+calc!AL$1),1)</f>
        <v>-8.1</v>
      </c>
      <c r="AM19" s="4">
        <f>ROUND((csv!$HG19/10+calc!AM$1),1)</f>
        <v>-8</v>
      </c>
      <c r="AN19" s="4">
        <f>ROUND((csv!$HG19/10+calc!AN$1),1)</f>
        <v>-7.9</v>
      </c>
      <c r="AO19" s="4">
        <f>ROUND((csv!$HG19/10+calc!AO$1),1)</f>
        <v>-7.8</v>
      </c>
      <c r="AP19" s="4">
        <f>ROUND((csv!$HG19/10+calc!AP$1),1)</f>
        <v>-7.7</v>
      </c>
      <c r="AQ19" s="4">
        <f>ROUND((csv!$HG19/10+calc!AQ$1),1)</f>
        <v>-7.6</v>
      </c>
      <c r="AR19" s="4">
        <f>ROUND((csv!$HG19/10+calc!AR$1),1)</f>
        <v>-7.5</v>
      </c>
      <c r="AS19" s="4">
        <f>ROUND((csv!$HG19/10+calc!AS$1),1)</f>
        <v>-7.4</v>
      </c>
      <c r="AT19" s="4">
        <f>ROUND((csv!$HG19/10+calc!AT$1),1)</f>
        <v>-7.3</v>
      </c>
      <c r="AU19" s="4">
        <f>ROUND((csv!$HG19/10+calc!AU$1),1)</f>
        <v>-7.2</v>
      </c>
      <c r="AV19" s="4">
        <f>ROUND((csv!$HG19/10+calc!AV$1),1)</f>
        <v>-7.1</v>
      </c>
      <c r="AW19" s="4">
        <f>ROUND((csv!$HG19/10+calc!AW$1),1)</f>
        <v>-7</v>
      </c>
      <c r="AX19" s="4">
        <f>ROUND((csv!$HG19/10+calc!AX$1),1)</f>
        <v>-6.9</v>
      </c>
      <c r="AY19" s="4">
        <f>ROUND((csv!$HG19/10+calc!AY$1),1)</f>
        <v>-6.8</v>
      </c>
      <c r="AZ19" s="4">
        <f>ROUND((csv!$HG19/10+calc!AZ$1),1)</f>
        <v>-6.7</v>
      </c>
      <c r="BA19" s="4">
        <f>ROUND((csv!$HG19/10+calc!BA$1),1)</f>
        <v>-6.6</v>
      </c>
      <c r="BB19" s="4">
        <f>ROUND((csv!$HG19/10+calc!BB$1),1)</f>
        <v>-6.5</v>
      </c>
      <c r="BC19" s="4">
        <f>ROUND((csv!$HG19/10+calc!BC$1),1)</f>
        <v>-6.4</v>
      </c>
      <c r="BD19" s="4">
        <f>ROUND((csv!$HG19/10+calc!BD$1),1)</f>
        <v>-6.3</v>
      </c>
      <c r="BE19" s="4">
        <f>ROUND((csv!$HG19/10+calc!BE$1),1)</f>
        <v>-6.2</v>
      </c>
      <c r="BF19" s="4">
        <f>ROUND((csv!$HG19/10+calc!BF$1),1)</f>
        <v>-6.1</v>
      </c>
      <c r="BG19" s="4">
        <f>ROUND((csv!$HG19/10+calc!BG$1),1)</f>
        <v>-6</v>
      </c>
      <c r="BH19" s="4">
        <f>ROUND((csv!$HG19/10+calc!BH$1),1)</f>
        <v>-5.9</v>
      </c>
      <c r="BI19" s="4">
        <f>ROUND((csv!$HG19/10+calc!BI$1),1)</f>
        <v>-5.8</v>
      </c>
      <c r="BJ19" s="4">
        <f>ROUND((csv!$HG19/10+calc!BJ$1),1)</f>
        <v>-5.7</v>
      </c>
      <c r="BK19" s="4">
        <f>ROUND((csv!$HG19/10+calc!BK$1),1)</f>
        <v>-5.6</v>
      </c>
      <c r="BL19" s="4">
        <f>ROUND((csv!$HG19/10+calc!BL$1),1)</f>
        <v>-5.5</v>
      </c>
      <c r="BM19" s="4">
        <f>ROUND((csv!$HG19/10+calc!BM$1),1)</f>
        <v>-5.4</v>
      </c>
      <c r="BN19" s="4">
        <f>ROUND((csv!$HG19/10+calc!BN$1),1)</f>
        <v>-5.3</v>
      </c>
      <c r="BO19" s="4">
        <f>ROUND((csv!$HG19/10+calc!BO$1),1)</f>
        <v>-5.2</v>
      </c>
      <c r="BP19" s="4">
        <f>ROUND((csv!$HG19/10+calc!BP$1),1)</f>
        <v>-5.0999999999999996</v>
      </c>
      <c r="BQ19" s="4">
        <f>ROUND((csv!$HG19/10+calc!BQ$1),1)</f>
        <v>-5</v>
      </c>
      <c r="BR19" s="4">
        <f>ROUND((csv!$HG19/10+calc!BR$1),1)</f>
        <v>-4.9000000000000004</v>
      </c>
      <c r="BS19" s="4">
        <f>ROUND((csv!$HG19/10+calc!BS$1),1)</f>
        <v>-4.8</v>
      </c>
      <c r="BT19" s="4">
        <f>ROUND((csv!$HG19/10+calc!BT$1),1)</f>
        <v>-4.7</v>
      </c>
      <c r="BU19" s="4">
        <f>ROUND((csv!$HG19/10+calc!BU$1),1)</f>
        <v>-4.5999999999999996</v>
      </c>
      <c r="BV19" s="4">
        <f>ROUND((csv!$HG19/10+calc!BV$1),1)</f>
        <v>-4.5</v>
      </c>
      <c r="BW19" s="4">
        <f>ROUND((csv!$HG19/10+calc!BW$1),1)</f>
        <v>-4.4000000000000004</v>
      </c>
      <c r="BX19" s="4">
        <f>ROUND((csv!$HG19/10+calc!BX$1),1)</f>
        <v>-4.3</v>
      </c>
      <c r="BY19" s="4">
        <f>ROUND((csv!$HG19/10+calc!BY$1),1)</f>
        <v>-4.2</v>
      </c>
      <c r="BZ19" s="4">
        <f>ROUND((csv!$HG19/10+calc!BZ$1),1)</f>
        <v>-4.0999999999999996</v>
      </c>
      <c r="CA19" s="4">
        <f>ROUND((csv!$HG19/10+calc!CA$1),1)</f>
        <v>-4</v>
      </c>
      <c r="CB19" s="4">
        <f>ROUND((csv!$HG19/10+calc!CB$1),1)</f>
        <v>-3.9</v>
      </c>
      <c r="CC19" s="4">
        <f>ROUND((csv!$HG19/10+calc!CC$1),1)</f>
        <v>-3.8</v>
      </c>
      <c r="CD19" s="4">
        <f>ROUND((csv!$HG19/10+calc!CD$1),1)</f>
        <v>-3.7</v>
      </c>
      <c r="CE19" s="4">
        <f>ROUND((csv!$HG19/10+calc!CE$1),1)</f>
        <v>-3.6</v>
      </c>
      <c r="CF19" s="4">
        <f>ROUND((csv!$HG19/10+calc!CF$1),1)</f>
        <v>-3.5</v>
      </c>
      <c r="CG19" s="4">
        <f>ROUND((csv!$HG19/10+calc!CG$1),1)</f>
        <v>-3.4</v>
      </c>
      <c r="CH19" s="4">
        <f>ROUND((csv!$HG19/10+calc!CH$1),1)</f>
        <v>-3.3</v>
      </c>
      <c r="CI19" s="4">
        <f>ROUND((csv!$HG19/10+calc!CI$1),1)</f>
        <v>-3.2</v>
      </c>
      <c r="CJ19" s="4">
        <f>ROUND((csv!$HG19/10+calc!CJ$1),1)</f>
        <v>-3.1</v>
      </c>
      <c r="CK19" s="4">
        <f>ROUND((csv!$HG19/10+calc!CK$1),1)</f>
        <v>-3</v>
      </c>
      <c r="CL19" s="4">
        <f>ROUND((csv!$HG19/10+calc!CL$1),1)</f>
        <v>-2.9</v>
      </c>
      <c r="CM19" s="4">
        <f>ROUND((csv!$HG19/10+calc!CM$1),1)</f>
        <v>-2.8</v>
      </c>
      <c r="CN19" s="4">
        <f>ROUND((csv!$HG19/10+calc!CN$1),1)</f>
        <v>-2.7</v>
      </c>
      <c r="CO19" s="4">
        <f>ROUND((csv!$HG19/10+calc!CO$1),1)</f>
        <v>-2.6</v>
      </c>
      <c r="CP19" s="4">
        <f>ROUND((csv!$HG19/10+calc!CP$1),1)</f>
        <v>-2.5</v>
      </c>
      <c r="CQ19" s="4">
        <f>ROUND((csv!$HG19/10+calc!CQ$1),1)</f>
        <v>-2.4</v>
      </c>
      <c r="CR19" s="4">
        <f>ROUND((csv!$HG19/10+calc!CR$1),1)</f>
        <v>-2.2999999999999998</v>
      </c>
      <c r="CS19" s="4">
        <f>ROUND((csv!$HG19/10+calc!CS$1),1)</f>
        <v>-2.2000000000000002</v>
      </c>
      <c r="CT19" s="4">
        <f>ROUND((csv!$HG19/10+calc!CT$1),1)</f>
        <v>-2.1</v>
      </c>
      <c r="CU19" s="4">
        <f>ROUND((csv!$HG19/10+calc!CU$1),1)</f>
        <v>-2</v>
      </c>
      <c r="CV19" s="4">
        <f>ROUND((csv!$HG19/10+calc!CV$1),1)</f>
        <v>-1.9</v>
      </c>
      <c r="CW19" s="4">
        <f>ROUND((csv!$HG19/10+calc!CW$1),1)</f>
        <v>-1.8</v>
      </c>
      <c r="CX19" s="4">
        <f>ROUND((csv!$HG19/10+calc!CX$1),1)</f>
        <v>-1.7</v>
      </c>
      <c r="CY19" s="4">
        <f>ROUND((csv!$HG19/10+calc!CY$1),1)</f>
        <v>-1.6</v>
      </c>
      <c r="CZ19" s="4">
        <f>ROUND((csv!$HG19/10+calc!CZ$1),1)</f>
        <v>-1.5</v>
      </c>
      <c r="DA19" s="4">
        <f>ROUND((csv!$HG19/10+calc!DA$1),1)</f>
        <v>-1.4</v>
      </c>
      <c r="DB19" s="4">
        <f>ROUND((csv!$HG19/10+calc!DB$1),1)</f>
        <v>-1.3</v>
      </c>
      <c r="DC19" s="4">
        <f>ROUND((csv!$HG19/10+calc!DC$1),1)</f>
        <v>-1.2</v>
      </c>
      <c r="DD19" s="4">
        <f>ROUND((csv!$HG19/10+calc!DD$1),1)</f>
        <v>-1.1000000000000001</v>
      </c>
      <c r="DE19" s="4">
        <f>ROUND((csv!$HG19/10+calc!DE$1),1)</f>
        <v>-1</v>
      </c>
      <c r="DF19" s="4">
        <f>ROUND((csv!$HG19/10+calc!DF$1),1)</f>
        <v>-0.9</v>
      </c>
      <c r="DG19" s="4">
        <f>ROUND((csv!$HG19/10+calc!DG$1),1)</f>
        <v>-0.8</v>
      </c>
      <c r="DH19" s="4">
        <f>ROUND((csv!$HG19/10+calc!DH$1),1)</f>
        <v>-0.7</v>
      </c>
      <c r="DI19" s="4">
        <f>ROUND((csv!$HG19/10+calc!DI$1),1)</f>
        <v>-0.6</v>
      </c>
      <c r="DJ19" s="4">
        <f>ROUND((csv!$HG19/10+calc!DJ$1),1)</f>
        <v>-0.5</v>
      </c>
      <c r="DK19" s="4">
        <f>ROUND((csv!$HG19/10+calc!DK$1),1)</f>
        <v>-0.4</v>
      </c>
      <c r="DL19" s="4">
        <f>ROUND((csv!$HG19/10+calc!DL$1),1)</f>
        <v>-0.3</v>
      </c>
      <c r="DM19" s="4">
        <f>ROUND((csv!$HG19/10+calc!DM$1),1)</f>
        <v>-0.2</v>
      </c>
      <c r="DN19" s="4">
        <f>ROUND((csv!$HG19/10+calc!DN$1),1)</f>
        <v>-0.1</v>
      </c>
      <c r="DO19" s="4">
        <f>ROUND((csv!$HG19/10+calc!DO$1),1)</f>
        <v>0</v>
      </c>
      <c r="DP19" s="4">
        <f>ROUND((csv!$HG19/10+calc!DP$1),1)</f>
        <v>0.1</v>
      </c>
      <c r="DQ19" s="4">
        <f>ROUND((csv!$HG19/10+calc!DQ$1),1)</f>
        <v>0.2</v>
      </c>
      <c r="DR19" s="4">
        <f>ROUND((csv!$HG19/10+calc!DR$1),1)</f>
        <v>0.3</v>
      </c>
      <c r="DS19" s="4">
        <f>ROUND((csv!$HG19/10+calc!DS$1),1)</f>
        <v>0.4</v>
      </c>
      <c r="DT19" s="4">
        <f>ROUND((csv!$HG19/10+calc!DT$1),1)</f>
        <v>0.5</v>
      </c>
      <c r="DU19" s="4">
        <f>ROUND((csv!$HG19/10+calc!DU$1),1)</f>
        <v>0.6</v>
      </c>
      <c r="DV19" s="4">
        <f>ROUND((csv!$HG19/10+calc!DV$1),1)</f>
        <v>0.7</v>
      </c>
      <c r="DW19" s="4">
        <f>ROUND((csv!$HG19/10+calc!DW$1),1)</f>
        <v>0.8</v>
      </c>
      <c r="DX19" s="4">
        <f>ROUND((csv!$HG19/10+calc!DX$1),1)</f>
        <v>0.9</v>
      </c>
      <c r="DY19" s="4">
        <f>ROUND((csv!$HG19/10+calc!DY$1),1)</f>
        <v>1</v>
      </c>
      <c r="DZ19" s="4">
        <f>ROUND((csv!$HG19/10+calc!DZ$1),1)</f>
        <v>1.1000000000000001</v>
      </c>
      <c r="EA19" s="4">
        <f>ROUND((csv!$HG19/10+calc!EA$1),1)</f>
        <v>1.2</v>
      </c>
      <c r="EB19" s="4">
        <f>ROUND((csv!$HG19/10+calc!EB$1),1)</f>
        <v>1.3</v>
      </c>
      <c r="EC19" s="4">
        <f>ROUND((csv!$HG19/10+calc!EC$1),1)</f>
        <v>1.4</v>
      </c>
      <c r="ED19" s="4">
        <f>ROUND((csv!$HG19/10+calc!ED$1),1)</f>
        <v>1.5</v>
      </c>
      <c r="EE19" s="4">
        <f>ROUND((csv!$HG19/10+calc!EE$1),1)</f>
        <v>1.6</v>
      </c>
      <c r="EF19" s="4">
        <f>ROUND((csv!$HG19/10+calc!EF$1),1)</f>
        <v>1.7</v>
      </c>
      <c r="EG19" s="4">
        <f>ROUND((csv!$HG19/10+calc!EG$1),1)</f>
        <v>1.8</v>
      </c>
      <c r="EH19" s="4">
        <f>ROUND((csv!$HG19/10+calc!EH$1),1)</f>
        <v>1.9</v>
      </c>
      <c r="EI19" s="4">
        <f>ROUND((csv!$HG19/10+calc!EI$1),1)</f>
        <v>2</v>
      </c>
      <c r="EJ19" s="4">
        <f>ROUND((csv!$HG19/10+calc!EJ$1),1)</f>
        <v>2.1</v>
      </c>
      <c r="EK19" s="4">
        <f>ROUND((csv!$HG19/10+calc!EK$1),1)</f>
        <v>2.2000000000000002</v>
      </c>
      <c r="EL19" s="4">
        <f>ROUND((csv!$HG19/10+calc!EL$1),1)</f>
        <v>2.2999999999999998</v>
      </c>
      <c r="EM19" s="4">
        <f>ROUND((csv!$HG19/10+calc!EM$1),1)</f>
        <v>2.4</v>
      </c>
      <c r="EN19" s="4">
        <f>ROUND((csv!$HG19/10+calc!EN$1),1)</f>
        <v>2.5</v>
      </c>
      <c r="EO19" s="4">
        <f>ROUND((csv!$HG19/10+calc!EO$1),1)</f>
        <v>2.6</v>
      </c>
      <c r="EP19" s="4">
        <f>ROUND((csv!$HG19/10+calc!EP$1),1)</f>
        <v>2.7</v>
      </c>
      <c r="EQ19" s="4">
        <f>ROUND((csv!$HG19/10+calc!EQ$1),1)</f>
        <v>2.8</v>
      </c>
      <c r="ER19" s="4">
        <f>ROUND((csv!$HG19/10+calc!ER$1),1)</f>
        <v>2.9</v>
      </c>
      <c r="ES19" s="4">
        <f>ROUND((csv!$HG19/10+calc!ES$1),1)</f>
        <v>3</v>
      </c>
      <c r="ET19" s="4">
        <f>ROUND((csv!$HG19/10+calc!ET$1),1)</f>
        <v>3.1</v>
      </c>
      <c r="EU19" s="4">
        <f>ROUND((csv!$HG19/10+calc!EU$1),1)</f>
        <v>3.2</v>
      </c>
      <c r="EV19" s="4">
        <f>ROUND((csv!$HG19/10+calc!EV$1),1)</f>
        <v>3.3</v>
      </c>
      <c r="EW19" s="4">
        <f>ROUND((csv!$HG19/10+calc!EW$1),1)</f>
        <v>3.4</v>
      </c>
      <c r="EX19" s="4">
        <f>ROUND((csv!$HG19/10+calc!EX$1),1)</f>
        <v>3.5</v>
      </c>
      <c r="EY19" s="4">
        <f>ROUND((csv!$HG19/10+calc!EY$1),1)</f>
        <v>3.6</v>
      </c>
      <c r="EZ19" s="4">
        <f>ROUND((csv!$HG19/10+calc!EZ$1),1)</f>
        <v>3.7</v>
      </c>
      <c r="FA19" s="4">
        <f>ROUND((csv!$HG19/10+calc!FA$1),1)</f>
        <v>3.8</v>
      </c>
      <c r="FB19" s="4">
        <f>ROUND((csv!$HG19/10+calc!FB$1),1)</f>
        <v>3.9</v>
      </c>
      <c r="FC19" s="4">
        <f>ROUND((csv!$HG19/10+calc!FC$1),1)</f>
        <v>4</v>
      </c>
      <c r="FD19" s="4">
        <f>ROUND((csv!$HG19/10+calc!FD$1),1)</f>
        <v>4.0999999999999996</v>
      </c>
      <c r="FE19" s="4">
        <f>ROUND((csv!$HG19/10+calc!FE$1),1)</f>
        <v>4.2</v>
      </c>
      <c r="FF19" s="4">
        <f>ROUND((csv!$HG19/10+calc!FF$1),1)</f>
        <v>4.3</v>
      </c>
      <c r="FG19" s="4">
        <f>ROUND((csv!$HG19/10+calc!FG$1),1)</f>
        <v>4.4000000000000004</v>
      </c>
      <c r="FH19" s="4">
        <f>ROUND((csv!$HG19/10+calc!FH$1),1)</f>
        <v>4.5</v>
      </c>
      <c r="FI19" s="4">
        <f>ROUND((csv!$HG19/10+calc!FI$1),1)</f>
        <v>4.5999999999999996</v>
      </c>
      <c r="FJ19" s="4">
        <f>ROUND((csv!$HG19/10+calc!FJ$1),1)</f>
        <v>4.7</v>
      </c>
      <c r="FK19" s="4">
        <f>ROUND((csv!$HG19/10+calc!FK$1),1)</f>
        <v>4.8</v>
      </c>
      <c r="FL19" s="4">
        <f>ROUND((csv!$HG19/10+calc!FL$1),1)</f>
        <v>4.9000000000000004</v>
      </c>
      <c r="FM19" s="4">
        <f>ROUND((csv!$HG19/10+calc!FM$1),1)</f>
        <v>5</v>
      </c>
      <c r="FN19" s="4">
        <f>ROUND((csv!$HG19/10+calc!FN$1),1)</f>
        <v>5.0999999999999996</v>
      </c>
      <c r="FO19" s="4">
        <f>ROUND((csv!$HG19/10+calc!FO$1),1)</f>
        <v>5.2</v>
      </c>
      <c r="FP19" s="4">
        <f>ROUND((csv!$HG19/10+calc!FP$1),1)</f>
        <v>5.3</v>
      </c>
      <c r="FQ19" s="4">
        <f>ROUND((csv!$HG19/10+calc!FQ$1),1)</f>
        <v>5.4</v>
      </c>
      <c r="FR19" s="4">
        <f>ROUND((csv!$HG19/10+calc!FR$1),1)</f>
        <v>5.5</v>
      </c>
      <c r="FS19" s="4">
        <f>ROUND((csv!$HG19/10+calc!FS$1),1)</f>
        <v>5.6</v>
      </c>
      <c r="FT19" s="4">
        <f>ROUND((csv!$HG19/10+calc!FT$1),1)</f>
        <v>5.7</v>
      </c>
      <c r="FU19" s="4">
        <f>ROUND((csv!$HG19/10+calc!FU$1),1)</f>
        <v>5.8</v>
      </c>
      <c r="FV19" s="4">
        <f>ROUND((csv!$HG19/10+calc!FV$1),1)</f>
        <v>5.9</v>
      </c>
      <c r="FW19" s="4">
        <f>ROUND((csv!$HG19/10+calc!FW$1),1)</f>
        <v>6</v>
      </c>
      <c r="FX19" s="4">
        <f>ROUND((csv!$HG19/10+calc!FX$1),1)</f>
        <v>6.1</v>
      </c>
      <c r="FY19" s="4">
        <f>ROUND((csv!$HG19/10+calc!FY$1),1)</f>
        <v>6.2</v>
      </c>
      <c r="FZ19" s="4">
        <f>ROUND((csv!$HG19/10+calc!FZ$1),1)</f>
        <v>6.3</v>
      </c>
      <c r="GA19" s="4">
        <f>ROUND((csv!$HG19/10+calc!GA$1),1)</f>
        <v>6.4</v>
      </c>
      <c r="GB19" s="4">
        <f>ROUND((csv!$HG19/10+calc!GB$1),1)</f>
        <v>6.5</v>
      </c>
      <c r="GC19" s="4">
        <f>ROUND((csv!$HG19/10+calc!GC$1),1)</f>
        <v>6.6</v>
      </c>
      <c r="GD19" s="4">
        <f>ROUND((csv!$HG19/10+calc!GD$1),1)</f>
        <v>6.7</v>
      </c>
      <c r="GE19" s="4">
        <f>ROUND((csv!$HG19/10+calc!GE$1),1)</f>
        <v>6.8</v>
      </c>
      <c r="GF19" s="4">
        <f>ROUND((csv!$HG19/10+calc!GF$1),1)</f>
        <v>6.9</v>
      </c>
      <c r="GG19" s="4">
        <f>ROUND((csv!$HG19/10+calc!GG$1),1)</f>
        <v>7</v>
      </c>
      <c r="GH19" s="4">
        <f>ROUND((csv!$HG19/10+calc!GH$1),1)</f>
        <v>7.1</v>
      </c>
      <c r="GI19" s="4">
        <f>ROUND((csv!$HG19/10+calc!GI$1),1)</f>
        <v>7.2</v>
      </c>
      <c r="GJ19" s="4">
        <f>ROUND((csv!$HG19/10+calc!GJ$1),1)</f>
        <v>7.3</v>
      </c>
      <c r="GK19" s="4">
        <f>ROUND((csv!$HG19/10+calc!GK$1),1)</f>
        <v>7.4</v>
      </c>
      <c r="GL19" s="4">
        <f>ROUND((csv!$HG19/10+calc!GL$1),1)</f>
        <v>7.5</v>
      </c>
      <c r="GM19" s="4">
        <f>ROUND((csv!$HG19/10+calc!GM$1),1)</f>
        <v>7.6</v>
      </c>
      <c r="GN19" s="4">
        <f>ROUND((csv!$HG19/10+calc!GN$1),1)</f>
        <v>7.7</v>
      </c>
      <c r="GO19" s="4">
        <f>ROUND((csv!$HG19/10+calc!GO$1),1)</f>
        <v>7.8</v>
      </c>
      <c r="GP19" s="4">
        <f>ROUND((csv!$HG19/10+calc!GP$1),1)</f>
        <v>7.9</v>
      </c>
      <c r="GQ19" s="4">
        <f>ROUND((csv!$HG19/10+calc!GQ$1),1)</f>
        <v>8</v>
      </c>
      <c r="GR19" s="4">
        <f>ROUND((csv!$HG19/10+calc!GR$1),1)</f>
        <v>8.1</v>
      </c>
      <c r="GS19" s="4">
        <f>ROUND((csv!$HG19/10+calc!GS$1),1)</f>
        <v>8.1999999999999993</v>
      </c>
      <c r="GT19" s="4">
        <f>ROUND((csv!$HG19/10+calc!GT$1),1)</f>
        <v>8.3000000000000007</v>
      </c>
      <c r="GU19" s="4">
        <f>ROUND((csv!$HG19/10+calc!GU$1),1)</f>
        <v>8.4</v>
      </c>
      <c r="GV19" s="4">
        <f>ROUND((csv!$HG19/10+calc!GV$1),1)</f>
        <v>8.5</v>
      </c>
      <c r="GW19" s="4">
        <f>ROUND((csv!$HG19/10+calc!GW$1),1)</f>
        <v>8.6</v>
      </c>
      <c r="GX19" s="4">
        <f>ROUND((csv!$HG19/10+calc!GX$1),1)</f>
        <v>8.6999999999999993</v>
      </c>
      <c r="GY19" s="4">
        <f>ROUND((csv!$HG19/10+calc!GY$1),1)</f>
        <v>8.8000000000000007</v>
      </c>
      <c r="GZ19" s="4">
        <f>ROUND((csv!$HG19/10+calc!GZ$1),1)</f>
        <v>8.9</v>
      </c>
      <c r="HA19" s="4">
        <f>ROUND((csv!$HG19/10+calc!HA$1),1)</f>
        <v>9</v>
      </c>
      <c r="HB19" s="4">
        <f>ROUND((csv!$HG19/10+calc!HB$1),1)</f>
        <v>9.1</v>
      </c>
      <c r="HC19" s="4">
        <f>ROUND((csv!$HG19/10+calc!HC$1),1)</f>
        <v>9.1999999999999993</v>
      </c>
      <c r="HD19" s="4">
        <f>ROUND((csv!$HG19/10+calc!HD$1),1)</f>
        <v>9.3000000000000007</v>
      </c>
      <c r="HE19" s="4">
        <f>ROUND((csv!$HG19/10+calc!HE$1),1)</f>
        <v>9.4</v>
      </c>
      <c r="HF19" s="4">
        <f>ROUND((csv!$HG19/10+calc!HF$1),1)</f>
        <v>9.5</v>
      </c>
      <c r="HG19" s="4">
        <f>ROUND((csv!$HG19/10+calc!HG$1),1)</f>
        <v>9.6</v>
      </c>
      <c r="HH19" s="4">
        <f>ROUND((csv!$HG19/10+calc!HH$1),1)</f>
        <v>9.6999999999999993</v>
      </c>
      <c r="HI19" s="4">
        <f>ROUND((csv!$HG19/10+calc!HI$1),1)</f>
        <v>9.8000000000000007</v>
      </c>
      <c r="HJ19" s="4">
        <f>ROUND((csv!$HG19/10+calc!HJ$1),1)</f>
        <v>9.9</v>
      </c>
      <c r="HK19" s="4">
        <f>ROUND((csv!$HG19/10+calc!HK$1),1)</f>
        <v>10</v>
      </c>
      <c r="HM19" s="2">
        <f>csv!A19*10000+csv!B19*100+csv!C19</f>
        <v>0</v>
      </c>
      <c r="HN19" s="5">
        <f>IF(ISERROR(LOOKUP(HN$1,$S19:$HK19,csv!$L19:$HD19)),NA(),LOOKUP(HN$1,$S19:$HK19,csv!$L19:$HD19))</f>
        <v>0</v>
      </c>
      <c r="HO19" s="5">
        <f>IF(ISERROR(LOOKUP(HO$1,$S19:$HK19,csv!$L19:$HD19)),NA(),LOOKUP(HO$1,$S19:$HK19,csv!$L19:$HD19))</f>
        <v>0</v>
      </c>
      <c r="HP19" s="5">
        <f>IF(ISERROR(LOOKUP(HP$1,$S19:$HK19,csv!$L19:$HD19)),NA(),LOOKUP(HP$1,$S19:$HK19,csv!$L19:$HD19))</f>
        <v>0</v>
      </c>
      <c r="HQ19" s="5">
        <f>IF(ISERROR(LOOKUP(HQ$1,$S19:$HK19,csv!$L19:$HD19)),NA(),LOOKUP(HQ$1,$S19:$HK19,csv!$L19:$HD19))</f>
        <v>0</v>
      </c>
      <c r="HR19" s="5">
        <f>IF(ISERROR(LOOKUP(HR$1,$S19:$HK19,csv!$L19:$HD19)),NA(),LOOKUP(HR$1,$S19:$HK19,csv!$L19:$HD19))</f>
        <v>0</v>
      </c>
      <c r="HS19" s="5">
        <f>IF(ISERROR(LOOKUP(HS$1,$S19:$HK19,csv!$L19:$HD19)),NA(),LOOKUP(HS$1,$S19:$HK19,csv!$L19:$HD19))</f>
        <v>0</v>
      </c>
      <c r="HT19" s="5">
        <f>IF(ISERROR(LOOKUP(HT$1,$S19:$HK19,csv!$L19:$HD19)),NA(),LOOKUP(HT$1,$S19:$HK19,csv!$L19:$HD19))</f>
        <v>0</v>
      </c>
      <c r="HU19" s="5">
        <f>IF(ISERROR(LOOKUP(HU$1,$S19:$HK19,csv!$L19:$HD19)),NA(),LOOKUP(HU$1,$S19:$HK19,csv!$L19:$HD19))</f>
        <v>0</v>
      </c>
      <c r="HV19" s="5">
        <f>IF(ISERROR(LOOKUP(HV$1,$S19:$HK19,csv!$L19:$HD19)),NA(),LOOKUP(HV$1,$S19:$HK19,csv!$L19:$HD19))</f>
        <v>0</v>
      </c>
      <c r="HW19" s="5">
        <f>IF(ISERROR(LOOKUP(HW$1,$S19:$HK19,csv!$L19:$HD19)),NA(),LOOKUP(HW$1,$S19:$HK19,csv!$L19:$HD19))</f>
        <v>0</v>
      </c>
      <c r="HX19" s="5">
        <f>IF(ISERROR(LOOKUP(HX$1,$S19:$HK19,csv!$L19:$HD19)),NA(),LOOKUP(HX$1,$S19:$HK19,csv!$L19:$HD19))</f>
        <v>0</v>
      </c>
      <c r="HY19" s="5">
        <f>IF(ISERROR(LOOKUP(HY$1,$S19:$HK19,csv!$L19:$HD19)),NA(),LOOKUP(HY$1,$S19:$HK19,csv!$L19:$HD19))</f>
        <v>0</v>
      </c>
      <c r="HZ19" s="5">
        <f>IF(ISERROR(LOOKUP(HZ$1,$S19:$HK19,csv!$L19:$HD19)),NA(),LOOKUP(HZ$1,$S19:$HK19,csv!$L19:$HD19))</f>
        <v>0</v>
      </c>
      <c r="IA19" s="5">
        <f>IF(ISERROR(LOOKUP(IA$1,$S19:$HK19,csv!$L19:$HD19)),NA(),LOOKUP(IA$1,$S19:$HK19,csv!$L19:$HD19))</f>
        <v>0</v>
      </c>
      <c r="IB19" s="5">
        <f>IF(ISERROR(LOOKUP(IB$1,$S19:$HK19,csv!$L19:$HD19)),NA(),LOOKUP(IB$1,$S19:$HK19,csv!$L19:$HD19))</f>
        <v>0</v>
      </c>
      <c r="IC19" s="5">
        <f>IF(ISERROR(LOOKUP(IC$1,$S19:$HK19,csv!$L19:$HD19)),NA(),LOOKUP(IC$1,$S19:$HK19,csv!$L19:$HD19))</f>
        <v>0</v>
      </c>
      <c r="ID19" s="5">
        <f>IF(ISERROR(LOOKUP(ID$1,$S19:$HK19,csv!$L19:$HD19)),NA(),LOOKUP(ID$1,$S19:$HK19,csv!$L19:$HD19))</f>
        <v>0</v>
      </c>
      <c r="IE19" s="5">
        <f>IF(ISERROR(LOOKUP(IE$1,$S19:$HK19,csv!$L19:$HD19)),NA(),LOOKUP(IE$1,$S19:$HK19,csv!$L19:$HD19))</f>
        <v>0</v>
      </c>
      <c r="IF19" s="5">
        <f>IF(ISERROR(LOOKUP(IF$1,$S19:$HK19,csv!$L19:$HD19)),NA(),LOOKUP(IF$1,$S19:$HK19,csv!$L19:$HD19))</f>
        <v>0</v>
      </c>
      <c r="IG19" s="5">
        <f>IF(ISERROR(LOOKUP(IG$1,$S19:$HK19,csv!$L19:$HD19)),NA(),LOOKUP(IG$1,$S19:$HK19,csv!$L19:$HD19))</f>
        <v>0</v>
      </c>
      <c r="IH19" s="5">
        <f>IF(ISERROR(LOOKUP(IH$1,$S19:$HK19,csv!$L19:$HD19)),NA(),LOOKUP(IH$1,$S19:$HK19,csv!$L19:$HD19))</f>
        <v>0</v>
      </c>
      <c r="II19" s="5">
        <f>IF(ISERROR(LOOKUP(II$1,$S19:$HK19,csv!$L19:$HD19)),NA(),LOOKUP(II$1,$S19:$HK19,csv!$L19:$HD19))</f>
        <v>0</v>
      </c>
      <c r="IJ19" s="5">
        <f>IF(ISERROR(LOOKUP(IJ$1,$S19:$HK19,csv!$L19:$HD19)),NA(),LOOKUP(IJ$1,$S19:$HK19,csv!$L19:$HD19))</f>
        <v>0</v>
      </c>
      <c r="IK19" s="5">
        <f>IF(ISERROR(LOOKUP(IK$1,$S19:$HK19,csv!$L19:$HD19)),NA(),LOOKUP(IK$1,$S19:$HK19,csv!$L19:$HD19))</f>
        <v>0</v>
      </c>
      <c r="IL19" s="5">
        <f>IF(ISERROR(LOOKUP(IL$1,$S19:$HK19,csv!$L19:$HD19)),NA(),LOOKUP(IL$1,$S19:$HK19,csv!$L19:$HD19))</f>
        <v>0</v>
      </c>
      <c r="IM19" s="5">
        <f>IF(ISERROR(LOOKUP(IM$1,$S19:$HK19,csv!$L19:$HD19)),NA(),LOOKUP(IM$1,$S19:$HK19,csv!$L19:$HD19))</f>
        <v>0</v>
      </c>
      <c r="IN19" s="5">
        <f>IF(ISERROR(LOOKUP(IN$1,$S19:$HK19,csv!$L19:$HD19)),NA(),LOOKUP(IN$1,$S19:$HK19,csv!$L19:$HD19))</f>
        <v>0</v>
      </c>
      <c r="IO19" s="5">
        <f>IF(ISERROR(LOOKUP(IO$1,$S19:$HK19,csv!$L19:$HD19)),NA(),LOOKUP(IO$1,$S19:$HK19,csv!$L19:$HD19))</f>
        <v>0</v>
      </c>
      <c r="IP19" s="5">
        <f>IF(ISERROR(LOOKUP(IP$1,$S19:$HK19,csv!$L19:$HD19)),NA(),LOOKUP(IP$1,$S19:$HK19,csv!$L19:$HD19))</f>
        <v>0</v>
      </c>
      <c r="IQ19" s="5">
        <f>IF(ISERROR(LOOKUP(IQ$1,$S19:$HK19,csv!$L19:$HD19)),NA(),LOOKUP(IQ$1,$S19:$HK19,csv!$L19:$HD19))</f>
        <v>0</v>
      </c>
      <c r="IR19" s="5">
        <f>IF(ISERROR(LOOKUP(IR$1,$S19:$HK19,csv!$L19:$HD19)),NA(),LOOKUP(IR$1,$S19:$HK19,csv!$L19:$HD19))</f>
        <v>0</v>
      </c>
      <c r="IS19" s="5">
        <f>IF(ISERROR(LOOKUP(IS$1,$S19:$HK19,csv!$L19:$HD19)),NA(),LOOKUP(IS$1,$S19:$HK19,csv!$L19:$HD19))</f>
        <v>0</v>
      </c>
      <c r="IT19" s="5">
        <f>IF(ISERROR(LOOKUP(IT$1,$S19:$HK19,csv!$L19:$HD19)),NA(),LOOKUP(IT$1,$S19:$HK19,csv!$L19:$HD19))</f>
        <v>0</v>
      </c>
      <c r="IU19" s="5">
        <f>IF(ISERROR(LOOKUP(IU$1,$S19:$HK19,csv!$L19:$HD19)),NA(),LOOKUP(IU$1,$S19:$HK19,csv!$L19:$HD19))</f>
        <v>0</v>
      </c>
      <c r="IV19" s="5">
        <f>IF(ISERROR(LOOKUP(IV$1,$S19:$HK19,csv!$L19:$HD19)),NA(),LOOKUP(IV$1,$S19:$HK19,csv!$L19:$HD19))</f>
        <v>0</v>
      </c>
      <c r="IW19" s="5">
        <f>IF(ISERROR(LOOKUP(IW$1,$S19:$HK19,csv!$L19:$HD19)),NA(),LOOKUP(IW$1,$S19:$HK19,csv!$L19:$HD19))</f>
        <v>0</v>
      </c>
      <c r="IX19" s="5">
        <f>IF(ISERROR(LOOKUP(IX$1,$S19:$HK19,csv!$L19:$HD19)),NA(),LOOKUP(IX$1,$S19:$HK19,csv!$L19:$HD19))</f>
        <v>0</v>
      </c>
      <c r="IY19" s="5">
        <f>IF(ISERROR(LOOKUP(IY$1,$S19:$HK19,csv!$L19:$HD19)),NA(),LOOKUP(IY$1,$S19:$HK19,csv!$L19:$HD19))</f>
        <v>0</v>
      </c>
      <c r="IZ19" s="5">
        <f>IF(ISERROR(LOOKUP(IZ$1,$S19:$HK19,csv!$L19:$HD19)),NA(),LOOKUP(IZ$1,$S19:$HK19,csv!$L19:$HD19))</f>
        <v>0</v>
      </c>
      <c r="JA19" s="5">
        <f>IF(ISERROR(LOOKUP(JA$1,$S19:$HK19,csv!$L19:$HD19)),NA(),LOOKUP(JA$1,$S19:$HK19,csv!$L19:$HD19))</f>
        <v>0</v>
      </c>
      <c r="JB19" s="5">
        <f>IF(ISERROR(LOOKUP(JB$1,$S19:$HK19,csv!$L19:$HD19)),NA(),LOOKUP(JB$1,$S19:$HK19,csv!$L19:$HD19))</f>
        <v>0</v>
      </c>
      <c r="JC19" s="5">
        <f>IF(ISERROR(LOOKUP(JC$1,$S19:$HK19,csv!$L19:$HD19)),NA(),LOOKUP(JC$1,$S19:$HK19,csv!$L19:$HD19))</f>
        <v>0</v>
      </c>
      <c r="JD19" s="5">
        <f>IF(ISERROR(LOOKUP(JD$1,$S19:$HK19,csv!$L19:$HD19)),NA(),LOOKUP(JD$1,$S19:$HK19,csv!$L19:$HD19))</f>
        <v>0</v>
      </c>
      <c r="JE19" s="5">
        <f>IF(ISERROR(LOOKUP(JE$1,$S19:$HK19,csv!$L19:$HD19)),NA(),LOOKUP(JE$1,$S19:$HK19,csv!$L19:$HD19))</f>
        <v>0</v>
      </c>
      <c r="JF19" s="5">
        <f>IF(ISERROR(LOOKUP(JF$1,$S19:$HK19,csv!$L19:$HD19)),NA(),LOOKUP(JF$1,$S19:$HK19,csv!$L19:$HD19))</f>
        <v>0</v>
      </c>
      <c r="JG19" s="5">
        <f>IF(ISERROR(LOOKUP(JG$1,$S19:$HK19,csv!$L19:$HD19)),NA(),LOOKUP(JG$1,$S19:$HK19,csv!$L19:$HD19))</f>
        <v>0</v>
      </c>
      <c r="JH19" s="5">
        <f>IF(ISERROR(LOOKUP(JH$1,$S19:$HK19,csv!$L19:$HD19)),NA(),LOOKUP(JH$1,$S19:$HK19,csv!$L19:$HD19))</f>
        <v>0</v>
      </c>
      <c r="JI19" s="5">
        <f>IF(ISERROR(LOOKUP(JI$1,$S19:$HK19,csv!$L19:$HD19)),NA(),LOOKUP(JI$1,$S19:$HK19,csv!$L19:$HD19))</f>
        <v>0</v>
      </c>
      <c r="JJ19" s="5">
        <f>IF(ISERROR(LOOKUP(JJ$1,$S19:$HK19,csv!$L19:$HD19)),NA(),LOOKUP(JJ$1,$S19:$HK19,csv!$L19:$HD19))</f>
        <v>0</v>
      </c>
      <c r="JK19" s="5">
        <f>IF(ISERROR(LOOKUP(JK$1,$S19:$HK19,csv!$L19:$HD19)),NA(),LOOKUP(JK$1,$S19:$HK19,csv!$L19:$HD19))</f>
        <v>0</v>
      </c>
      <c r="JL19" s="5">
        <f>IF(ISERROR(LOOKUP(JL$1,$S19:$HK19,csv!$L19:$HD19)),NA(),LOOKUP(JL$1,$S19:$HK19,csv!$L19:$HD19))</f>
        <v>0</v>
      </c>
      <c r="JM19" s="5">
        <f>IF(ISERROR(LOOKUP(JM$1,$S19:$HK19,csv!$L19:$HD19)),NA(),LOOKUP(JM$1,$S19:$HK19,csv!$L19:$HD19))</f>
        <v>0</v>
      </c>
      <c r="JN19" s="5">
        <f>IF(ISERROR(LOOKUP(JN$1,$S19:$HK19,csv!$L19:$HD19)),NA(),LOOKUP(JN$1,$S19:$HK19,csv!$L19:$HD19))</f>
        <v>0</v>
      </c>
      <c r="JO19" s="5">
        <f>IF(ISERROR(LOOKUP(JO$1,$S19:$HK19,csv!$L19:$HD19)),NA(),LOOKUP(JO$1,$S19:$HK19,csv!$L19:$HD19))</f>
        <v>0</v>
      </c>
      <c r="JP19" s="5">
        <f>IF(ISERROR(LOOKUP(JP$1,$S19:$HK19,csv!$L19:$HD19)),NA(),LOOKUP(JP$1,$S19:$HK19,csv!$L19:$HD19))</f>
        <v>0</v>
      </c>
      <c r="JQ19" s="5">
        <f>IF(ISERROR(LOOKUP(JQ$1,$S19:$HK19,csv!$L19:$HD19)),NA(),LOOKUP(JQ$1,$S19:$HK19,csv!$L19:$HD19))</f>
        <v>0</v>
      </c>
      <c r="JR19" s="5">
        <f>IF(ISERROR(LOOKUP(JR$1,$S19:$HK19,csv!$L19:$HD19)),NA(),LOOKUP(JR$1,$S19:$HK19,csv!$L19:$HD19))</f>
        <v>0</v>
      </c>
      <c r="JS19" s="5">
        <f>IF(ISERROR(LOOKUP(JS$1,$S19:$HK19,csv!$L19:$HD19)),NA(),LOOKUP(JS$1,$S19:$HK19,csv!$L19:$HD19))</f>
        <v>0</v>
      </c>
      <c r="JT19" s="5">
        <f>IF(ISERROR(LOOKUP(JT$1,$S19:$HK19,csv!$L19:$HD19)),NA(),LOOKUP(JT$1,$S19:$HK19,csv!$L19:$HD19))</f>
        <v>0</v>
      </c>
      <c r="JU19" s="5">
        <f>IF(ISERROR(LOOKUP(JU$1,$S19:$HK19,csv!$L19:$HD19)),NA(),LOOKUP(JU$1,$S19:$HK19,csv!$L19:$HD19))</f>
        <v>0</v>
      </c>
      <c r="JV19" s="5">
        <f>IF(ISERROR(LOOKUP(JV$1,$S19:$HK19,csv!$L19:$HD19)),NA(),LOOKUP(JV$1,$S19:$HK19,csv!$L19:$HD19))</f>
        <v>0</v>
      </c>
      <c r="JW19" s="5">
        <f>IF(ISERROR(LOOKUP(JW$1,$S19:$HK19,csv!$L19:$HD19)),NA(),LOOKUP(JW$1,$S19:$HK19,csv!$L19:$HD19))</f>
        <v>0</v>
      </c>
      <c r="JX19" s="5">
        <f>IF(ISERROR(LOOKUP(JX$1,$S19:$HK19,csv!$L19:$HD19)),NA(),LOOKUP(JX$1,$S19:$HK19,csv!$L19:$HD19))</f>
        <v>0</v>
      </c>
      <c r="JY19" s="5">
        <f>IF(ISERROR(LOOKUP(JY$1,$S19:$HK19,csv!$L19:$HD19)),NA(),LOOKUP(JY$1,$S19:$HK19,csv!$L19:$HD19))</f>
        <v>0</v>
      </c>
      <c r="JZ19" s="5">
        <f>IF(ISERROR(LOOKUP(JZ$1,$S19:$HK19,csv!$L19:$HD19)),NA(),LOOKUP(JZ$1,$S19:$HK19,csv!$L19:$HD19))</f>
        <v>0</v>
      </c>
      <c r="KA19" s="5">
        <f>IF(ISERROR(LOOKUP(KA$1,$S19:$HK19,csv!$L19:$HD19)),NA(),LOOKUP(KA$1,$S19:$HK19,csv!$L19:$HD19))</f>
        <v>0</v>
      </c>
      <c r="KB19" s="5">
        <f>IF(ISERROR(LOOKUP(KB$1,$S19:$HK19,csv!$L19:$HD19)),NA(),LOOKUP(KB$1,$S19:$HK19,csv!$L19:$HD19))</f>
        <v>0</v>
      </c>
      <c r="KC19" s="5">
        <f>IF(ISERROR(LOOKUP(KC$1,$S19:$HK19,csv!$L19:$HD19)),NA(),LOOKUP(KC$1,$S19:$HK19,csv!$L19:$HD19))</f>
        <v>0</v>
      </c>
      <c r="KD19" s="5">
        <f>IF(ISERROR(LOOKUP(KD$1,$S19:$HK19,csv!$L19:$HD19)),NA(),LOOKUP(KD$1,$S19:$HK19,csv!$L19:$HD19))</f>
        <v>0</v>
      </c>
      <c r="KE19" s="5">
        <f>IF(ISERROR(LOOKUP(KE$1,$S19:$HK19,csv!$L19:$HD19)),NA(),LOOKUP(KE$1,$S19:$HK19,csv!$L19:$HD19))</f>
        <v>0</v>
      </c>
      <c r="KF19" s="5">
        <f>IF(ISERROR(LOOKUP(KF$1,$S19:$HK19,csv!$L19:$HD19)),NA(),LOOKUP(KF$1,$S19:$HK19,csv!$L19:$HD19))</f>
        <v>0</v>
      </c>
      <c r="KG19" s="5">
        <f>IF(ISERROR(LOOKUP(KG$1,$S19:$HK19,csv!$L19:$HD19)),NA(),LOOKUP(KG$1,$S19:$HK19,csv!$L19:$HD19))</f>
        <v>0</v>
      </c>
      <c r="KH19" s="5">
        <f>IF(ISERROR(LOOKUP(KH$1,$S19:$HK19,csv!$L19:$HD19)),NA(),LOOKUP(KH$1,$S19:$HK19,csv!$L19:$HD19))</f>
        <v>0</v>
      </c>
      <c r="KI19" s="5">
        <f>IF(ISERROR(LOOKUP(KI$1,$S19:$HK19,csv!$L19:$HD19)),NA(),LOOKUP(KI$1,$S19:$HK19,csv!$L19:$HD19))</f>
        <v>0</v>
      </c>
      <c r="KJ19" s="5">
        <f>IF(ISERROR(LOOKUP(KJ$1,$S19:$HK19,csv!$L19:$HD19)),NA(),LOOKUP(KJ$1,$S19:$HK19,csv!$L19:$HD19))</f>
        <v>0</v>
      </c>
      <c r="KK19" s="5">
        <f>IF(ISERROR(LOOKUP(KK$1,$S19:$HK19,csv!$L19:$HD19)),NA(),LOOKUP(KK$1,$S19:$HK19,csv!$L19:$HD19))</f>
        <v>0</v>
      </c>
      <c r="KL19" s="5">
        <f>IF(ISERROR(LOOKUP(KL$1,$S19:$HK19,csv!$L19:$HD19)),NA(),LOOKUP(KL$1,$S19:$HK19,csv!$L19:$HD19))</f>
        <v>0</v>
      </c>
      <c r="KM19" s="5">
        <f>IF(ISERROR(LOOKUP(KM$1,$S19:$HK19,csv!$L19:$HD19)),NA(),LOOKUP(KM$1,$S19:$HK19,csv!$L19:$HD19))</f>
        <v>0</v>
      </c>
      <c r="KN19" s="5">
        <f>IF(ISERROR(LOOKUP(KN$1,$S19:$HK19,csv!$L19:$HD19)),NA(),LOOKUP(KN$1,$S19:$HK19,csv!$L19:$HD19))</f>
        <v>0</v>
      </c>
      <c r="KO19" s="5">
        <f>IF(ISERROR(LOOKUP(KO$1,$S19:$HK19,csv!$L19:$HD19)),NA(),LOOKUP(KO$1,$S19:$HK19,csv!$L19:$HD19))</f>
        <v>0</v>
      </c>
      <c r="KP19" s="5">
        <f>IF(ISERROR(LOOKUP(KP$1,$S19:$HK19,csv!$L19:$HD19)),NA(),LOOKUP(KP$1,$S19:$HK19,csv!$L19:$HD19))</f>
        <v>0</v>
      </c>
      <c r="KQ19" s="5">
        <f>IF(ISERROR(LOOKUP(KQ$1,$S19:$HK19,csv!$L19:$HD19)),NA(),LOOKUP(KQ$1,$S19:$HK19,csv!$L19:$HD19))</f>
        <v>0</v>
      </c>
      <c r="KR19" s="5">
        <f>IF(ISERROR(LOOKUP(KR$1,$S19:$HK19,csv!$L19:$HD19)),NA(),LOOKUP(KR$1,$S19:$HK19,csv!$L19:$HD19))</f>
        <v>0</v>
      </c>
      <c r="KS19" s="5">
        <f>IF(ISERROR(LOOKUP(KS$1,$S19:$HK19,csv!$L19:$HD19)),NA(),LOOKUP(KS$1,$S19:$HK19,csv!$L19:$HD19))</f>
        <v>0</v>
      </c>
      <c r="KT19" s="5">
        <f>IF(ISERROR(LOOKUP(KT$1,$S19:$HK19,csv!$L19:$HD19)),NA(),LOOKUP(KT$1,$S19:$HK19,csv!$L19:$HD19))</f>
        <v>0</v>
      </c>
      <c r="KU19" s="5">
        <f>IF(ISERROR(LOOKUP(KU$1,$S19:$HK19,csv!$L19:$HD19)),NA(),LOOKUP(KU$1,$S19:$HK19,csv!$L19:$HD19))</f>
        <v>0</v>
      </c>
      <c r="KV19" s="5">
        <f>IF(ISERROR(LOOKUP(KV$1,$S19:$HK19,csv!$L19:$HD19)),NA(),LOOKUP(KV$1,$S19:$HK19,csv!$L19:$HD19))</f>
        <v>0</v>
      </c>
      <c r="KW19" s="5">
        <f>IF(ISERROR(LOOKUP(KW$1,$S19:$HK19,csv!$L19:$HD19)),NA(),LOOKUP(KW$1,$S19:$HK19,csv!$L19:$HD19))</f>
        <v>0</v>
      </c>
      <c r="KX19" s="5">
        <f>IF(ISERROR(LOOKUP(KX$1,$S19:$HK19,csv!$L19:$HD19)),NA(),LOOKUP(KX$1,$S19:$HK19,csv!$L19:$HD19))</f>
        <v>0</v>
      </c>
      <c r="KY19" s="5">
        <f>IF(ISERROR(LOOKUP(KY$1,$S19:$HK19,csv!$L19:$HD19)),NA(),LOOKUP(KY$1,$S19:$HK19,csv!$L19:$HD19))</f>
        <v>0</v>
      </c>
      <c r="KZ19" s="5">
        <f>IF(ISERROR(LOOKUP(KZ$1,$S19:$HK19,csv!$L19:$HD19)),NA(),LOOKUP(KZ$1,$S19:$HK19,csv!$L19:$HD19))</f>
        <v>0</v>
      </c>
      <c r="LA19" s="5">
        <f>IF(ISERROR(LOOKUP(LA$1,$S19:$HK19,csv!$L19:$HD19)),NA(),LOOKUP(LA$1,$S19:$HK19,csv!$L19:$HD19))</f>
        <v>0</v>
      </c>
      <c r="LB19" s="5">
        <f>IF(ISERROR(LOOKUP(LB$1,$S19:$HK19,csv!$L19:$HD19)),NA(),LOOKUP(LB$1,$S19:$HK19,csv!$L19:$HD19))</f>
        <v>0</v>
      </c>
      <c r="LC19" s="5">
        <f>IF(ISERROR(LOOKUP(LC$1,$S19:$HK19,csv!$L19:$HD19)),NA(),LOOKUP(LC$1,$S19:$HK19,csv!$L19:$HD19))</f>
        <v>0</v>
      </c>
      <c r="LD19" s="5">
        <f>IF(ISERROR(LOOKUP(LD$1,$S19:$HK19,csv!$L19:$HD19)),NA(),LOOKUP(LD$1,$S19:$HK19,csv!$L19:$HD19))</f>
        <v>0</v>
      </c>
      <c r="LE19" s="5">
        <f>IF(ISERROR(LOOKUP(LE$1,$S19:$HK19,csv!$L19:$HD19)),NA(),LOOKUP(LE$1,$S19:$HK19,csv!$L19:$HD19))</f>
        <v>0</v>
      </c>
      <c r="LF19" s="5">
        <f>IF(ISERROR(LOOKUP(LF$1,$S19:$HK19,csv!$L19:$HD19)),NA(),LOOKUP(LF$1,$S19:$HK19,csv!$L19:$HD19))</f>
        <v>0</v>
      </c>
      <c r="LG19" s="5">
        <f>IF(ISERROR(LOOKUP(LG$1,$S19:$HK19,csv!$L19:$HD19)),NA(),LOOKUP(LG$1,$S19:$HK19,csv!$L19:$HD19))</f>
        <v>0</v>
      </c>
      <c r="LH19" s="5">
        <f>IF(ISERROR(LOOKUP(LH$1,$S19:$HK19,csv!$L19:$HD19)),NA(),LOOKUP(LH$1,$S19:$HK19,csv!$L19:$HD19))</f>
        <v>0</v>
      </c>
      <c r="LI19" s="5">
        <f>IF(ISERROR(LOOKUP(LI$1,$S19:$HK19,csv!$L19:$HD19)),NA(),LOOKUP(LI$1,$S19:$HK19,csv!$L19:$HD19))</f>
        <v>0</v>
      </c>
      <c r="LJ19" s="5">
        <f>IF(ISERROR(LOOKUP(LJ$1,$S19:$HK19,csv!$L19:$HD19)),NA(),LOOKUP(LJ$1,$S19:$HK19,csv!$L19:$HD19))</f>
        <v>0</v>
      </c>
      <c r="LK19" s="5">
        <f>IF(ISERROR(LOOKUP(LK$1,$S19:$HK19,csv!$L19:$HD19)),NA(),LOOKUP(LK$1,$S19:$HK19,csv!$L19:$HD19))</f>
        <v>0</v>
      </c>
      <c r="LL19" s="5">
        <f>IF(ISERROR(LOOKUP(LL$1,$S19:$HK19,csv!$L19:$HD19)),NA(),LOOKUP(LL$1,$S19:$HK19,csv!$L19:$HD19))</f>
        <v>0</v>
      </c>
      <c r="LM19" s="5">
        <f>IF(ISERROR(LOOKUP(LM$1,$S19:$HK19,csv!$L19:$HD19)),NA(),LOOKUP(LM$1,$S19:$HK19,csv!$L19:$HD19))</f>
        <v>0</v>
      </c>
      <c r="LN19" s="5">
        <f>IF(ISERROR(LOOKUP(LN$1,$S19:$HK19,csv!$L19:$HD19)),NA(),LOOKUP(LN$1,$S19:$HK19,csv!$L19:$HD19))</f>
        <v>0</v>
      </c>
      <c r="LO19" s="5">
        <f>IF(ISERROR(LOOKUP(LO$1,$S19:$HK19,csv!$L19:$HD19)),NA(),LOOKUP(LO$1,$S19:$HK19,csv!$L19:$HD19))</f>
        <v>0</v>
      </c>
      <c r="LP19" s="5">
        <f>IF(ISERROR(LOOKUP(LP$1,$S19:$HK19,csv!$L19:$HD19)),NA(),LOOKUP(LP$1,$S19:$HK19,csv!$L19:$HD19))</f>
        <v>0</v>
      </c>
      <c r="LQ19" s="5">
        <f>IF(ISERROR(LOOKUP(LQ$1,$S19:$HK19,csv!$L19:$HD19)),NA(),LOOKUP(LQ$1,$S19:$HK19,csv!$L19:$HD19))</f>
        <v>0</v>
      </c>
      <c r="LR19" s="5">
        <f>IF(ISERROR(LOOKUP(LR$1,$S19:$HK19,csv!$L19:$HD19)),NA(),LOOKUP(LR$1,$S19:$HK19,csv!$L19:$HD19))</f>
        <v>0</v>
      </c>
      <c r="LS19" s="5">
        <f>IF(ISERROR(LOOKUP(LS$1,$S19:$HK19,csv!$L19:$HD19)),NA(),LOOKUP(LS$1,$S19:$HK19,csv!$L19:$HD19))</f>
        <v>0</v>
      </c>
      <c r="LT19" s="5">
        <f>IF(ISERROR(LOOKUP(LT$1,$S19:$HK19,csv!$L19:$HD19)),NA(),LOOKUP(LT$1,$S19:$HK19,csv!$L19:$HD19))</f>
        <v>0</v>
      </c>
      <c r="LU19" s="5">
        <f>IF(ISERROR(LOOKUP(LU$1,$S19:$HK19,csv!$L19:$HD19)),NA(),LOOKUP(LU$1,$S19:$HK19,csv!$L19:$HD19))</f>
        <v>0</v>
      </c>
      <c r="LV19" s="5">
        <f>IF(ISERROR(LOOKUP(LV$1,$S19:$HK19,csv!$L19:$HD19)),NA(),LOOKUP(LV$1,$S19:$HK19,csv!$L19:$HD19))</f>
        <v>0</v>
      </c>
      <c r="LW19" s="5">
        <f>IF(ISERROR(LOOKUP(LW$1,$S19:$HK19,csv!$L19:$HD19)),NA(),LOOKUP(LW$1,$S19:$HK19,csv!$L19:$HD19))</f>
        <v>0</v>
      </c>
      <c r="LX19" s="5">
        <f>IF(ISERROR(LOOKUP(LX$1,$S19:$HK19,csv!$L19:$HD19)),NA(),LOOKUP(LX$1,$S19:$HK19,csv!$L19:$HD19))</f>
        <v>0</v>
      </c>
      <c r="LY19" s="5">
        <f>IF(ISERROR(LOOKUP(LY$1,$S19:$HK19,csv!$L19:$HD19)),NA(),LOOKUP(LY$1,$S19:$HK19,csv!$L19:$HD19))</f>
        <v>0</v>
      </c>
      <c r="LZ19" s="5">
        <f>IF(ISERROR(LOOKUP(LZ$1,$S19:$HK19,csv!$L19:$HD19)),NA(),LOOKUP(LZ$1,$S19:$HK19,csv!$L19:$HD19))</f>
        <v>0</v>
      </c>
      <c r="MA19" s="5">
        <f>IF(ISERROR(LOOKUP(MA$1,$S19:$HK19,csv!$L19:$HD19)),NA(),LOOKUP(MA$1,$S19:$HK19,csv!$L19:$HD19))</f>
        <v>0</v>
      </c>
      <c r="MB19" s="5">
        <f>IF(ISERROR(LOOKUP(MB$1,$S19:$HK19,csv!$L19:$HD19)),NA(),LOOKUP(MB$1,$S19:$HK19,csv!$L19:$HD19))</f>
        <v>0</v>
      </c>
      <c r="MC19" s="5">
        <f>IF(ISERROR(LOOKUP(MC$1,$S19:$HK19,csv!$L19:$HD19)),NA(),LOOKUP(MC$1,$S19:$HK19,csv!$L19:$HD19))</f>
        <v>0</v>
      </c>
      <c r="MD19" s="5">
        <f>IF(ISERROR(LOOKUP(MD$1,$S19:$HK19,csv!$L19:$HD19)),NA(),LOOKUP(MD$1,$S19:$HK19,csv!$L19:$HD19))</f>
        <v>0</v>
      </c>
      <c r="ME19" s="5">
        <f>IF(ISERROR(LOOKUP(ME$1,$S19:$HK19,csv!$L19:$HD19)),NA(),LOOKUP(ME$1,$S19:$HK19,csv!$L19:$HD19))</f>
        <v>0</v>
      </c>
      <c r="MF19" s="5">
        <f>IF(ISERROR(LOOKUP(MF$1,$S19:$HK19,csv!$L19:$HD19)),NA(),LOOKUP(MF$1,$S19:$HK19,csv!$L19:$HD19))</f>
        <v>0</v>
      </c>
      <c r="MG19" s="5">
        <f>IF(ISERROR(LOOKUP(MG$1,$S19:$HK19,csv!$L19:$HD19)),NA(),LOOKUP(MG$1,$S19:$HK19,csv!$L19:$HD19))</f>
        <v>0</v>
      </c>
      <c r="MH19" s="5">
        <f>IF(ISERROR(LOOKUP(MH$1,$S19:$HK19,csv!$L19:$HD19)),NA(),LOOKUP(MH$1,$S19:$HK19,csv!$L19:$HD19))</f>
        <v>0</v>
      </c>
      <c r="MI19" s="5">
        <f>IF(ISERROR(LOOKUP(MI$1,$S19:$HK19,csv!$L19:$HD19)),NA(),LOOKUP(MI$1,$S19:$HK19,csv!$L19:$HD19))</f>
        <v>0</v>
      </c>
      <c r="MJ19" s="5">
        <f>IF(ISERROR(LOOKUP(MJ$1,$S19:$HK19,csv!$L19:$HD19)),NA(),LOOKUP(MJ$1,$S19:$HK19,csv!$L19:$HD19))</f>
        <v>0</v>
      </c>
      <c r="MK19" s="5">
        <f>IF(ISERROR(LOOKUP(MK$1,$S19:$HK19,csv!$L19:$HD19)),NA(),LOOKUP(MK$1,$S19:$HK19,csv!$L19:$HD19))</f>
        <v>0</v>
      </c>
      <c r="ML19" s="5">
        <f>IF(ISERROR(LOOKUP(ML$1,$S19:$HK19,csv!$L19:$HD19)),NA(),LOOKUP(ML$1,$S19:$HK19,csv!$L19:$HD19))</f>
        <v>0</v>
      </c>
      <c r="MM19" s="5">
        <f>IF(ISERROR(LOOKUP(MM$1,$S19:$HK19,csv!$L19:$HD19)),NA(),LOOKUP(MM$1,$S19:$HK19,csv!$L19:$HD19))</f>
        <v>0</v>
      </c>
      <c r="MN19" s="5">
        <f>IF(ISERROR(LOOKUP(MN$1,$S19:$HK19,csv!$L19:$HD19)),NA(),LOOKUP(MN$1,$S19:$HK19,csv!$L19:$HD19))</f>
        <v>0</v>
      </c>
      <c r="MO19" s="5">
        <f>IF(ISERROR(LOOKUP(MO$1,$S19:$HK19,csv!$L19:$HD19)),NA(),LOOKUP(MO$1,$S19:$HK19,csv!$L19:$HD19))</f>
        <v>0</v>
      </c>
      <c r="MP19" s="5">
        <f>IF(ISERROR(LOOKUP(MP$1,$S19:$HK19,csv!$L19:$HD19)),NA(),LOOKUP(MP$1,$S19:$HK19,csv!$L19:$HD19))</f>
        <v>0</v>
      </c>
      <c r="MQ19" s="5">
        <f>IF(ISERROR(LOOKUP(MQ$1,$S19:$HK19,csv!$L19:$HD19)),NA(),LOOKUP(MQ$1,$S19:$HK19,csv!$L19:$HD19))</f>
        <v>0</v>
      </c>
      <c r="MR19" s="5">
        <f>IF(ISERROR(LOOKUP(MR$1,$S19:$HK19,csv!$L19:$HD19)),NA(),LOOKUP(MR$1,$S19:$HK19,csv!$L19:$HD19))</f>
        <v>0</v>
      </c>
      <c r="MS19" s="5">
        <f>IF(ISERROR(LOOKUP(MS$1,$S19:$HK19,csv!$L19:$HD19)),NA(),LOOKUP(MS$1,$S19:$HK19,csv!$L19:$HD19))</f>
        <v>0</v>
      </c>
      <c r="MT19" s="5">
        <f>IF(ISERROR(LOOKUP(MT$1,$S19:$HK19,csv!$L19:$HD19)),NA(),LOOKUP(MT$1,$S19:$HK19,csv!$L19:$HD19))</f>
        <v>0</v>
      </c>
      <c r="MU19" s="5">
        <f>IF(ISERROR(LOOKUP(MU$1,$S19:$HK19,csv!$L19:$HD19)),NA(),LOOKUP(MU$1,$S19:$HK19,csv!$L19:$HD19))</f>
        <v>0</v>
      </c>
      <c r="MV19" s="5">
        <f>IF(ISERROR(LOOKUP(MV$1,$S19:$HK19,csv!$L19:$HD19)),NA(),LOOKUP(MV$1,$S19:$HK19,csv!$L19:$HD19))</f>
        <v>0</v>
      </c>
      <c r="MW19" s="5">
        <f>IF(ISERROR(LOOKUP(MW$1,$S19:$HK19,csv!$L19:$HD19)),NA(),LOOKUP(MW$1,$S19:$HK19,csv!$L19:$HD19))</f>
        <v>0</v>
      </c>
      <c r="MX19" s="5">
        <f>IF(ISERROR(LOOKUP(MX$1,$S19:$HK19,csv!$L19:$HD19)),NA(),LOOKUP(MX$1,$S19:$HK19,csv!$L19:$HD19))</f>
        <v>0</v>
      </c>
      <c r="MY19" s="5">
        <f>IF(ISERROR(LOOKUP(MY$1,$S19:$HK19,csv!$L19:$HD19)),NA(),LOOKUP(MY$1,$S19:$HK19,csv!$L19:$HD19))</f>
        <v>0</v>
      </c>
      <c r="MZ19" s="5">
        <f>IF(ISERROR(LOOKUP(MZ$1,$S19:$HK19,csv!$L19:$HD19)),NA(),LOOKUP(MZ$1,$S19:$HK19,csv!$L19:$HD19))</f>
        <v>0</v>
      </c>
      <c r="NA19" s="5">
        <f>IF(ISERROR(LOOKUP(NA$1,$S19:$HK19,csv!$L19:$HD19)),NA(),LOOKUP(NA$1,$S19:$HK19,csv!$L19:$HD19))</f>
        <v>0</v>
      </c>
      <c r="NB19" s="5">
        <f>IF(ISERROR(LOOKUP(NB$1,$S19:$HK19,csv!$L19:$HD19)),NA(),LOOKUP(NB$1,$S19:$HK19,csv!$L19:$HD19))</f>
        <v>0</v>
      </c>
      <c r="NC19" s="5">
        <f>IF(ISERROR(LOOKUP(NC$1,$S19:$HK19,csv!$L19:$HD19)),NA(),LOOKUP(NC$1,$S19:$HK19,csv!$L19:$HD19))</f>
        <v>0</v>
      </c>
      <c r="ND19" s="5">
        <f>IF(ISERROR(LOOKUP(ND$1,$S19:$HK19,csv!$L19:$HD19)),NA(),LOOKUP(ND$1,$S19:$HK19,csv!$L19:$HD19))</f>
        <v>0</v>
      </c>
      <c r="NE19" s="5">
        <f>IF(ISERROR(LOOKUP(NE$1,$S19:$HK19,csv!$L19:$HD19)),NA(),LOOKUP(NE$1,$S19:$HK19,csv!$L19:$HD19))</f>
        <v>0</v>
      </c>
      <c r="NF19" s="5">
        <f>IF(ISERROR(LOOKUP(NF$1,$S19:$HK19,csv!$L19:$HD19)),NA(),LOOKUP(NF$1,$S19:$HK19,csv!$L19:$HD19))</f>
        <v>0</v>
      </c>
      <c r="NG19" s="5">
        <f>IF(ISERROR(LOOKUP(NG$1,$S19:$HK19,csv!$L19:$HD19)),NA(),LOOKUP(NG$1,$S19:$HK19,csv!$L19:$HD19))</f>
        <v>0</v>
      </c>
      <c r="NH19" s="5">
        <f>IF(ISERROR(LOOKUP(NH$1,$S19:$HK19,csv!$L19:$HD19)),NA(),LOOKUP(NH$1,$S19:$HK19,csv!$L19:$HD19))</f>
        <v>0</v>
      </c>
      <c r="NI19" s="5">
        <f>IF(ISERROR(LOOKUP(NI$1,$S19:$HK19,csv!$L19:$HD19)),NA(),LOOKUP(NI$1,$S19:$HK19,csv!$L19:$HD19))</f>
        <v>0</v>
      </c>
      <c r="NJ19" s="5">
        <f>IF(ISERROR(LOOKUP(NJ$1,$S19:$HK19,csv!$L19:$HD19)),NA(),LOOKUP(NJ$1,$S19:$HK19,csv!$L19:$HD19))</f>
        <v>0</v>
      </c>
      <c r="NK19" s="5">
        <f>IF(ISERROR(LOOKUP(NK$1,$S19:$HK19,csv!$L19:$HD19)),NA(),LOOKUP(NK$1,$S19:$HK19,csv!$L19:$HD19))</f>
        <v>0</v>
      </c>
      <c r="NL19" s="5">
        <f>IF(ISERROR(LOOKUP(NL$1,$S19:$HK19,csv!$L19:$HD19)),NA(),LOOKUP(NL$1,$S19:$HK19,csv!$L19:$HD19))</f>
        <v>0</v>
      </c>
      <c r="NM19" s="5">
        <f>IF(ISERROR(LOOKUP(NM$1,$S19:$HK19,csv!$L19:$HD19)),NA(),LOOKUP(NM$1,$S19:$HK19,csv!$L19:$HD19))</f>
        <v>0</v>
      </c>
      <c r="NN19" s="5">
        <f>IF(ISERROR(LOOKUP(NN$1,$S19:$HK19,csv!$L19:$HD19)),NA(),LOOKUP(NN$1,$S19:$HK19,csv!$L19:$HD19))</f>
        <v>0</v>
      </c>
      <c r="NO19" s="5">
        <f>IF(ISERROR(LOOKUP(NO$1,$S19:$HK19,csv!$L19:$HD19)),NA(),LOOKUP(NO$1,$S19:$HK19,csv!$L19:$HD19))</f>
        <v>0</v>
      </c>
      <c r="NP19" s="5">
        <f>IF(ISERROR(LOOKUP(NP$1,$S19:$HK19,csv!$L19:$HD19)),NA(),LOOKUP(NP$1,$S19:$HK19,csv!$L19:$HD19))</f>
        <v>0</v>
      </c>
      <c r="NQ19" s="5">
        <f>IF(ISERROR(LOOKUP(NQ$1,$S19:$HK19,csv!$L19:$HD19)),NA(),LOOKUP(NQ$1,$S19:$HK19,csv!$L19:$HD19))</f>
        <v>0</v>
      </c>
      <c r="NR19" s="5">
        <f>IF(ISERROR(LOOKUP(NR$1,$S19:$HK19,csv!$L19:$HD19)),NA(),LOOKUP(NR$1,$S19:$HK19,csv!$L19:$HD19))</f>
        <v>0</v>
      </c>
      <c r="NS19" s="5">
        <f>IF(ISERROR(LOOKUP(NS$1,$S19:$HK19,csv!$L19:$HD19)),NA(),LOOKUP(NS$1,$S19:$HK19,csv!$L19:$HD19))</f>
        <v>0</v>
      </c>
      <c r="NT19" s="5">
        <f>IF(ISERROR(LOOKUP(NT$1,$S19:$HK19,csv!$L19:$HD19)),NA(),LOOKUP(NT$1,$S19:$HK19,csv!$L19:$HD19))</f>
        <v>0</v>
      </c>
      <c r="NU19" s="5">
        <f>IF(ISERROR(LOOKUP(NU$1,$S19:$HK19,csv!$L19:$HD19)),NA(),LOOKUP(NU$1,$S19:$HK19,csv!$L19:$HD19))</f>
        <v>0</v>
      </c>
      <c r="NV19" s="5">
        <f>IF(ISERROR(LOOKUP(NV$1,$S19:$HK19,csv!$L19:$HD19)),NA(),LOOKUP(NV$1,$S19:$HK19,csv!$L19:$HD19))</f>
        <v>0</v>
      </c>
      <c r="NW19" s="5">
        <f>IF(ISERROR(LOOKUP(NW$1,$S19:$HK19,csv!$L19:$HD19)),NA(),LOOKUP(NW$1,$S19:$HK19,csv!$L19:$HD19))</f>
        <v>0</v>
      </c>
      <c r="NX19" s="5">
        <f>IF(ISERROR(LOOKUP(NX$1,$S19:$HK19,csv!$L19:$HD19)),NA(),LOOKUP(NX$1,$S19:$HK19,csv!$L19:$HD19))</f>
        <v>0</v>
      </c>
      <c r="NY19" s="5">
        <f>IF(ISERROR(LOOKUP(NY$1,$S19:$HK19,csv!$L19:$HD19)),NA(),LOOKUP(NY$1,$S19:$HK19,csv!$L19:$HD19))</f>
        <v>0</v>
      </c>
      <c r="NZ19" s="5">
        <f>IF(ISERROR(LOOKUP(NZ$1,$S19:$HK19,csv!$L19:$HD19)),NA(),LOOKUP(NZ$1,$S19:$HK19,csv!$L19:$HD19))</f>
        <v>0</v>
      </c>
      <c r="OA19" s="5">
        <f>IF(ISERROR(LOOKUP(OA$1,$S19:$HK19,csv!$L19:$HD19)),NA(),LOOKUP(OA$1,$S19:$HK19,csv!$L19:$HD19))</f>
        <v>0</v>
      </c>
      <c r="OB19" s="5">
        <f>IF(ISERROR(LOOKUP(OB$1,$S19:$HK19,csv!$L19:$HD19)),NA(),LOOKUP(OB$1,$S19:$HK19,csv!$L19:$HD19))</f>
        <v>0</v>
      </c>
      <c r="OC19" s="5">
        <f>IF(ISERROR(LOOKUP(OC$1,$S19:$HK19,csv!$L19:$HD19)),NA(),LOOKUP(OC$1,$S19:$HK19,csv!$L19:$HD19))</f>
        <v>0</v>
      </c>
      <c r="OD19" s="5">
        <f>IF(ISERROR(LOOKUP(OD$1,$S19:$HK19,csv!$L19:$HD19)),NA(),LOOKUP(OD$1,$S19:$HK19,csv!$L19:$HD19))</f>
        <v>0</v>
      </c>
      <c r="OE19" s="5">
        <f>IF(ISERROR(LOOKUP(OE$1,$S19:$HK19,csv!$L19:$HD19)),NA(),LOOKUP(OE$1,$S19:$HK19,csv!$L19:$HD19))</f>
        <v>0</v>
      </c>
      <c r="OF19" s="5">
        <f>IF(ISERROR(LOOKUP(OF$1,$S19:$HK19,csv!$L19:$HD19)),NA(),LOOKUP(OF$1,$S19:$HK19,csv!$L19:$HD19))</f>
        <v>0</v>
      </c>
      <c r="OG19" s="5">
        <f>IF(ISERROR(LOOKUP(OG$1,$S19:$HK19,csv!$L19:$HD19)),NA(),LOOKUP(OG$1,$S19:$HK19,csv!$L19:$HD19))</f>
        <v>0</v>
      </c>
      <c r="OH19" s="5">
        <f>IF(ISERROR(LOOKUP(OH$1,$S19:$HK19,csv!$L19:$HD19)),NA(),LOOKUP(OH$1,$S19:$HK19,csv!$L19:$HD19))</f>
        <v>0</v>
      </c>
      <c r="OI19" s="5">
        <f>IF(ISERROR(LOOKUP(OI$1,$S19:$HK19,csv!$L19:$HD19)),NA(),LOOKUP(OI$1,$S19:$HK19,csv!$L19:$HD19))</f>
        <v>0</v>
      </c>
      <c r="OJ19" s="5">
        <f>IF(ISERROR(LOOKUP(OJ$1,$S19:$HK19,csv!$L19:$HD19)),NA(),LOOKUP(OJ$1,$S19:$HK19,csv!$L19:$HD19))</f>
        <v>0</v>
      </c>
      <c r="OK19" s="5">
        <f>IF(ISERROR(LOOKUP(OK$1,$S19:$HK19,csv!$L19:$HD19)),NA(),LOOKUP(OK$1,$S19:$HK19,csv!$L19:$HD19))</f>
        <v>0</v>
      </c>
      <c r="OL19" s="5">
        <f>IF(ISERROR(LOOKUP(OL$1,$S19:$HK19,csv!$L19:$HD19)),NA(),LOOKUP(OL$1,$S19:$HK19,csv!$L19:$HD19))</f>
        <v>0</v>
      </c>
      <c r="OM19" s="5">
        <f>IF(ISERROR(LOOKUP(OM$1,$S19:$HK19,csv!$L19:$HD19)),NA(),LOOKUP(OM$1,$S19:$HK19,csv!$L19:$HD19))</f>
        <v>0</v>
      </c>
      <c r="ON19" s="5">
        <f>IF(ISERROR(LOOKUP(ON$1,$S19:$HK19,csv!$L19:$HD19)),NA(),LOOKUP(ON$1,$S19:$HK19,csv!$L19:$HD19))</f>
        <v>0</v>
      </c>
      <c r="OO19" s="5">
        <f>IF(ISERROR(LOOKUP(OO$1,$S19:$HK19,csv!$L19:$HD19)),NA(),LOOKUP(OO$1,$S19:$HK19,csv!$L19:$HD19))</f>
        <v>0</v>
      </c>
      <c r="OP19" s="5">
        <f>IF(ISERROR(LOOKUP(OP$1,$S19:$HK19,csv!$L19:$HD19)),NA(),LOOKUP(OP$1,$S19:$HK19,csv!$L19:$HD19))</f>
        <v>0</v>
      </c>
      <c r="OQ19" s="5">
        <f>IF(ISERROR(LOOKUP(OQ$1,$S19:$HK19,csv!$L19:$HD19)),NA(),LOOKUP(OQ$1,$S19:$HK19,csv!$L19:$HD19))</f>
        <v>0</v>
      </c>
      <c r="OR19" s="5">
        <f>IF(ISERROR(LOOKUP(OR$1,$S19:$HK19,csv!$L19:$HD19)),NA(),LOOKUP(OR$1,$S19:$HK19,csv!$L19:$HD19))</f>
        <v>0</v>
      </c>
      <c r="OS19" s="5">
        <f>IF(ISERROR(LOOKUP(OS$1,$S19:$HK19,csv!$L19:$HD19)),NA(),LOOKUP(OS$1,$S19:$HK19,csv!$L19:$HD19))</f>
        <v>0</v>
      </c>
      <c r="OT19" s="5">
        <f>IF(ISERROR(LOOKUP(OT$1,$S19:$HK19,csv!$L19:$HD19)),NA(),LOOKUP(OT$1,$S19:$HK19,csv!$L19:$HD19))</f>
        <v>0</v>
      </c>
      <c r="OU19" s="5">
        <f>IF(ISERROR(LOOKUP(OU$1,$S19:$HK19,csv!$L19:$HD19)),NA(),LOOKUP(OU$1,$S19:$HK19,csv!$L19:$HD19))</f>
        <v>0</v>
      </c>
      <c r="OV19" s="5">
        <f>IF(ISERROR(LOOKUP(OV$1,$S19:$HK19,csv!$L19:$HD19)),NA(),LOOKUP(OV$1,$S19:$HK19,csv!$L19:$HD19))</f>
        <v>0</v>
      </c>
      <c r="OW19" s="5">
        <f>IF(ISERROR(LOOKUP(OW$1,$S19:$HK19,csv!$L19:$HD19)),NA(),LOOKUP(OW$1,$S19:$HK19,csv!$L19:$HD19))</f>
        <v>0</v>
      </c>
      <c r="OX19" s="5">
        <f>IF(ISERROR(LOOKUP(OX$1,$S19:$HK19,csv!$L19:$HD19)),NA(),LOOKUP(OX$1,$S19:$HK19,csv!$L19:$HD19))</f>
        <v>0</v>
      </c>
      <c r="OY19" s="5">
        <f>IF(ISERROR(LOOKUP(OY$1,$S19:$HK19,csv!$L19:$HD19)),NA(),LOOKUP(OY$1,$S19:$HK19,csv!$L19:$HD19))</f>
        <v>0</v>
      </c>
      <c r="OZ19" s="5">
        <f>IF(ISERROR(LOOKUP(OZ$1,$S19:$HK19,csv!$L19:$HD19)),NA(),LOOKUP(OZ$1,$S19:$HK19,csv!$L19:$HD19))</f>
        <v>0</v>
      </c>
      <c r="PA19" s="5">
        <f>IF(ISERROR(LOOKUP(PA$1,$S19:$HK19,csv!$L19:$HD19)),NA(),LOOKUP(PA$1,$S19:$HK19,csv!$L19:$HD19))</f>
        <v>0</v>
      </c>
      <c r="PB19" s="5">
        <f>IF(ISERROR(LOOKUP(PB$1,$S19:$HK19,csv!$L19:$HD19)),NA(),LOOKUP(PB$1,$S19:$HK19,csv!$L19:$HD19))</f>
        <v>0</v>
      </c>
      <c r="PC19" s="5">
        <f>IF(ISERROR(LOOKUP(PC$1,$S19:$HK19,csv!$L19:$HD19)),NA(),LOOKUP(PC$1,$S19:$HK19,csv!$L19:$HD19))</f>
        <v>0</v>
      </c>
      <c r="PD19" s="5">
        <f>IF(ISERROR(LOOKUP(PD$1,$S19:$HK19,csv!$L19:$HD19)),NA(),LOOKUP(PD$1,$S19:$HK19,csv!$L19:$HD19))</f>
        <v>0</v>
      </c>
      <c r="PE19" s="5">
        <f>IF(ISERROR(LOOKUP(PE$1,$S19:$HK19,csv!$L19:$HD19)),NA(),LOOKUP(PE$1,$S19:$HK19,csv!$L19:$HD19))</f>
        <v>0</v>
      </c>
      <c r="PF19" s="5">
        <f>IF(ISERROR(LOOKUP(PF$1,$S19:$HK19,csv!$L19:$HD19)),NA(),LOOKUP(PF$1,$S19:$HK19,csv!$L19:$HD19))</f>
        <v>0</v>
      </c>
      <c r="PG19" s="5">
        <f>IF(ISERROR(LOOKUP(PG$1,$S19:$HK19,csv!$L19:$HD19)),NA(),LOOKUP(PG$1,$S19:$HK19,csv!$L19:$HD19))</f>
        <v>0</v>
      </c>
      <c r="PH19" s="5">
        <f>IF(ISERROR(LOOKUP(PH$1,$S19:$HK19,csv!$L19:$HD19)),NA(),LOOKUP(PH$1,$S19:$HK19,csv!$L19:$HD19))</f>
        <v>0</v>
      </c>
      <c r="PI19" s="5">
        <f>IF(ISERROR(LOOKUP(PI$1,$S19:$HK19,csv!$L19:$HD19)),NA(),LOOKUP(PI$1,$S19:$HK19,csv!$L19:$HD19))</f>
        <v>0</v>
      </c>
      <c r="PJ19" s="5">
        <f>IF(ISERROR(LOOKUP(PJ$1,$S19:$HK19,csv!$L19:$HD19)),NA(),LOOKUP(PJ$1,$S19:$HK19,csv!$L19:$HD19))</f>
        <v>0</v>
      </c>
      <c r="PK19" s="5">
        <f>IF(ISERROR(LOOKUP(PK$1,$S19:$HK19,csv!$L19:$HD19)),NA(),LOOKUP(PK$1,$S19:$HK19,csv!$L19:$HD19))</f>
        <v>0</v>
      </c>
      <c r="PL19" s="5">
        <f>IF(ISERROR(LOOKUP(PL$1,$S19:$HK19,csv!$L19:$HD19)),NA(),LOOKUP(PL$1,$S19:$HK19,csv!$L19:$HD19))</f>
        <v>0</v>
      </c>
      <c r="PM19" s="5">
        <f>IF(ISERROR(LOOKUP(PM$1,$S19:$HK19,csv!$L19:$HD19)),NA(),LOOKUP(PM$1,$S19:$HK19,csv!$L19:$HD19))</f>
        <v>0</v>
      </c>
      <c r="PN19" s="5">
        <f>IF(ISERROR(LOOKUP(PN$1,$S19:$HK19,csv!$L19:$HD19)),NA(),LOOKUP(PN$1,$S19:$HK19,csv!$L19:$HD19))</f>
        <v>0</v>
      </c>
      <c r="PO19" s="5">
        <f>IF(ISERROR(LOOKUP(PO$1,$S19:$HK19,csv!$L19:$HD19)),NA(),LOOKUP(PO$1,$S19:$HK19,csv!$L19:$HD19))</f>
        <v>0</v>
      </c>
      <c r="PP19" s="5">
        <f>IF(ISERROR(LOOKUP(PP$1,$S19:$HK19,csv!$L19:$HD19)),NA(),LOOKUP(PP$1,$S19:$HK19,csv!$L19:$HD19))</f>
        <v>0</v>
      </c>
      <c r="PQ19" s="5">
        <f>IF(ISERROR(LOOKUP(PQ$1,$S19:$HK19,csv!$L19:$HD19)),NA(),LOOKUP(PQ$1,$S19:$HK19,csv!$L19:$HD19))</f>
        <v>0</v>
      </c>
      <c r="PR19" s="5">
        <f>IF(ISERROR(LOOKUP(PR$1,$S19:$HK19,csv!$L19:$HD19)),NA(),LOOKUP(PR$1,$S19:$HK19,csv!$L19:$HD19))</f>
        <v>0</v>
      </c>
      <c r="PS19" s="5">
        <f>IF(ISERROR(LOOKUP(PS$1,$S19:$HK19,csv!$L19:$HD19)),NA(),LOOKUP(PS$1,$S19:$HK19,csv!$L19:$HD19))</f>
        <v>0</v>
      </c>
      <c r="PT19" s="5">
        <f>IF(ISERROR(LOOKUP(PT$1,$S19:$HK19,csv!$L19:$HD19)),NA(),LOOKUP(PT$1,$S19:$HK19,csv!$L19:$HD19))</f>
        <v>0</v>
      </c>
      <c r="PU19" s="5">
        <f>IF(ISERROR(LOOKUP(PU$1,$S19:$HK19,csv!$L19:$HD19)),NA(),LOOKUP(PU$1,$S19:$HK19,csv!$L19:$HD19))</f>
        <v>0</v>
      </c>
      <c r="PV19" s="5">
        <f>IF(ISERROR(LOOKUP(PV$1,$S19:$HK19,csv!$L19:$HD19)),NA(),LOOKUP(PV$1,$S19:$HK19,csv!$L19:$HD19))</f>
        <v>0</v>
      </c>
      <c r="PW19" s="5">
        <f>IF(ISERROR(LOOKUP(PW$1,$S19:$HK19,csv!$L19:$HD19)),NA(),LOOKUP(PW$1,$S19:$HK19,csv!$L19:$HD19))</f>
        <v>0</v>
      </c>
      <c r="PX19" s="5">
        <f>IF(ISERROR(LOOKUP(PX$1,$S19:$HK19,csv!$L19:$HD19)),NA(),LOOKUP(PX$1,$S19:$HK19,csv!$L19:$HD19))</f>
        <v>0</v>
      </c>
      <c r="PY19" s="5">
        <f>IF(ISERROR(LOOKUP(PY$1,$S19:$HK19,csv!$L19:$HD19)),NA(),LOOKUP(PY$1,$S19:$HK19,csv!$L19:$HD19))</f>
        <v>0</v>
      </c>
      <c r="PZ19" s="5">
        <f>IF(ISERROR(LOOKUP(PZ$1,$S19:$HK19,csv!$L19:$HD19)),NA(),LOOKUP(PZ$1,$S19:$HK19,csv!$L19:$HD19))</f>
        <v>0</v>
      </c>
      <c r="QA19" s="5">
        <f>IF(ISERROR(LOOKUP(QA$1,$S19:$HK19,csv!$L19:$HD19)),NA(),LOOKUP(QA$1,$S19:$HK19,csv!$L19:$HD19))</f>
        <v>0</v>
      </c>
      <c r="QB19" s="5">
        <f>IF(ISERROR(LOOKUP(QB$1,$S19:$HK19,csv!$L19:$HD19)),NA(),LOOKUP(QB$1,$S19:$HK19,csv!$L19:$HD19))</f>
        <v>0</v>
      </c>
      <c r="QC19" s="5">
        <f>IF(ISERROR(LOOKUP(QC$1,$S19:$HK19,csv!$L19:$HD19)),NA(),LOOKUP(QC$1,$S19:$HK19,csv!$L19:$HD19))</f>
        <v>0</v>
      </c>
      <c r="QD19" s="5">
        <f>IF(ISERROR(LOOKUP(QD$1,$S19:$HK19,csv!$L19:$HD19)),NA(),LOOKUP(QD$1,$S19:$HK19,csv!$L19:$HD19))</f>
        <v>0</v>
      </c>
      <c r="QE19" s="5">
        <f>IF(ISERROR(LOOKUP(QE$1,$S19:$HK19,csv!$L19:$HD19)),NA(),LOOKUP(QE$1,$S19:$HK19,csv!$L19:$HD19))</f>
        <v>0</v>
      </c>
      <c r="QF19" s="5">
        <f>IF(ISERROR(LOOKUP(QF$1,$S19:$HK19,csv!$L19:$HD19)),NA(),LOOKUP(QF$1,$S19:$HK19,csv!$L19:$HD19))</f>
        <v>0</v>
      </c>
      <c r="QG19" s="5">
        <f>IF(ISERROR(LOOKUP(QG$1,$S19:$HK19,csv!$L19:$HD19)),NA(),LOOKUP(QG$1,$S19:$HK19,csv!$L19:$HD19))</f>
        <v>0</v>
      </c>
      <c r="QH19" s="5">
        <f>IF(ISERROR(LOOKUP(QH$1,$S19:$HK19,csv!$L19:$HD19)),NA(),LOOKUP(QH$1,$S19:$HK19,csv!$L19:$HD19))</f>
        <v>0</v>
      </c>
      <c r="QI19" s="5">
        <f>IF(ISERROR(LOOKUP(QI$1,$S19:$HK19,csv!$L19:$HD19)),NA(),LOOKUP(QI$1,$S19:$HK19,csv!$L19:$HD19))</f>
        <v>0</v>
      </c>
      <c r="QJ19" s="5">
        <f>IF(ISERROR(LOOKUP(QJ$1,$S19:$HK19,csv!$L19:$HD19)),NA(),LOOKUP(QJ$1,$S19:$HK19,csv!$L19:$HD19))</f>
        <v>0</v>
      </c>
      <c r="QK19" s="5">
        <f>IF(ISERROR(LOOKUP(QK$1,$S19:$HK19,csv!$L19:$HD19)),NA(),LOOKUP(QK$1,$S19:$HK19,csv!$L19:$HD19))</f>
        <v>0</v>
      </c>
      <c r="QL19" s="5">
        <f>IF(ISERROR(LOOKUP(QL$1,$S19:$HK19,csv!$L19:$HD19)),NA(),LOOKUP(QL$1,$S19:$HK19,csv!$L19:$HD19))</f>
        <v>0</v>
      </c>
      <c r="QM19" s="5">
        <f>IF(ISERROR(LOOKUP(QM$1,$S19:$HK19,csv!$L19:$HD19)),NA(),LOOKUP(QM$1,$S19:$HK19,csv!$L19:$HD19))</f>
        <v>0</v>
      </c>
      <c r="QN19" s="5">
        <f>IF(ISERROR(LOOKUP(QN$1,$S19:$HK19,csv!$L19:$HD19)),NA(),LOOKUP(QN$1,$S19:$HK19,csv!$L19:$HD19))</f>
        <v>0</v>
      </c>
      <c r="QO19" s="5">
        <f>IF(ISERROR(LOOKUP(QO$1,$S19:$HK19,csv!$L19:$HD19)),NA(),LOOKUP(QO$1,$S19:$HK19,csv!$L19:$HD19))</f>
        <v>0</v>
      </c>
      <c r="QP19" s="5">
        <f>IF(ISERROR(LOOKUP(QP$1,$S19:$HK19,csv!$L19:$HD19)),NA(),LOOKUP(QP$1,$S19:$HK19,csv!$L19:$HD19))</f>
        <v>0</v>
      </c>
      <c r="QQ19" s="5">
        <f>IF(ISERROR(LOOKUP(QQ$1,$S19:$HK19,csv!$L19:$HD19)),NA(),LOOKUP(QQ$1,$S19:$HK19,csv!$L19:$HD19))</f>
        <v>0</v>
      </c>
      <c r="QR19" s="5">
        <f>IF(ISERROR(LOOKUP(QR$1,$S19:$HK19,csv!$L19:$HD19)),NA(),LOOKUP(QR$1,$S19:$HK19,csv!$L19:$HD19))</f>
        <v>0</v>
      </c>
      <c r="QS19" s="5">
        <f>IF(ISERROR(LOOKUP(QS$1,$S19:$HK19,csv!$L19:$HD19)),NA(),LOOKUP(QS$1,$S19:$HK19,csv!$L19:$HD19))</f>
        <v>0</v>
      </c>
      <c r="QT19" s="5">
        <f>IF(ISERROR(LOOKUP(QT$1,$S19:$HK19,csv!$L19:$HD19)),NA(),LOOKUP(QT$1,$S19:$HK19,csv!$L19:$HD19))</f>
        <v>0</v>
      </c>
      <c r="QU19" s="5">
        <f>IF(ISERROR(LOOKUP(QU$1,$S19:$HK19,csv!$L19:$HD19)),NA(),LOOKUP(QU$1,$S19:$HK19,csv!$L19:$HD19))</f>
        <v>0</v>
      </c>
      <c r="QV19" s="5">
        <f>IF(ISERROR(LOOKUP(QV$1,$S19:$HK19,csv!$L19:$HD19)),NA(),LOOKUP(QV$1,$S19:$HK19,csv!$L19:$HD19))</f>
        <v>0</v>
      </c>
      <c r="QW19" s="5">
        <f>IF(ISERROR(LOOKUP(QW$1,$S19:$HK19,csv!$L19:$HD19)),NA(),LOOKUP(QW$1,$S19:$HK19,csv!$L19:$HD19))</f>
        <v>0</v>
      </c>
      <c r="QX19" s="5">
        <f>IF(ISERROR(LOOKUP(QX$1,$S19:$HK19,csv!$L19:$HD19)),NA(),LOOKUP(QX$1,$S19:$HK19,csv!$L19:$HD19))</f>
        <v>0</v>
      </c>
      <c r="QY19" s="5">
        <f>IF(ISERROR(LOOKUP(QY$1,$S19:$HK19,csv!$L19:$HD19)),NA(),LOOKUP(QY$1,$S19:$HK19,csv!$L19:$HD19))</f>
        <v>0</v>
      </c>
      <c r="QZ19" s="5">
        <f>IF(ISERROR(LOOKUP(QZ$1,$S19:$HK19,csv!$L19:$HD19)),NA(),LOOKUP(QZ$1,$S19:$HK19,csv!$L19:$HD19))</f>
        <v>0</v>
      </c>
      <c r="RA19" s="5">
        <f>IF(ISERROR(LOOKUP(RA$1,$S19:$HK19,csv!$L19:$HD19)),NA(),LOOKUP(RA$1,$S19:$HK19,csv!$L19:$HD19))</f>
        <v>0</v>
      </c>
      <c r="RB19" s="5">
        <f>IF(ISERROR(LOOKUP(RB$1,$S19:$HK19,csv!$L19:$HD19)),NA(),LOOKUP(RB$1,$S19:$HK19,csv!$L19:$HD19))</f>
        <v>0</v>
      </c>
      <c r="RC19" s="5">
        <f>IF(ISERROR(LOOKUP(RC$1,$S19:$HK19,csv!$L19:$HD19)),NA(),LOOKUP(RC$1,$S19:$HK19,csv!$L19:$HD19))</f>
        <v>0</v>
      </c>
      <c r="RD19" s="5">
        <f>IF(ISERROR(LOOKUP(RD$1,$S19:$HK19,csv!$L19:$HD19)),NA(),LOOKUP(RD$1,$S19:$HK19,csv!$L19:$HD19))</f>
        <v>0</v>
      </c>
      <c r="RE19" s="5">
        <f>IF(ISERROR(LOOKUP(RE$1,$S19:$HK19,csv!$L19:$HD19)),NA(),LOOKUP(RE$1,$S19:$HK19,csv!$L19:$HD19))</f>
        <v>0</v>
      </c>
      <c r="RF19" s="5">
        <f>IF(ISERROR(LOOKUP(RF$1,$S19:$HK19,csv!$L19:$HD19)),NA(),LOOKUP(RF$1,$S19:$HK19,csv!$L19:$HD19))</f>
        <v>0</v>
      </c>
      <c r="RG19" s="5">
        <f>IF(ISERROR(LOOKUP(RG$1,$S19:$HK19,csv!$L19:$HD19)),NA(),LOOKUP(RG$1,$S19:$HK19,csv!$L19:$HD19))</f>
        <v>0</v>
      </c>
      <c r="RH19" s="5">
        <f>IF(ISERROR(LOOKUP(RH$1,$S19:$HK19,csv!$L19:$HD19)),NA(),LOOKUP(RH$1,$S19:$HK19,csv!$L19:$HD19))</f>
        <v>0</v>
      </c>
      <c r="RI19" s="5">
        <f>IF(ISERROR(LOOKUP(RI$1,$S19:$HK19,csv!$L19:$HD19)),NA(),LOOKUP(RI$1,$S19:$HK19,csv!$L19:$HD19))</f>
        <v>0</v>
      </c>
      <c r="RJ19" s="5">
        <f>IF(ISERROR(LOOKUP(RJ$1,$S19:$HK19,csv!$L19:$HD19)),NA(),LOOKUP(RJ$1,$S19:$HK19,csv!$L19:$HD19))</f>
        <v>0</v>
      </c>
      <c r="RK19" s="5">
        <f>IF(ISERROR(LOOKUP(RK$1,$S19:$HK19,csv!$L19:$HD19)),NA(),LOOKUP(RK$1,$S19:$HK19,csv!$L19:$HD19))</f>
        <v>0</v>
      </c>
      <c r="RL19" s="5">
        <f>IF(ISERROR(LOOKUP(RL$1,$S19:$HK19,csv!$L19:$HD19)),NA(),LOOKUP(RL$1,$S19:$HK19,csv!$L19:$HD19))</f>
        <v>0</v>
      </c>
      <c r="RM19" s="5">
        <f>IF(ISERROR(LOOKUP(RM$1,$S19:$HK19,csv!$L19:$HD19)),NA(),LOOKUP(RM$1,$S19:$HK19,csv!$L19:$HD19))</f>
        <v>0</v>
      </c>
      <c r="RN19" s="5">
        <f>IF(ISERROR(LOOKUP(RN$1,$S19:$HK19,csv!$L19:$HD19)),NA(),LOOKUP(RN$1,$S19:$HK19,csv!$L19:$HD19))</f>
        <v>0</v>
      </c>
      <c r="RO19" s="5">
        <f>IF(ISERROR(LOOKUP(RO$1,$S19:$HK19,csv!$L19:$HD19)),NA(),LOOKUP(RO$1,$S19:$HK19,csv!$L19:$HD19))</f>
        <v>0</v>
      </c>
      <c r="RP19" s="5">
        <f>IF(ISERROR(LOOKUP(RP$1,$S19:$HK19,csv!$L19:$HD19)),NA(),LOOKUP(RP$1,$S19:$HK19,csv!$L19:$HD19))</f>
        <v>0</v>
      </c>
      <c r="RQ19" s="5">
        <f>IF(ISERROR(LOOKUP(RQ$1,$S19:$HK19,csv!$L19:$HD19)),NA(),LOOKUP(RQ$1,$S19:$HK19,csv!$L19:$HD19))</f>
        <v>0</v>
      </c>
      <c r="RR19" s="5">
        <f>IF(ISERROR(LOOKUP(RR$1,$S19:$HK19,csv!$L19:$HD19)),NA(),LOOKUP(RR$1,$S19:$HK19,csv!$L19:$HD19))</f>
        <v>0</v>
      </c>
      <c r="RS19" s="5">
        <f>IF(ISERROR(LOOKUP(RS$1,$S19:$HK19,csv!$L19:$HD19)),NA(),LOOKUP(RS$1,$S19:$HK19,csv!$L19:$HD19))</f>
        <v>0</v>
      </c>
      <c r="RT19" s="5">
        <f>IF(ISERROR(LOOKUP(RT$1,$S19:$HK19,csv!$L19:$HD19)),NA(),LOOKUP(RT$1,$S19:$HK19,csv!$L19:$HD19))</f>
        <v>0</v>
      </c>
      <c r="RU19" s="5">
        <f>IF(ISERROR(LOOKUP(RU$1,$S19:$HK19,csv!$L19:$HD19)),NA(),LOOKUP(RU$1,$S19:$HK19,csv!$L19:$HD19))</f>
        <v>0</v>
      </c>
      <c r="RV19" s="5">
        <f>IF(ISERROR(LOOKUP(RV$1,$S19:$HK19,csv!$L19:$HD19)),NA(),LOOKUP(RV$1,$S19:$HK19,csv!$L19:$HD19))</f>
        <v>0</v>
      </c>
      <c r="RW19" s="5">
        <f>IF(ISERROR(LOOKUP(RW$1,$S19:$HK19,csv!$L19:$HD19)),NA(),LOOKUP(RW$1,$S19:$HK19,csv!$L19:$HD19))</f>
        <v>0</v>
      </c>
      <c r="RX19" s="5">
        <f>IF(ISERROR(LOOKUP(RX$1,$S19:$HK19,csv!$L19:$HD19)),NA(),LOOKUP(RX$1,$S19:$HK19,csv!$L19:$HD19))</f>
        <v>0</v>
      </c>
      <c r="RY19" s="5">
        <f>IF(ISERROR(LOOKUP(RY$1,$S19:$HK19,csv!$L19:$HD19)),NA(),LOOKUP(RY$1,$S19:$HK19,csv!$L19:$HD19))</f>
        <v>0</v>
      </c>
      <c r="RZ19" s="5">
        <f>IF(ISERROR(LOOKUP(RZ$1,$S19:$HK19,csv!$L19:$HD19)),NA(),LOOKUP(RZ$1,$S19:$HK19,csv!$L19:$HD19))</f>
        <v>0</v>
      </c>
      <c r="SA19" s="5">
        <f>IF(ISERROR(LOOKUP(SA$1,$S19:$HK19,csv!$L19:$HD19)),NA(),LOOKUP(SA$1,$S19:$HK19,csv!$L19:$HD19))</f>
        <v>0</v>
      </c>
      <c r="SB19" s="5">
        <f>IF(ISERROR(LOOKUP(SB$1,$S19:$HK19,csv!$L19:$HD19)),NA(),LOOKUP(SB$1,$S19:$HK19,csv!$L19:$HD19))</f>
        <v>0</v>
      </c>
      <c r="SC19" s="5">
        <f>IF(ISERROR(LOOKUP(SC$1,$S19:$HK19,csv!$L19:$HD19)),NA(),LOOKUP(SC$1,$S19:$HK19,csv!$L19:$HD19))</f>
        <v>0</v>
      </c>
      <c r="SD19" s="5">
        <f>IF(ISERROR(LOOKUP(SD$1,$S19:$HK19,csv!$L19:$HD19)),NA(),LOOKUP(SD$1,$S19:$HK19,csv!$L19:$HD19))</f>
        <v>0</v>
      </c>
      <c r="SE19" s="5">
        <f>IF(ISERROR(LOOKUP(SE$1,$S19:$HK19,csv!$L19:$HD19)),NA(),LOOKUP(SE$1,$S19:$HK19,csv!$L19:$HD19))</f>
        <v>0</v>
      </c>
      <c r="SF19" s="5">
        <f>IF(ISERROR(LOOKUP(SF$1,$S19:$HK19,csv!$L19:$HD19)),NA(),LOOKUP(SF$1,$S19:$HK19,csv!$L19:$HD19))</f>
        <v>0</v>
      </c>
      <c r="SG19" s="5">
        <f>IF(ISERROR(LOOKUP(SG$1,$S19:$HK19,csv!$L19:$HD19)),NA(),LOOKUP(SG$1,$S19:$HK19,csv!$L19:$HD19))</f>
        <v>0</v>
      </c>
      <c r="SH19" s="5">
        <f>IF(ISERROR(LOOKUP(SH$1,$S19:$HK19,csv!$L19:$HD19)),NA(),LOOKUP(SH$1,$S19:$HK19,csv!$L19:$HD19))</f>
        <v>0</v>
      </c>
      <c r="SI19" s="5">
        <f>IF(ISERROR(LOOKUP(SI$1,$S19:$HK19,csv!$L19:$HD19)),NA(),LOOKUP(SI$1,$S19:$HK19,csv!$L19:$HD19))</f>
        <v>0</v>
      </c>
      <c r="SJ19" s="5">
        <f>IF(ISERROR(LOOKUP(SJ$1,$S19:$HK19,csv!$L19:$HD19)),NA(),LOOKUP(SJ$1,$S19:$HK19,csv!$L19:$HD19))</f>
        <v>0</v>
      </c>
      <c r="SK19" s="5">
        <f>IF(ISERROR(LOOKUP(SK$1,$S19:$HK19,csv!$L19:$HD19)),NA(),LOOKUP(SK$1,$S19:$HK19,csv!$L19:$HD19))</f>
        <v>0</v>
      </c>
      <c r="SL19" s="5">
        <f>IF(ISERROR(LOOKUP(SL$1,$S19:$HK19,csv!$L19:$HD19)),NA(),LOOKUP(SL$1,$S19:$HK19,csv!$L19:$HD19))</f>
        <v>0</v>
      </c>
      <c r="SM19" s="5">
        <f>IF(ISERROR(LOOKUP(SM$1,$S19:$HK19,csv!$L19:$HD19)),NA(),LOOKUP(SM$1,$S19:$HK19,csv!$L19:$HD19))</f>
        <v>0</v>
      </c>
      <c r="SN19" s="5">
        <f>IF(ISERROR(LOOKUP(SN$1,$S19:$HK19,csv!$L19:$HD19)),NA(),LOOKUP(SN$1,$S19:$HK19,csv!$L19:$HD19))</f>
        <v>0</v>
      </c>
      <c r="SO19" s="5">
        <f>IF(ISERROR(LOOKUP(SO$1,$S19:$HK19,csv!$L19:$HD19)),NA(),LOOKUP(SO$1,$S19:$HK19,csv!$L19:$HD19))</f>
        <v>0</v>
      </c>
      <c r="SP19" s="5">
        <f>IF(ISERROR(LOOKUP(SP$1,$S19:$HK19,csv!$L19:$HD19)),NA(),LOOKUP(SP$1,$S19:$HK19,csv!$L19:$HD19))</f>
        <v>0</v>
      </c>
      <c r="SQ19" s="5">
        <f>IF(ISERROR(LOOKUP(SQ$1,$S19:$HK19,csv!$L19:$HD19)),NA(),LOOKUP(SQ$1,$S19:$HK19,csv!$L19:$HD19))</f>
        <v>0</v>
      </c>
      <c r="SR19" s="5">
        <f>IF(ISERROR(LOOKUP(SR$1,$S19:$HK19,csv!$L19:$HD19)),NA(),LOOKUP(SR$1,$S19:$HK19,csv!$L19:$HD19))</f>
        <v>0</v>
      </c>
      <c r="SS19" s="5">
        <f>IF(ISERROR(LOOKUP(SS$1,$S19:$HK19,csv!$L19:$HD19)),NA(),LOOKUP(SS$1,$S19:$HK19,csv!$L19:$HD19))</f>
        <v>0</v>
      </c>
      <c r="ST19" s="5">
        <f>IF(ISERROR(LOOKUP(ST$1,$S19:$HK19,csv!$L19:$HD19)),NA(),LOOKUP(ST$1,$S19:$HK19,csv!$L19:$HD19))</f>
        <v>0</v>
      </c>
      <c r="SU19" s="5">
        <f>IF(ISERROR(LOOKUP(SU$1,$S19:$HK19,csv!$L19:$HD19)),NA(),LOOKUP(SU$1,$S19:$HK19,csv!$L19:$HD19))</f>
        <v>0</v>
      </c>
      <c r="SV19" s="5">
        <f>IF(ISERROR(LOOKUP(SV$1,$S19:$HK19,csv!$L19:$HD19)),NA(),LOOKUP(SV$1,$S19:$HK19,csv!$L19:$HD19))</f>
        <v>0</v>
      </c>
      <c r="SW19" s="5">
        <f>IF(ISERROR(LOOKUP(SW$1,$S19:$HK19,csv!$L19:$HD19)),NA(),LOOKUP(SW$1,$S19:$HK19,csv!$L19:$HD19))</f>
        <v>0</v>
      </c>
      <c r="SX19" s="5">
        <f>IF(ISERROR(LOOKUP(SX$1,$S19:$HK19,csv!$L19:$HD19)),NA(),LOOKUP(SX$1,$S19:$HK19,csv!$L19:$HD19))</f>
        <v>0</v>
      </c>
      <c r="SY19" s="5">
        <f>IF(ISERROR(LOOKUP(SY$1,$S19:$HK19,csv!$L19:$HD19)),NA(),LOOKUP(SY$1,$S19:$HK19,csv!$L19:$HD19))</f>
        <v>0</v>
      </c>
      <c r="SZ19" s="5">
        <f>IF(ISERROR(LOOKUP(SZ$1,$S19:$HK19,csv!$L19:$HD19)),NA(),LOOKUP(SZ$1,$S19:$HK19,csv!$L19:$HD19))</f>
        <v>0</v>
      </c>
      <c r="TA19" s="5">
        <f>IF(ISERROR(LOOKUP(TA$1,$S19:$HK19,csv!$L19:$HD19)),NA(),LOOKUP(TA$1,$S19:$HK19,csv!$L19:$HD19))</f>
        <v>0</v>
      </c>
      <c r="TB19" s="5">
        <f>IF(ISERROR(LOOKUP(TB$1,$S19:$HK19,csv!$L19:$HD19)),NA(),LOOKUP(TB$1,$S19:$HK19,csv!$L19:$HD19))</f>
        <v>0</v>
      </c>
      <c r="TD19">
        <f>csv!HG19/10</f>
        <v>0</v>
      </c>
    </row>
    <row r="20" spans="3:524" x14ac:dyDescent="0.15">
      <c r="S20" s="4">
        <f>ROUND((csv!$HG20/10+calc!S$1),1)</f>
        <v>-10</v>
      </c>
      <c r="T20" s="4">
        <f>ROUND((csv!$HG20/10+calc!T$1),1)</f>
        <v>-9.9</v>
      </c>
      <c r="U20" s="4">
        <f>ROUND((csv!$HG20/10+calc!U$1),1)</f>
        <v>-9.8000000000000007</v>
      </c>
      <c r="V20" s="4">
        <f>ROUND((csv!$HG20/10+calc!V$1),1)</f>
        <v>-9.6999999999999993</v>
      </c>
      <c r="W20" s="4">
        <f>ROUND((csv!$HG20/10+calc!W$1),1)</f>
        <v>-9.6</v>
      </c>
      <c r="X20" s="4">
        <f>ROUND((csv!$HG20/10+calc!X$1),1)</f>
        <v>-9.5</v>
      </c>
      <c r="Y20" s="4">
        <f>ROUND((csv!$HG20/10+calc!Y$1),1)</f>
        <v>-9.4</v>
      </c>
      <c r="Z20" s="4">
        <f>ROUND((csv!$HG20/10+calc!Z$1),1)</f>
        <v>-9.3000000000000007</v>
      </c>
      <c r="AA20" s="4">
        <f>ROUND((csv!$HG20/10+calc!AA$1),1)</f>
        <v>-9.1999999999999993</v>
      </c>
      <c r="AB20" s="4">
        <f>ROUND((csv!$HG20/10+calc!AB$1),1)</f>
        <v>-9.1</v>
      </c>
      <c r="AC20" s="4">
        <f>ROUND((csv!$HG20/10+calc!AC$1),1)</f>
        <v>-9</v>
      </c>
      <c r="AD20" s="4">
        <f>ROUND((csv!$HG20/10+calc!AD$1),1)</f>
        <v>-8.9</v>
      </c>
      <c r="AE20" s="4">
        <f>ROUND((csv!$HG20/10+calc!AE$1),1)</f>
        <v>-8.8000000000000007</v>
      </c>
      <c r="AF20" s="4">
        <f>ROUND((csv!$HG20/10+calc!AF$1),1)</f>
        <v>-8.6999999999999993</v>
      </c>
      <c r="AG20" s="4">
        <f>ROUND((csv!$HG20/10+calc!AG$1),1)</f>
        <v>-8.6</v>
      </c>
      <c r="AH20" s="4">
        <f>ROUND((csv!$HG20/10+calc!AH$1),1)</f>
        <v>-8.5</v>
      </c>
      <c r="AI20" s="4">
        <f>ROUND((csv!$HG20/10+calc!AI$1),1)</f>
        <v>-8.4</v>
      </c>
      <c r="AJ20" s="4">
        <f>ROUND((csv!$HG20/10+calc!AJ$1),1)</f>
        <v>-8.3000000000000007</v>
      </c>
      <c r="AK20" s="4">
        <f>ROUND((csv!$HG20/10+calc!AK$1),1)</f>
        <v>-8.1999999999999993</v>
      </c>
      <c r="AL20" s="4">
        <f>ROUND((csv!$HG20/10+calc!AL$1),1)</f>
        <v>-8.1</v>
      </c>
      <c r="AM20" s="4">
        <f>ROUND((csv!$HG20/10+calc!AM$1),1)</f>
        <v>-8</v>
      </c>
      <c r="AN20" s="4">
        <f>ROUND((csv!$HG20/10+calc!AN$1),1)</f>
        <v>-7.9</v>
      </c>
      <c r="AO20" s="4">
        <f>ROUND((csv!$HG20/10+calc!AO$1),1)</f>
        <v>-7.8</v>
      </c>
      <c r="AP20" s="4">
        <f>ROUND((csv!$HG20/10+calc!AP$1),1)</f>
        <v>-7.7</v>
      </c>
      <c r="AQ20" s="4">
        <f>ROUND((csv!$HG20/10+calc!AQ$1),1)</f>
        <v>-7.6</v>
      </c>
      <c r="AR20" s="4">
        <f>ROUND((csv!$HG20/10+calc!AR$1),1)</f>
        <v>-7.5</v>
      </c>
      <c r="AS20" s="4">
        <f>ROUND((csv!$HG20/10+calc!AS$1),1)</f>
        <v>-7.4</v>
      </c>
      <c r="AT20" s="4">
        <f>ROUND((csv!$HG20/10+calc!AT$1),1)</f>
        <v>-7.3</v>
      </c>
      <c r="AU20" s="4">
        <f>ROUND((csv!$HG20/10+calc!AU$1),1)</f>
        <v>-7.2</v>
      </c>
      <c r="AV20" s="4">
        <f>ROUND((csv!$HG20/10+calc!AV$1),1)</f>
        <v>-7.1</v>
      </c>
      <c r="AW20" s="4">
        <f>ROUND((csv!$HG20/10+calc!AW$1),1)</f>
        <v>-7</v>
      </c>
      <c r="AX20" s="4">
        <f>ROUND((csv!$HG20/10+calc!AX$1),1)</f>
        <v>-6.9</v>
      </c>
      <c r="AY20" s="4">
        <f>ROUND((csv!$HG20/10+calc!AY$1),1)</f>
        <v>-6.8</v>
      </c>
      <c r="AZ20" s="4">
        <f>ROUND((csv!$HG20/10+calc!AZ$1),1)</f>
        <v>-6.7</v>
      </c>
      <c r="BA20" s="4">
        <f>ROUND((csv!$HG20/10+calc!BA$1),1)</f>
        <v>-6.6</v>
      </c>
      <c r="BB20" s="4">
        <f>ROUND((csv!$HG20/10+calc!BB$1),1)</f>
        <v>-6.5</v>
      </c>
      <c r="BC20" s="4">
        <f>ROUND((csv!$HG20/10+calc!BC$1),1)</f>
        <v>-6.4</v>
      </c>
      <c r="BD20" s="4">
        <f>ROUND((csv!$HG20/10+calc!BD$1),1)</f>
        <v>-6.3</v>
      </c>
      <c r="BE20" s="4">
        <f>ROUND((csv!$HG20/10+calc!BE$1),1)</f>
        <v>-6.2</v>
      </c>
      <c r="BF20" s="4">
        <f>ROUND((csv!$HG20/10+calc!BF$1),1)</f>
        <v>-6.1</v>
      </c>
      <c r="BG20" s="4">
        <f>ROUND((csv!$HG20/10+calc!BG$1),1)</f>
        <v>-6</v>
      </c>
      <c r="BH20" s="4">
        <f>ROUND((csv!$HG20/10+calc!BH$1),1)</f>
        <v>-5.9</v>
      </c>
      <c r="BI20" s="4">
        <f>ROUND((csv!$HG20/10+calc!BI$1),1)</f>
        <v>-5.8</v>
      </c>
      <c r="BJ20" s="4">
        <f>ROUND((csv!$HG20/10+calc!BJ$1),1)</f>
        <v>-5.7</v>
      </c>
      <c r="BK20" s="4">
        <f>ROUND((csv!$HG20/10+calc!BK$1),1)</f>
        <v>-5.6</v>
      </c>
      <c r="BL20" s="4">
        <f>ROUND((csv!$HG20/10+calc!BL$1),1)</f>
        <v>-5.5</v>
      </c>
      <c r="BM20" s="4">
        <f>ROUND((csv!$HG20/10+calc!BM$1),1)</f>
        <v>-5.4</v>
      </c>
      <c r="BN20" s="4">
        <f>ROUND((csv!$HG20/10+calc!BN$1),1)</f>
        <v>-5.3</v>
      </c>
      <c r="BO20" s="4">
        <f>ROUND((csv!$HG20/10+calc!BO$1),1)</f>
        <v>-5.2</v>
      </c>
      <c r="BP20" s="4">
        <f>ROUND((csv!$HG20/10+calc!BP$1),1)</f>
        <v>-5.0999999999999996</v>
      </c>
      <c r="BQ20" s="4">
        <f>ROUND((csv!$HG20/10+calc!BQ$1),1)</f>
        <v>-5</v>
      </c>
      <c r="BR20" s="4">
        <f>ROUND((csv!$HG20/10+calc!BR$1),1)</f>
        <v>-4.9000000000000004</v>
      </c>
      <c r="BS20" s="4">
        <f>ROUND((csv!$HG20/10+calc!BS$1),1)</f>
        <v>-4.8</v>
      </c>
      <c r="BT20" s="4">
        <f>ROUND((csv!$HG20/10+calc!BT$1),1)</f>
        <v>-4.7</v>
      </c>
      <c r="BU20" s="4">
        <f>ROUND((csv!$HG20/10+calc!BU$1),1)</f>
        <v>-4.5999999999999996</v>
      </c>
      <c r="BV20" s="4">
        <f>ROUND((csv!$HG20/10+calc!BV$1),1)</f>
        <v>-4.5</v>
      </c>
      <c r="BW20" s="4">
        <f>ROUND((csv!$HG20/10+calc!BW$1),1)</f>
        <v>-4.4000000000000004</v>
      </c>
      <c r="BX20" s="4">
        <f>ROUND((csv!$HG20/10+calc!BX$1),1)</f>
        <v>-4.3</v>
      </c>
      <c r="BY20" s="4">
        <f>ROUND((csv!$HG20/10+calc!BY$1),1)</f>
        <v>-4.2</v>
      </c>
      <c r="BZ20" s="4">
        <f>ROUND((csv!$HG20/10+calc!BZ$1),1)</f>
        <v>-4.0999999999999996</v>
      </c>
      <c r="CA20" s="4">
        <f>ROUND((csv!$HG20/10+calc!CA$1),1)</f>
        <v>-4</v>
      </c>
      <c r="CB20" s="4">
        <f>ROUND((csv!$HG20/10+calc!CB$1),1)</f>
        <v>-3.9</v>
      </c>
      <c r="CC20" s="4">
        <f>ROUND((csv!$HG20/10+calc!CC$1),1)</f>
        <v>-3.8</v>
      </c>
      <c r="CD20" s="4">
        <f>ROUND((csv!$HG20/10+calc!CD$1),1)</f>
        <v>-3.7</v>
      </c>
      <c r="CE20" s="4">
        <f>ROUND((csv!$HG20/10+calc!CE$1),1)</f>
        <v>-3.6</v>
      </c>
      <c r="CF20" s="4">
        <f>ROUND((csv!$HG20/10+calc!CF$1),1)</f>
        <v>-3.5</v>
      </c>
      <c r="CG20" s="4">
        <f>ROUND((csv!$HG20/10+calc!CG$1),1)</f>
        <v>-3.4</v>
      </c>
      <c r="CH20" s="4">
        <f>ROUND((csv!$HG20/10+calc!CH$1),1)</f>
        <v>-3.3</v>
      </c>
      <c r="CI20" s="4">
        <f>ROUND((csv!$HG20/10+calc!CI$1),1)</f>
        <v>-3.2</v>
      </c>
      <c r="CJ20" s="4">
        <f>ROUND((csv!$HG20/10+calc!CJ$1),1)</f>
        <v>-3.1</v>
      </c>
      <c r="CK20" s="4">
        <f>ROUND((csv!$HG20/10+calc!CK$1),1)</f>
        <v>-3</v>
      </c>
      <c r="CL20" s="4">
        <f>ROUND((csv!$HG20/10+calc!CL$1),1)</f>
        <v>-2.9</v>
      </c>
      <c r="CM20" s="4">
        <f>ROUND((csv!$HG20/10+calc!CM$1),1)</f>
        <v>-2.8</v>
      </c>
      <c r="CN20" s="4">
        <f>ROUND((csv!$HG20/10+calc!CN$1),1)</f>
        <v>-2.7</v>
      </c>
      <c r="CO20" s="4">
        <f>ROUND((csv!$HG20/10+calc!CO$1),1)</f>
        <v>-2.6</v>
      </c>
      <c r="CP20" s="4">
        <f>ROUND((csv!$HG20/10+calc!CP$1),1)</f>
        <v>-2.5</v>
      </c>
      <c r="CQ20" s="4">
        <f>ROUND((csv!$HG20/10+calc!CQ$1),1)</f>
        <v>-2.4</v>
      </c>
      <c r="CR20" s="4">
        <f>ROUND((csv!$HG20/10+calc!CR$1),1)</f>
        <v>-2.2999999999999998</v>
      </c>
      <c r="CS20" s="4">
        <f>ROUND((csv!$HG20/10+calc!CS$1),1)</f>
        <v>-2.2000000000000002</v>
      </c>
      <c r="CT20" s="4">
        <f>ROUND((csv!$HG20/10+calc!CT$1),1)</f>
        <v>-2.1</v>
      </c>
      <c r="CU20" s="4">
        <f>ROUND((csv!$HG20/10+calc!CU$1),1)</f>
        <v>-2</v>
      </c>
      <c r="CV20" s="4">
        <f>ROUND((csv!$HG20/10+calc!CV$1),1)</f>
        <v>-1.9</v>
      </c>
      <c r="CW20" s="4">
        <f>ROUND((csv!$HG20/10+calc!CW$1),1)</f>
        <v>-1.8</v>
      </c>
      <c r="CX20" s="4">
        <f>ROUND((csv!$HG20/10+calc!CX$1),1)</f>
        <v>-1.7</v>
      </c>
      <c r="CY20" s="4">
        <f>ROUND((csv!$HG20/10+calc!CY$1),1)</f>
        <v>-1.6</v>
      </c>
      <c r="CZ20" s="4">
        <f>ROUND((csv!$HG20/10+calc!CZ$1),1)</f>
        <v>-1.5</v>
      </c>
      <c r="DA20" s="4">
        <f>ROUND((csv!$HG20/10+calc!DA$1),1)</f>
        <v>-1.4</v>
      </c>
      <c r="DB20" s="4">
        <f>ROUND((csv!$HG20/10+calc!DB$1),1)</f>
        <v>-1.3</v>
      </c>
      <c r="DC20" s="4">
        <f>ROUND((csv!$HG20/10+calc!DC$1),1)</f>
        <v>-1.2</v>
      </c>
      <c r="DD20" s="4">
        <f>ROUND((csv!$HG20/10+calc!DD$1),1)</f>
        <v>-1.1000000000000001</v>
      </c>
      <c r="DE20" s="4">
        <f>ROUND((csv!$HG20/10+calc!DE$1),1)</f>
        <v>-1</v>
      </c>
      <c r="DF20" s="4">
        <f>ROUND((csv!$HG20/10+calc!DF$1),1)</f>
        <v>-0.9</v>
      </c>
      <c r="DG20" s="4">
        <f>ROUND((csv!$HG20/10+calc!DG$1),1)</f>
        <v>-0.8</v>
      </c>
      <c r="DH20" s="4">
        <f>ROUND((csv!$HG20/10+calc!DH$1),1)</f>
        <v>-0.7</v>
      </c>
      <c r="DI20" s="4">
        <f>ROUND((csv!$HG20/10+calc!DI$1),1)</f>
        <v>-0.6</v>
      </c>
      <c r="DJ20" s="4">
        <f>ROUND((csv!$HG20/10+calc!DJ$1),1)</f>
        <v>-0.5</v>
      </c>
      <c r="DK20" s="4">
        <f>ROUND((csv!$HG20/10+calc!DK$1),1)</f>
        <v>-0.4</v>
      </c>
      <c r="DL20" s="4">
        <f>ROUND((csv!$HG20/10+calc!DL$1),1)</f>
        <v>-0.3</v>
      </c>
      <c r="DM20" s="4">
        <f>ROUND((csv!$HG20/10+calc!DM$1),1)</f>
        <v>-0.2</v>
      </c>
      <c r="DN20" s="4">
        <f>ROUND((csv!$HG20/10+calc!DN$1),1)</f>
        <v>-0.1</v>
      </c>
      <c r="DO20" s="4">
        <f>ROUND((csv!$HG20/10+calc!DO$1),1)</f>
        <v>0</v>
      </c>
      <c r="DP20" s="4">
        <f>ROUND((csv!$HG20/10+calc!DP$1),1)</f>
        <v>0.1</v>
      </c>
      <c r="DQ20" s="4">
        <f>ROUND((csv!$HG20/10+calc!DQ$1),1)</f>
        <v>0.2</v>
      </c>
      <c r="DR20" s="4">
        <f>ROUND((csv!$HG20/10+calc!DR$1),1)</f>
        <v>0.3</v>
      </c>
      <c r="DS20" s="4">
        <f>ROUND((csv!$HG20/10+calc!DS$1),1)</f>
        <v>0.4</v>
      </c>
      <c r="DT20" s="4">
        <f>ROUND((csv!$HG20/10+calc!DT$1),1)</f>
        <v>0.5</v>
      </c>
      <c r="DU20" s="4">
        <f>ROUND((csv!$HG20/10+calc!DU$1),1)</f>
        <v>0.6</v>
      </c>
      <c r="DV20" s="4">
        <f>ROUND((csv!$HG20/10+calc!DV$1),1)</f>
        <v>0.7</v>
      </c>
      <c r="DW20" s="4">
        <f>ROUND((csv!$HG20/10+calc!DW$1),1)</f>
        <v>0.8</v>
      </c>
      <c r="DX20" s="4">
        <f>ROUND((csv!$HG20/10+calc!DX$1),1)</f>
        <v>0.9</v>
      </c>
      <c r="DY20" s="4">
        <f>ROUND((csv!$HG20/10+calc!DY$1),1)</f>
        <v>1</v>
      </c>
      <c r="DZ20" s="4">
        <f>ROUND((csv!$HG20/10+calc!DZ$1),1)</f>
        <v>1.1000000000000001</v>
      </c>
      <c r="EA20" s="4">
        <f>ROUND((csv!$HG20/10+calc!EA$1),1)</f>
        <v>1.2</v>
      </c>
      <c r="EB20" s="4">
        <f>ROUND((csv!$HG20/10+calc!EB$1),1)</f>
        <v>1.3</v>
      </c>
      <c r="EC20" s="4">
        <f>ROUND((csv!$HG20/10+calc!EC$1),1)</f>
        <v>1.4</v>
      </c>
      <c r="ED20" s="4">
        <f>ROUND((csv!$HG20/10+calc!ED$1),1)</f>
        <v>1.5</v>
      </c>
      <c r="EE20" s="4">
        <f>ROUND((csv!$HG20/10+calc!EE$1),1)</f>
        <v>1.6</v>
      </c>
      <c r="EF20" s="4">
        <f>ROUND((csv!$HG20/10+calc!EF$1),1)</f>
        <v>1.7</v>
      </c>
      <c r="EG20" s="4">
        <f>ROUND((csv!$HG20/10+calc!EG$1),1)</f>
        <v>1.8</v>
      </c>
      <c r="EH20" s="4">
        <f>ROUND((csv!$HG20/10+calc!EH$1),1)</f>
        <v>1.9</v>
      </c>
      <c r="EI20" s="4">
        <f>ROUND((csv!$HG20/10+calc!EI$1),1)</f>
        <v>2</v>
      </c>
      <c r="EJ20" s="4">
        <f>ROUND((csv!$HG20/10+calc!EJ$1),1)</f>
        <v>2.1</v>
      </c>
      <c r="EK20" s="4">
        <f>ROUND((csv!$HG20/10+calc!EK$1),1)</f>
        <v>2.2000000000000002</v>
      </c>
      <c r="EL20" s="4">
        <f>ROUND((csv!$HG20/10+calc!EL$1),1)</f>
        <v>2.2999999999999998</v>
      </c>
      <c r="EM20" s="4">
        <f>ROUND((csv!$HG20/10+calc!EM$1),1)</f>
        <v>2.4</v>
      </c>
      <c r="EN20" s="4">
        <f>ROUND((csv!$HG20/10+calc!EN$1),1)</f>
        <v>2.5</v>
      </c>
      <c r="EO20" s="4">
        <f>ROUND((csv!$HG20/10+calc!EO$1),1)</f>
        <v>2.6</v>
      </c>
      <c r="EP20" s="4">
        <f>ROUND((csv!$HG20/10+calc!EP$1),1)</f>
        <v>2.7</v>
      </c>
      <c r="EQ20" s="4">
        <f>ROUND((csv!$HG20/10+calc!EQ$1),1)</f>
        <v>2.8</v>
      </c>
      <c r="ER20" s="4">
        <f>ROUND((csv!$HG20/10+calc!ER$1),1)</f>
        <v>2.9</v>
      </c>
      <c r="ES20" s="4">
        <f>ROUND((csv!$HG20/10+calc!ES$1),1)</f>
        <v>3</v>
      </c>
      <c r="ET20" s="4">
        <f>ROUND((csv!$HG20/10+calc!ET$1),1)</f>
        <v>3.1</v>
      </c>
      <c r="EU20" s="4">
        <f>ROUND((csv!$HG20/10+calc!EU$1),1)</f>
        <v>3.2</v>
      </c>
      <c r="EV20" s="4">
        <f>ROUND((csv!$HG20/10+calc!EV$1),1)</f>
        <v>3.3</v>
      </c>
      <c r="EW20" s="4">
        <f>ROUND((csv!$HG20/10+calc!EW$1),1)</f>
        <v>3.4</v>
      </c>
      <c r="EX20" s="4">
        <f>ROUND((csv!$HG20/10+calc!EX$1),1)</f>
        <v>3.5</v>
      </c>
      <c r="EY20" s="4">
        <f>ROUND((csv!$HG20/10+calc!EY$1),1)</f>
        <v>3.6</v>
      </c>
      <c r="EZ20" s="4">
        <f>ROUND((csv!$HG20/10+calc!EZ$1),1)</f>
        <v>3.7</v>
      </c>
      <c r="FA20" s="4">
        <f>ROUND((csv!$HG20/10+calc!FA$1),1)</f>
        <v>3.8</v>
      </c>
      <c r="FB20" s="4">
        <f>ROUND((csv!$HG20/10+calc!FB$1),1)</f>
        <v>3.9</v>
      </c>
      <c r="FC20" s="4">
        <f>ROUND((csv!$HG20/10+calc!FC$1),1)</f>
        <v>4</v>
      </c>
      <c r="FD20" s="4">
        <f>ROUND((csv!$HG20/10+calc!FD$1),1)</f>
        <v>4.0999999999999996</v>
      </c>
      <c r="FE20" s="4">
        <f>ROUND((csv!$HG20/10+calc!FE$1),1)</f>
        <v>4.2</v>
      </c>
      <c r="FF20" s="4">
        <f>ROUND((csv!$HG20/10+calc!FF$1),1)</f>
        <v>4.3</v>
      </c>
      <c r="FG20" s="4">
        <f>ROUND((csv!$HG20/10+calc!FG$1),1)</f>
        <v>4.4000000000000004</v>
      </c>
      <c r="FH20" s="4">
        <f>ROUND((csv!$HG20/10+calc!FH$1),1)</f>
        <v>4.5</v>
      </c>
      <c r="FI20" s="4">
        <f>ROUND((csv!$HG20/10+calc!FI$1),1)</f>
        <v>4.5999999999999996</v>
      </c>
      <c r="FJ20" s="4">
        <f>ROUND((csv!$HG20/10+calc!FJ$1),1)</f>
        <v>4.7</v>
      </c>
      <c r="FK20" s="4">
        <f>ROUND((csv!$HG20/10+calc!FK$1),1)</f>
        <v>4.8</v>
      </c>
      <c r="FL20" s="4">
        <f>ROUND((csv!$HG20/10+calc!FL$1),1)</f>
        <v>4.9000000000000004</v>
      </c>
      <c r="FM20" s="4">
        <f>ROUND((csv!$HG20/10+calc!FM$1),1)</f>
        <v>5</v>
      </c>
      <c r="FN20" s="4">
        <f>ROUND((csv!$HG20/10+calc!FN$1),1)</f>
        <v>5.0999999999999996</v>
      </c>
      <c r="FO20" s="4">
        <f>ROUND((csv!$HG20/10+calc!FO$1),1)</f>
        <v>5.2</v>
      </c>
      <c r="FP20" s="4">
        <f>ROUND((csv!$HG20/10+calc!FP$1),1)</f>
        <v>5.3</v>
      </c>
      <c r="FQ20" s="4">
        <f>ROUND((csv!$HG20/10+calc!FQ$1),1)</f>
        <v>5.4</v>
      </c>
      <c r="FR20" s="4">
        <f>ROUND((csv!$HG20/10+calc!FR$1),1)</f>
        <v>5.5</v>
      </c>
      <c r="FS20" s="4">
        <f>ROUND((csv!$HG20/10+calc!FS$1),1)</f>
        <v>5.6</v>
      </c>
      <c r="FT20" s="4">
        <f>ROUND((csv!$HG20/10+calc!FT$1),1)</f>
        <v>5.7</v>
      </c>
      <c r="FU20" s="4">
        <f>ROUND((csv!$HG20/10+calc!FU$1),1)</f>
        <v>5.8</v>
      </c>
      <c r="FV20" s="4">
        <f>ROUND((csv!$HG20/10+calc!FV$1),1)</f>
        <v>5.9</v>
      </c>
      <c r="FW20" s="4">
        <f>ROUND((csv!$HG20/10+calc!FW$1),1)</f>
        <v>6</v>
      </c>
      <c r="FX20" s="4">
        <f>ROUND((csv!$HG20/10+calc!FX$1),1)</f>
        <v>6.1</v>
      </c>
      <c r="FY20" s="4">
        <f>ROUND((csv!$HG20/10+calc!FY$1),1)</f>
        <v>6.2</v>
      </c>
      <c r="FZ20" s="4">
        <f>ROUND((csv!$HG20/10+calc!FZ$1),1)</f>
        <v>6.3</v>
      </c>
      <c r="GA20" s="4">
        <f>ROUND((csv!$HG20/10+calc!GA$1),1)</f>
        <v>6.4</v>
      </c>
      <c r="GB20" s="4">
        <f>ROUND((csv!$HG20/10+calc!GB$1),1)</f>
        <v>6.5</v>
      </c>
      <c r="GC20" s="4">
        <f>ROUND((csv!$HG20/10+calc!GC$1),1)</f>
        <v>6.6</v>
      </c>
      <c r="GD20" s="4">
        <f>ROUND((csv!$HG20/10+calc!GD$1),1)</f>
        <v>6.7</v>
      </c>
      <c r="GE20" s="4">
        <f>ROUND((csv!$HG20/10+calc!GE$1),1)</f>
        <v>6.8</v>
      </c>
      <c r="GF20" s="4">
        <f>ROUND((csv!$HG20/10+calc!GF$1),1)</f>
        <v>6.9</v>
      </c>
      <c r="GG20" s="4">
        <f>ROUND((csv!$HG20/10+calc!GG$1),1)</f>
        <v>7</v>
      </c>
      <c r="GH20" s="4">
        <f>ROUND((csv!$HG20/10+calc!GH$1),1)</f>
        <v>7.1</v>
      </c>
      <c r="GI20" s="4">
        <f>ROUND((csv!$HG20/10+calc!GI$1),1)</f>
        <v>7.2</v>
      </c>
      <c r="GJ20" s="4">
        <f>ROUND((csv!$HG20/10+calc!GJ$1),1)</f>
        <v>7.3</v>
      </c>
      <c r="GK20" s="4">
        <f>ROUND((csv!$HG20/10+calc!GK$1),1)</f>
        <v>7.4</v>
      </c>
      <c r="GL20" s="4">
        <f>ROUND((csv!$HG20/10+calc!GL$1),1)</f>
        <v>7.5</v>
      </c>
      <c r="GM20" s="4">
        <f>ROUND((csv!$HG20/10+calc!GM$1),1)</f>
        <v>7.6</v>
      </c>
      <c r="GN20" s="4">
        <f>ROUND((csv!$HG20/10+calc!GN$1),1)</f>
        <v>7.7</v>
      </c>
      <c r="GO20" s="4">
        <f>ROUND((csv!$HG20/10+calc!GO$1),1)</f>
        <v>7.8</v>
      </c>
      <c r="GP20" s="4">
        <f>ROUND((csv!$HG20/10+calc!GP$1),1)</f>
        <v>7.9</v>
      </c>
      <c r="GQ20" s="4">
        <f>ROUND((csv!$HG20/10+calc!GQ$1),1)</f>
        <v>8</v>
      </c>
      <c r="GR20" s="4">
        <f>ROUND((csv!$HG20/10+calc!GR$1),1)</f>
        <v>8.1</v>
      </c>
      <c r="GS20" s="4">
        <f>ROUND((csv!$HG20/10+calc!GS$1),1)</f>
        <v>8.1999999999999993</v>
      </c>
      <c r="GT20" s="4">
        <f>ROUND((csv!$HG20/10+calc!GT$1),1)</f>
        <v>8.3000000000000007</v>
      </c>
      <c r="GU20" s="4">
        <f>ROUND((csv!$HG20/10+calc!GU$1),1)</f>
        <v>8.4</v>
      </c>
      <c r="GV20" s="4">
        <f>ROUND((csv!$HG20/10+calc!GV$1),1)</f>
        <v>8.5</v>
      </c>
      <c r="GW20" s="4">
        <f>ROUND((csv!$HG20/10+calc!GW$1),1)</f>
        <v>8.6</v>
      </c>
      <c r="GX20" s="4">
        <f>ROUND((csv!$HG20/10+calc!GX$1),1)</f>
        <v>8.6999999999999993</v>
      </c>
      <c r="GY20" s="4">
        <f>ROUND((csv!$HG20/10+calc!GY$1),1)</f>
        <v>8.8000000000000007</v>
      </c>
      <c r="GZ20" s="4">
        <f>ROUND((csv!$HG20/10+calc!GZ$1),1)</f>
        <v>8.9</v>
      </c>
      <c r="HA20" s="4">
        <f>ROUND((csv!$HG20/10+calc!HA$1),1)</f>
        <v>9</v>
      </c>
      <c r="HB20" s="4">
        <f>ROUND((csv!$HG20/10+calc!HB$1),1)</f>
        <v>9.1</v>
      </c>
      <c r="HC20" s="4">
        <f>ROUND((csv!$HG20/10+calc!HC$1),1)</f>
        <v>9.1999999999999993</v>
      </c>
      <c r="HD20" s="4">
        <f>ROUND((csv!$HG20/10+calc!HD$1),1)</f>
        <v>9.3000000000000007</v>
      </c>
      <c r="HE20" s="4">
        <f>ROUND((csv!$HG20/10+calc!HE$1),1)</f>
        <v>9.4</v>
      </c>
      <c r="HF20" s="4">
        <f>ROUND((csv!$HG20/10+calc!HF$1),1)</f>
        <v>9.5</v>
      </c>
      <c r="HG20" s="4">
        <f>ROUND((csv!$HG20/10+calc!HG$1),1)</f>
        <v>9.6</v>
      </c>
      <c r="HH20" s="4">
        <f>ROUND((csv!$HG20/10+calc!HH$1),1)</f>
        <v>9.6999999999999993</v>
      </c>
      <c r="HI20" s="4">
        <f>ROUND((csv!$HG20/10+calc!HI$1),1)</f>
        <v>9.8000000000000007</v>
      </c>
      <c r="HJ20" s="4">
        <f>ROUND((csv!$HG20/10+calc!HJ$1),1)</f>
        <v>9.9</v>
      </c>
      <c r="HK20" s="4">
        <f>ROUND((csv!$HG20/10+calc!HK$1),1)</f>
        <v>10</v>
      </c>
      <c r="HM20" s="2">
        <f>csv!A20*10000+csv!B20*100+csv!C20</f>
        <v>0</v>
      </c>
      <c r="HN20" s="5">
        <f>IF(ISERROR(LOOKUP(HN$1,$S20:$HK20,csv!$L20:$HD20)),NA(),LOOKUP(HN$1,$S20:$HK20,csv!$L20:$HD20))</f>
        <v>0</v>
      </c>
      <c r="HO20" s="5">
        <f>IF(ISERROR(LOOKUP(HO$1,$S20:$HK20,csv!$L20:$HD20)),NA(),LOOKUP(HO$1,$S20:$HK20,csv!$L20:$HD20))</f>
        <v>0</v>
      </c>
      <c r="HP20" s="5">
        <f>IF(ISERROR(LOOKUP(HP$1,$S20:$HK20,csv!$L20:$HD20)),NA(),LOOKUP(HP$1,$S20:$HK20,csv!$L20:$HD20))</f>
        <v>0</v>
      </c>
      <c r="HQ20" s="5">
        <f>IF(ISERROR(LOOKUP(HQ$1,$S20:$HK20,csv!$L20:$HD20)),NA(),LOOKUP(HQ$1,$S20:$HK20,csv!$L20:$HD20))</f>
        <v>0</v>
      </c>
      <c r="HR20" s="5">
        <f>IF(ISERROR(LOOKUP(HR$1,$S20:$HK20,csv!$L20:$HD20)),NA(),LOOKUP(HR$1,$S20:$HK20,csv!$L20:$HD20))</f>
        <v>0</v>
      </c>
      <c r="HS20" s="5">
        <f>IF(ISERROR(LOOKUP(HS$1,$S20:$HK20,csv!$L20:$HD20)),NA(),LOOKUP(HS$1,$S20:$HK20,csv!$L20:$HD20))</f>
        <v>0</v>
      </c>
      <c r="HT20" s="5">
        <f>IF(ISERROR(LOOKUP(HT$1,$S20:$HK20,csv!$L20:$HD20)),NA(),LOOKUP(HT$1,$S20:$HK20,csv!$L20:$HD20))</f>
        <v>0</v>
      </c>
      <c r="HU20" s="5">
        <f>IF(ISERROR(LOOKUP(HU$1,$S20:$HK20,csv!$L20:$HD20)),NA(),LOOKUP(HU$1,$S20:$HK20,csv!$L20:$HD20))</f>
        <v>0</v>
      </c>
      <c r="HV20" s="5">
        <f>IF(ISERROR(LOOKUP(HV$1,$S20:$HK20,csv!$L20:$HD20)),NA(),LOOKUP(HV$1,$S20:$HK20,csv!$L20:$HD20))</f>
        <v>0</v>
      </c>
      <c r="HW20" s="5">
        <f>IF(ISERROR(LOOKUP(HW$1,$S20:$HK20,csv!$L20:$HD20)),NA(),LOOKUP(HW$1,$S20:$HK20,csv!$L20:$HD20))</f>
        <v>0</v>
      </c>
      <c r="HX20" s="5">
        <f>IF(ISERROR(LOOKUP(HX$1,$S20:$HK20,csv!$L20:$HD20)),NA(),LOOKUP(HX$1,$S20:$HK20,csv!$L20:$HD20))</f>
        <v>0</v>
      </c>
      <c r="HY20" s="5">
        <f>IF(ISERROR(LOOKUP(HY$1,$S20:$HK20,csv!$L20:$HD20)),NA(),LOOKUP(HY$1,$S20:$HK20,csv!$L20:$HD20))</f>
        <v>0</v>
      </c>
      <c r="HZ20" s="5">
        <f>IF(ISERROR(LOOKUP(HZ$1,$S20:$HK20,csv!$L20:$HD20)),NA(),LOOKUP(HZ$1,$S20:$HK20,csv!$L20:$HD20))</f>
        <v>0</v>
      </c>
      <c r="IA20" s="5">
        <f>IF(ISERROR(LOOKUP(IA$1,$S20:$HK20,csv!$L20:$HD20)),NA(),LOOKUP(IA$1,$S20:$HK20,csv!$L20:$HD20))</f>
        <v>0</v>
      </c>
      <c r="IB20" s="5">
        <f>IF(ISERROR(LOOKUP(IB$1,$S20:$HK20,csv!$L20:$HD20)),NA(),LOOKUP(IB$1,$S20:$HK20,csv!$L20:$HD20))</f>
        <v>0</v>
      </c>
      <c r="IC20" s="5">
        <f>IF(ISERROR(LOOKUP(IC$1,$S20:$HK20,csv!$L20:$HD20)),NA(),LOOKUP(IC$1,$S20:$HK20,csv!$L20:$HD20))</f>
        <v>0</v>
      </c>
      <c r="ID20" s="5">
        <f>IF(ISERROR(LOOKUP(ID$1,$S20:$HK20,csv!$L20:$HD20)),NA(),LOOKUP(ID$1,$S20:$HK20,csv!$L20:$HD20))</f>
        <v>0</v>
      </c>
      <c r="IE20" s="5">
        <f>IF(ISERROR(LOOKUP(IE$1,$S20:$HK20,csv!$L20:$HD20)),NA(),LOOKUP(IE$1,$S20:$HK20,csv!$L20:$HD20))</f>
        <v>0</v>
      </c>
      <c r="IF20" s="5">
        <f>IF(ISERROR(LOOKUP(IF$1,$S20:$HK20,csv!$L20:$HD20)),NA(),LOOKUP(IF$1,$S20:$HK20,csv!$L20:$HD20))</f>
        <v>0</v>
      </c>
      <c r="IG20" s="5">
        <f>IF(ISERROR(LOOKUP(IG$1,$S20:$HK20,csv!$L20:$HD20)),NA(),LOOKUP(IG$1,$S20:$HK20,csv!$L20:$HD20))</f>
        <v>0</v>
      </c>
      <c r="IH20" s="5">
        <f>IF(ISERROR(LOOKUP(IH$1,$S20:$HK20,csv!$L20:$HD20)),NA(),LOOKUP(IH$1,$S20:$HK20,csv!$L20:$HD20))</f>
        <v>0</v>
      </c>
      <c r="II20" s="5">
        <f>IF(ISERROR(LOOKUP(II$1,$S20:$HK20,csv!$L20:$HD20)),NA(),LOOKUP(II$1,$S20:$HK20,csv!$L20:$HD20))</f>
        <v>0</v>
      </c>
      <c r="IJ20" s="5">
        <f>IF(ISERROR(LOOKUP(IJ$1,$S20:$HK20,csv!$L20:$HD20)),NA(),LOOKUP(IJ$1,$S20:$HK20,csv!$L20:$HD20))</f>
        <v>0</v>
      </c>
      <c r="IK20" s="5">
        <f>IF(ISERROR(LOOKUP(IK$1,$S20:$HK20,csv!$L20:$HD20)),NA(),LOOKUP(IK$1,$S20:$HK20,csv!$L20:$HD20))</f>
        <v>0</v>
      </c>
      <c r="IL20" s="5">
        <f>IF(ISERROR(LOOKUP(IL$1,$S20:$HK20,csv!$L20:$HD20)),NA(),LOOKUP(IL$1,$S20:$HK20,csv!$L20:$HD20))</f>
        <v>0</v>
      </c>
      <c r="IM20" s="5">
        <f>IF(ISERROR(LOOKUP(IM$1,$S20:$HK20,csv!$L20:$HD20)),NA(),LOOKUP(IM$1,$S20:$HK20,csv!$L20:$HD20))</f>
        <v>0</v>
      </c>
      <c r="IN20" s="5">
        <f>IF(ISERROR(LOOKUP(IN$1,$S20:$HK20,csv!$L20:$HD20)),NA(),LOOKUP(IN$1,$S20:$HK20,csv!$L20:$HD20))</f>
        <v>0</v>
      </c>
      <c r="IO20" s="5">
        <f>IF(ISERROR(LOOKUP(IO$1,$S20:$HK20,csv!$L20:$HD20)),NA(),LOOKUP(IO$1,$S20:$HK20,csv!$L20:$HD20))</f>
        <v>0</v>
      </c>
      <c r="IP20" s="5">
        <f>IF(ISERROR(LOOKUP(IP$1,$S20:$HK20,csv!$L20:$HD20)),NA(),LOOKUP(IP$1,$S20:$HK20,csv!$L20:$HD20))</f>
        <v>0</v>
      </c>
      <c r="IQ20" s="5">
        <f>IF(ISERROR(LOOKUP(IQ$1,$S20:$HK20,csv!$L20:$HD20)),NA(),LOOKUP(IQ$1,$S20:$HK20,csv!$L20:$HD20))</f>
        <v>0</v>
      </c>
      <c r="IR20" s="5">
        <f>IF(ISERROR(LOOKUP(IR$1,$S20:$HK20,csv!$L20:$HD20)),NA(),LOOKUP(IR$1,$S20:$HK20,csv!$L20:$HD20))</f>
        <v>0</v>
      </c>
      <c r="IS20" s="5">
        <f>IF(ISERROR(LOOKUP(IS$1,$S20:$HK20,csv!$L20:$HD20)),NA(),LOOKUP(IS$1,$S20:$HK20,csv!$L20:$HD20))</f>
        <v>0</v>
      </c>
      <c r="IT20" s="5">
        <f>IF(ISERROR(LOOKUP(IT$1,$S20:$HK20,csv!$L20:$HD20)),NA(),LOOKUP(IT$1,$S20:$HK20,csv!$L20:$HD20))</f>
        <v>0</v>
      </c>
      <c r="IU20" s="5">
        <f>IF(ISERROR(LOOKUP(IU$1,$S20:$HK20,csv!$L20:$HD20)),NA(),LOOKUP(IU$1,$S20:$HK20,csv!$L20:$HD20))</f>
        <v>0</v>
      </c>
      <c r="IV20" s="5">
        <f>IF(ISERROR(LOOKUP(IV$1,$S20:$HK20,csv!$L20:$HD20)),NA(),LOOKUP(IV$1,$S20:$HK20,csv!$L20:$HD20))</f>
        <v>0</v>
      </c>
      <c r="IW20" s="5">
        <f>IF(ISERROR(LOOKUP(IW$1,$S20:$HK20,csv!$L20:$HD20)),NA(),LOOKUP(IW$1,$S20:$HK20,csv!$L20:$HD20))</f>
        <v>0</v>
      </c>
      <c r="IX20" s="5">
        <f>IF(ISERROR(LOOKUP(IX$1,$S20:$HK20,csv!$L20:$HD20)),NA(),LOOKUP(IX$1,$S20:$HK20,csv!$L20:$HD20))</f>
        <v>0</v>
      </c>
      <c r="IY20" s="5">
        <f>IF(ISERROR(LOOKUP(IY$1,$S20:$HK20,csv!$L20:$HD20)),NA(),LOOKUP(IY$1,$S20:$HK20,csv!$L20:$HD20))</f>
        <v>0</v>
      </c>
      <c r="IZ20" s="5">
        <f>IF(ISERROR(LOOKUP(IZ$1,$S20:$HK20,csv!$L20:$HD20)),NA(),LOOKUP(IZ$1,$S20:$HK20,csv!$L20:$HD20))</f>
        <v>0</v>
      </c>
      <c r="JA20" s="5">
        <f>IF(ISERROR(LOOKUP(JA$1,$S20:$HK20,csv!$L20:$HD20)),NA(),LOOKUP(JA$1,$S20:$HK20,csv!$L20:$HD20))</f>
        <v>0</v>
      </c>
      <c r="JB20" s="5">
        <f>IF(ISERROR(LOOKUP(JB$1,$S20:$HK20,csv!$L20:$HD20)),NA(),LOOKUP(JB$1,$S20:$HK20,csv!$L20:$HD20))</f>
        <v>0</v>
      </c>
      <c r="JC20" s="5">
        <f>IF(ISERROR(LOOKUP(JC$1,$S20:$HK20,csv!$L20:$HD20)),NA(),LOOKUP(JC$1,$S20:$HK20,csv!$L20:$HD20))</f>
        <v>0</v>
      </c>
      <c r="JD20" s="5">
        <f>IF(ISERROR(LOOKUP(JD$1,$S20:$HK20,csv!$L20:$HD20)),NA(),LOOKUP(JD$1,$S20:$HK20,csv!$L20:$HD20))</f>
        <v>0</v>
      </c>
      <c r="JE20" s="5">
        <f>IF(ISERROR(LOOKUP(JE$1,$S20:$HK20,csv!$L20:$HD20)),NA(),LOOKUP(JE$1,$S20:$HK20,csv!$L20:$HD20))</f>
        <v>0</v>
      </c>
      <c r="JF20" s="5">
        <f>IF(ISERROR(LOOKUP(JF$1,$S20:$HK20,csv!$L20:$HD20)),NA(),LOOKUP(JF$1,$S20:$HK20,csv!$L20:$HD20))</f>
        <v>0</v>
      </c>
      <c r="JG20" s="5">
        <f>IF(ISERROR(LOOKUP(JG$1,$S20:$HK20,csv!$L20:$HD20)),NA(),LOOKUP(JG$1,$S20:$HK20,csv!$L20:$HD20))</f>
        <v>0</v>
      </c>
      <c r="JH20" s="5">
        <f>IF(ISERROR(LOOKUP(JH$1,$S20:$HK20,csv!$L20:$HD20)),NA(),LOOKUP(JH$1,$S20:$HK20,csv!$L20:$HD20))</f>
        <v>0</v>
      </c>
      <c r="JI20" s="5">
        <f>IF(ISERROR(LOOKUP(JI$1,$S20:$HK20,csv!$L20:$HD20)),NA(),LOOKUP(JI$1,$S20:$HK20,csv!$L20:$HD20))</f>
        <v>0</v>
      </c>
      <c r="JJ20" s="5">
        <f>IF(ISERROR(LOOKUP(JJ$1,$S20:$HK20,csv!$L20:$HD20)),NA(),LOOKUP(JJ$1,$S20:$HK20,csv!$L20:$HD20))</f>
        <v>0</v>
      </c>
      <c r="JK20" s="5">
        <f>IF(ISERROR(LOOKUP(JK$1,$S20:$HK20,csv!$L20:$HD20)),NA(),LOOKUP(JK$1,$S20:$HK20,csv!$L20:$HD20))</f>
        <v>0</v>
      </c>
      <c r="JL20" s="5">
        <f>IF(ISERROR(LOOKUP(JL$1,$S20:$HK20,csv!$L20:$HD20)),NA(),LOOKUP(JL$1,$S20:$HK20,csv!$L20:$HD20))</f>
        <v>0</v>
      </c>
      <c r="JM20" s="5">
        <f>IF(ISERROR(LOOKUP(JM$1,$S20:$HK20,csv!$L20:$HD20)),NA(),LOOKUP(JM$1,$S20:$HK20,csv!$L20:$HD20))</f>
        <v>0</v>
      </c>
      <c r="JN20" s="5">
        <f>IF(ISERROR(LOOKUP(JN$1,$S20:$HK20,csv!$L20:$HD20)),NA(),LOOKUP(JN$1,$S20:$HK20,csv!$L20:$HD20))</f>
        <v>0</v>
      </c>
      <c r="JO20" s="5">
        <f>IF(ISERROR(LOOKUP(JO$1,$S20:$HK20,csv!$L20:$HD20)),NA(),LOOKUP(JO$1,$S20:$HK20,csv!$L20:$HD20))</f>
        <v>0</v>
      </c>
      <c r="JP20" s="5">
        <f>IF(ISERROR(LOOKUP(JP$1,$S20:$HK20,csv!$L20:$HD20)),NA(),LOOKUP(JP$1,$S20:$HK20,csv!$L20:$HD20))</f>
        <v>0</v>
      </c>
      <c r="JQ20" s="5">
        <f>IF(ISERROR(LOOKUP(JQ$1,$S20:$HK20,csv!$L20:$HD20)),NA(),LOOKUP(JQ$1,$S20:$HK20,csv!$L20:$HD20))</f>
        <v>0</v>
      </c>
      <c r="JR20" s="5">
        <f>IF(ISERROR(LOOKUP(JR$1,$S20:$HK20,csv!$L20:$HD20)),NA(),LOOKUP(JR$1,$S20:$HK20,csv!$L20:$HD20))</f>
        <v>0</v>
      </c>
      <c r="JS20" s="5">
        <f>IF(ISERROR(LOOKUP(JS$1,$S20:$HK20,csv!$L20:$HD20)),NA(),LOOKUP(JS$1,$S20:$HK20,csv!$L20:$HD20))</f>
        <v>0</v>
      </c>
      <c r="JT20" s="5">
        <f>IF(ISERROR(LOOKUP(JT$1,$S20:$HK20,csv!$L20:$HD20)),NA(),LOOKUP(JT$1,$S20:$HK20,csv!$L20:$HD20))</f>
        <v>0</v>
      </c>
      <c r="JU20" s="5">
        <f>IF(ISERROR(LOOKUP(JU$1,$S20:$HK20,csv!$L20:$HD20)),NA(),LOOKUP(JU$1,$S20:$HK20,csv!$L20:$HD20))</f>
        <v>0</v>
      </c>
      <c r="JV20" s="5">
        <f>IF(ISERROR(LOOKUP(JV$1,$S20:$HK20,csv!$L20:$HD20)),NA(),LOOKUP(JV$1,$S20:$HK20,csv!$L20:$HD20))</f>
        <v>0</v>
      </c>
      <c r="JW20" s="5">
        <f>IF(ISERROR(LOOKUP(JW$1,$S20:$HK20,csv!$L20:$HD20)),NA(),LOOKUP(JW$1,$S20:$HK20,csv!$L20:$HD20))</f>
        <v>0</v>
      </c>
      <c r="JX20" s="5">
        <f>IF(ISERROR(LOOKUP(JX$1,$S20:$HK20,csv!$L20:$HD20)),NA(),LOOKUP(JX$1,$S20:$HK20,csv!$L20:$HD20))</f>
        <v>0</v>
      </c>
      <c r="JY20" s="5">
        <f>IF(ISERROR(LOOKUP(JY$1,$S20:$HK20,csv!$L20:$HD20)),NA(),LOOKUP(JY$1,$S20:$HK20,csv!$L20:$HD20))</f>
        <v>0</v>
      </c>
      <c r="JZ20" s="5">
        <f>IF(ISERROR(LOOKUP(JZ$1,$S20:$HK20,csv!$L20:$HD20)),NA(),LOOKUP(JZ$1,$S20:$HK20,csv!$L20:$HD20))</f>
        <v>0</v>
      </c>
      <c r="KA20" s="5">
        <f>IF(ISERROR(LOOKUP(KA$1,$S20:$HK20,csv!$L20:$HD20)),NA(),LOOKUP(KA$1,$S20:$HK20,csv!$L20:$HD20))</f>
        <v>0</v>
      </c>
      <c r="KB20" s="5">
        <f>IF(ISERROR(LOOKUP(KB$1,$S20:$HK20,csv!$L20:$HD20)),NA(),LOOKUP(KB$1,$S20:$HK20,csv!$L20:$HD20))</f>
        <v>0</v>
      </c>
      <c r="KC20" s="5">
        <f>IF(ISERROR(LOOKUP(KC$1,$S20:$HK20,csv!$L20:$HD20)),NA(),LOOKUP(KC$1,$S20:$HK20,csv!$L20:$HD20))</f>
        <v>0</v>
      </c>
      <c r="KD20" s="5">
        <f>IF(ISERROR(LOOKUP(KD$1,$S20:$HK20,csv!$L20:$HD20)),NA(),LOOKUP(KD$1,$S20:$HK20,csv!$L20:$HD20))</f>
        <v>0</v>
      </c>
      <c r="KE20" s="5">
        <f>IF(ISERROR(LOOKUP(KE$1,$S20:$HK20,csv!$L20:$HD20)),NA(),LOOKUP(KE$1,$S20:$HK20,csv!$L20:$HD20))</f>
        <v>0</v>
      </c>
      <c r="KF20" s="5">
        <f>IF(ISERROR(LOOKUP(KF$1,$S20:$HK20,csv!$L20:$HD20)),NA(),LOOKUP(KF$1,$S20:$HK20,csv!$L20:$HD20))</f>
        <v>0</v>
      </c>
      <c r="KG20" s="5">
        <f>IF(ISERROR(LOOKUP(KG$1,$S20:$HK20,csv!$L20:$HD20)),NA(),LOOKUP(KG$1,$S20:$HK20,csv!$L20:$HD20))</f>
        <v>0</v>
      </c>
      <c r="KH20" s="5">
        <f>IF(ISERROR(LOOKUP(KH$1,$S20:$HK20,csv!$L20:$HD20)),NA(),LOOKUP(KH$1,$S20:$HK20,csv!$L20:$HD20))</f>
        <v>0</v>
      </c>
      <c r="KI20" s="5">
        <f>IF(ISERROR(LOOKUP(KI$1,$S20:$HK20,csv!$L20:$HD20)),NA(),LOOKUP(KI$1,$S20:$HK20,csv!$L20:$HD20))</f>
        <v>0</v>
      </c>
      <c r="KJ20" s="5">
        <f>IF(ISERROR(LOOKUP(KJ$1,$S20:$HK20,csv!$L20:$HD20)),NA(),LOOKUP(KJ$1,$S20:$HK20,csv!$L20:$HD20))</f>
        <v>0</v>
      </c>
      <c r="KK20" s="5">
        <f>IF(ISERROR(LOOKUP(KK$1,$S20:$HK20,csv!$L20:$HD20)),NA(),LOOKUP(KK$1,$S20:$HK20,csv!$L20:$HD20))</f>
        <v>0</v>
      </c>
      <c r="KL20" s="5">
        <f>IF(ISERROR(LOOKUP(KL$1,$S20:$HK20,csv!$L20:$HD20)),NA(),LOOKUP(KL$1,$S20:$HK20,csv!$L20:$HD20))</f>
        <v>0</v>
      </c>
      <c r="KM20" s="5">
        <f>IF(ISERROR(LOOKUP(KM$1,$S20:$HK20,csv!$L20:$HD20)),NA(),LOOKUP(KM$1,$S20:$HK20,csv!$L20:$HD20))</f>
        <v>0</v>
      </c>
      <c r="KN20" s="5">
        <f>IF(ISERROR(LOOKUP(KN$1,$S20:$HK20,csv!$L20:$HD20)),NA(),LOOKUP(KN$1,$S20:$HK20,csv!$L20:$HD20))</f>
        <v>0</v>
      </c>
      <c r="KO20" s="5">
        <f>IF(ISERROR(LOOKUP(KO$1,$S20:$HK20,csv!$L20:$HD20)),NA(),LOOKUP(KO$1,$S20:$HK20,csv!$L20:$HD20))</f>
        <v>0</v>
      </c>
      <c r="KP20" s="5">
        <f>IF(ISERROR(LOOKUP(KP$1,$S20:$HK20,csv!$L20:$HD20)),NA(),LOOKUP(KP$1,$S20:$HK20,csv!$L20:$HD20))</f>
        <v>0</v>
      </c>
      <c r="KQ20" s="5">
        <f>IF(ISERROR(LOOKUP(KQ$1,$S20:$HK20,csv!$L20:$HD20)),NA(),LOOKUP(KQ$1,$S20:$HK20,csv!$L20:$HD20))</f>
        <v>0</v>
      </c>
      <c r="KR20" s="5">
        <f>IF(ISERROR(LOOKUP(KR$1,$S20:$HK20,csv!$L20:$HD20)),NA(),LOOKUP(KR$1,$S20:$HK20,csv!$L20:$HD20))</f>
        <v>0</v>
      </c>
      <c r="KS20" s="5">
        <f>IF(ISERROR(LOOKUP(KS$1,$S20:$HK20,csv!$L20:$HD20)),NA(),LOOKUP(KS$1,$S20:$HK20,csv!$L20:$HD20))</f>
        <v>0</v>
      </c>
      <c r="KT20" s="5">
        <f>IF(ISERROR(LOOKUP(KT$1,$S20:$HK20,csv!$L20:$HD20)),NA(),LOOKUP(KT$1,$S20:$HK20,csv!$L20:$HD20))</f>
        <v>0</v>
      </c>
      <c r="KU20" s="5">
        <f>IF(ISERROR(LOOKUP(KU$1,$S20:$HK20,csv!$L20:$HD20)),NA(),LOOKUP(KU$1,$S20:$HK20,csv!$L20:$HD20))</f>
        <v>0</v>
      </c>
      <c r="KV20" s="5">
        <f>IF(ISERROR(LOOKUP(KV$1,$S20:$HK20,csv!$L20:$HD20)),NA(),LOOKUP(KV$1,$S20:$HK20,csv!$L20:$HD20))</f>
        <v>0</v>
      </c>
      <c r="KW20" s="5">
        <f>IF(ISERROR(LOOKUP(KW$1,$S20:$HK20,csv!$L20:$HD20)),NA(),LOOKUP(KW$1,$S20:$HK20,csv!$L20:$HD20))</f>
        <v>0</v>
      </c>
      <c r="KX20" s="5">
        <f>IF(ISERROR(LOOKUP(KX$1,$S20:$HK20,csv!$L20:$HD20)),NA(),LOOKUP(KX$1,$S20:$HK20,csv!$L20:$HD20))</f>
        <v>0</v>
      </c>
      <c r="KY20" s="5">
        <f>IF(ISERROR(LOOKUP(KY$1,$S20:$HK20,csv!$L20:$HD20)),NA(),LOOKUP(KY$1,$S20:$HK20,csv!$L20:$HD20))</f>
        <v>0</v>
      </c>
      <c r="KZ20" s="5">
        <f>IF(ISERROR(LOOKUP(KZ$1,$S20:$HK20,csv!$L20:$HD20)),NA(),LOOKUP(KZ$1,$S20:$HK20,csv!$L20:$HD20))</f>
        <v>0</v>
      </c>
      <c r="LA20" s="5">
        <f>IF(ISERROR(LOOKUP(LA$1,$S20:$HK20,csv!$L20:$HD20)),NA(),LOOKUP(LA$1,$S20:$HK20,csv!$L20:$HD20))</f>
        <v>0</v>
      </c>
      <c r="LB20" s="5">
        <f>IF(ISERROR(LOOKUP(LB$1,$S20:$HK20,csv!$L20:$HD20)),NA(),LOOKUP(LB$1,$S20:$HK20,csv!$L20:$HD20))</f>
        <v>0</v>
      </c>
      <c r="LC20" s="5">
        <f>IF(ISERROR(LOOKUP(LC$1,$S20:$HK20,csv!$L20:$HD20)),NA(),LOOKUP(LC$1,$S20:$HK20,csv!$L20:$HD20))</f>
        <v>0</v>
      </c>
      <c r="LD20" s="5">
        <f>IF(ISERROR(LOOKUP(LD$1,$S20:$HK20,csv!$L20:$HD20)),NA(),LOOKUP(LD$1,$S20:$HK20,csv!$L20:$HD20))</f>
        <v>0</v>
      </c>
      <c r="LE20" s="5">
        <f>IF(ISERROR(LOOKUP(LE$1,$S20:$HK20,csv!$L20:$HD20)),NA(),LOOKUP(LE$1,$S20:$HK20,csv!$L20:$HD20))</f>
        <v>0</v>
      </c>
      <c r="LF20" s="5">
        <f>IF(ISERROR(LOOKUP(LF$1,$S20:$HK20,csv!$L20:$HD20)),NA(),LOOKUP(LF$1,$S20:$HK20,csv!$L20:$HD20))</f>
        <v>0</v>
      </c>
      <c r="LG20" s="5">
        <f>IF(ISERROR(LOOKUP(LG$1,$S20:$HK20,csv!$L20:$HD20)),NA(),LOOKUP(LG$1,$S20:$HK20,csv!$L20:$HD20))</f>
        <v>0</v>
      </c>
      <c r="LH20" s="5">
        <f>IF(ISERROR(LOOKUP(LH$1,$S20:$HK20,csv!$L20:$HD20)),NA(),LOOKUP(LH$1,$S20:$HK20,csv!$L20:$HD20))</f>
        <v>0</v>
      </c>
      <c r="LI20" s="5">
        <f>IF(ISERROR(LOOKUP(LI$1,$S20:$HK20,csv!$L20:$HD20)),NA(),LOOKUP(LI$1,$S20:$HK20,csv!$L20:$HD20))</f>
        <v>0</v>
      </c>
      <c r="LJ20" s="5">
        <f>IF(ISERROR(LOOKUP(LJ$1,$S20:$HK20,csv!$L20:$HD20)),NA(),LOOKUP(LJ$1,$S20:$HK20,csv!$L20:$HD20))</f>
        <v>0</v>
      </c>
      <c r="LK20" s="5">
        <f>IF(ISERROR(LOOKUP(LK$1,$S20:$HK20,csv!$L20:$HD20)),NA(),LOOKUP(LK$1,$S20:$HK20,csv!$L20:$HD20))</f>
        <v>0</v>
      </c>
      <c r="LL20" s="5">
        <f>IF(ISERROR(LOOKUP(LL$1,$S20:$HK20,csv!$L20:$HD20)),NA(),LOOKUP(LL$1,$S20:$HK20,csv!$L20:$HD20))</f>
        <v>0</v>
      </c>
      <c r="LM20" s="5">
        <f>IF(ISERROR(LOOKUP(LM$1,$S20:$HK20,csv!$L20:$HD20)),NA(),LOOKUP(LM$1,$S20:$HK20,csv!$L20:$HD20))</f>
        <v>0</v>
      </c>
      <c r="LN20" s="5">
        <f>IF(ISERROR(LOOKUP(LN$1,$S20:$HK20,csv!$L20:$HD20)),NA(),LOOKUP(LN$1,$S20:$HK20,csv!$L20:$HD20))</f>
        <v>0</v>
      </c>
      <c r="LO20" s="5">
        <f>IF(ISERROR(LOOKUP(LO$1,$S20:$HK20,csv!$L20:$HD20)),NA(),LOOKUP(LO$1,$S20:$HK20,csv!$L20:$HD20))</f>
        <v>0</v>
      </c>
      <c r="LP20" s="5">
        <f>IF(ISERROR(LOOKUP(LP$1,$S20:$HK20,csv!$L20:$HD20)),NA(),LOOKUP(LP$1,$S20:$HK20,csv!$L20:$HD20))</f>
        <v>0</v>
      </c>
      <c r="LQ20" s="5">
        <f>IF(ISERROR(LOOKUP(LQ$1,$S20:$HK20,csv!$L20:$HD20)),NA(),LOOKUP(LQ$1,$S20:$HK20,csv!$L20:$HD20))</f>
        <v>0</v>
      </c>
      <c r="LR20" s="5">
        <f>IF(ISERROR(LOOKUP(LR$1,$S20:$HK20,csv!$L20:$HD20)),NA(),LOOKUP(LR$1,$S20:$HK20,csv!$L20:$HD20))</f>
        <v>0</v>
      </c>
      <c r="LS20" s="5">
        <f>IF(ISERROR(LOOKUP(LS$1,$S20:$HK20,csv!$L20:$HD20)),NA(),LOOKUP(LS$1,$S20:$HK20,csv!$L20:$HD20))</f>
        <v>0</v>
      </c>
      <c r="LT20" s="5">
        <f>IF(ISERROR(LOOKUP(LT$1,$S20:$HK20,csv!$L20:$HD20)),NA(),LOOKUP(LT$1,$S20:$HK20,csv!$L20:$HD20))</f>
        <v>0</v>
      </c>
      <c r="LU20" s="5">
        <f>IF(ISERROR(LOOKUP(LU$1,$S20:$HK20,csv!$L20:$HD20)),NA(),LOOKUP(LU$1,$S20:$HK20,csv!$L20:$HD20))</f>
        <v>0</v>
      </c>
      <c r="LV20" s="5">
        <f>IF(ISERROR(LOOKUP(LV$1,$S20:$HK20,csv!$L20:$HD20)),NA(),LOOKUP(LV$1,$S20:$HK20,csv!$L20:$HD20))</f>
        <v>0</v>
      </c>
      <c r="LW20" s="5">
        <f>IF(ISERROR(LOOKUP(LW$1,$S20:$HK20,csv!$L20:$HD20)),NA(),LOOKUP(LW$1,$S20:$HK20,csv!$L20:$HD20))</f>
        <v>0</v>
      </c>
      <c r="LX20" s="5">
        <f>IF(ISERROR(LOOKUP(LX$1,$S20:$HK20,csv!$L20:$HD20)),NA(),LOOKUP(LX$1,$S20:$HK20,csv!$L20:$HD20))</f>
        <v>0</v>
      </c>
      <c r="LY20" s="5">
        <f>IF(ISERROR(LOOKUP(LY$1,$S20:$HK20,csv!$L20:$HD20)),NA(),LOOKUP(LY$1,$S20:$HK20,csv!$L20:$HD20))</f>
        <v>0</v>
      </c>
      <c r="LZ20" s="5">
        <f>IF(ISERROR(LOOKUP(LZ$1,$S20:$HK20,csv!$L20:$HD20)),NA(),LOOKUP(LZ$1,$S20:$HK20,csv!$L20:$HD20))</f>
        <v>0</v>
      </c>
      <c r="MA20" s="5">
        <f>IF(ISERROR(LOOKUP(MA$1,$S20:$HK20,csv!$L20:$HD20)),NA(),LOOKUP(MA$1,$S20:$HK20,csv!$L20:$HD20))</f>
        <v>0</v>
      </c>
      <c r="MB20" s="5">
        <f>IF(ISERROR(LOOKUP(MB$1,$S20:$HK20,csv!$L20:$HD20)),NA(),LOOKUP(MB$1,$S20:$HK20,csv!$L20:$HD20))</f>
        <v>0</v>
      </c>
      <c r="MC20" s="5">
        <f>IF(ISERROR(LOOKUP(MC$1,$S20:$HK20,csv!$L20:$HD20)),NA(),LOOKUP(MC$1,$S20:$HK20,csv!$L20:$HD20))</f>
        <v>0</v>
      </c>
      <c r="MD20" s="5">
        <f>IF(ISERROR(LOOKUP(MD$1,$S20:$HK20,csv!$L20:$HD20)),NA(),LOOKUP(MD$1,$S20:$HK20,csv!$L20:$HD20))</f>
        <v>0</v>
      </c>
      <c r="ME20" s="5">
        <f>IF(ISERROR(LOOKUP(ME$1,$S20:$HK20,csv!$L20:$HD20)),NA(),LOOKUP(ME$1,$S20:$HK20,csv!$L20:$HD20))</f>
        <v>0</v>
      </c>
      <c r="MF20" s="5">
        <f>IF(ISERROR(LOOKUP(MF$1,$S20:$HK20,csv!$L20:$HD20)),NA(),LOOKUP(MF$1,$S20:$HK20,csv!$L20:$HD20))</f>
        <v>0</v>
      </c>
      <c r="MG20" s="5">
        <f>IF(ISERROR(LOOKUP(MG$1,$S20:$HK20,csv!$L20:$HD20)),NA(),LOOKUP(MG$1,$S20:$HK20,csv!$L20:$HD20))</f>
        <v>0</v>
      </c>
      <c r="MH20" s="5">
        <f>IF(ISERROR(LOOKUP(MH$1,$S20:$HK20,csv!$L20:$HD20)),NA(),LOOKUP(MH$1,$S20:$HK20,csv!$L20:$HD20))</f>
        <v>0</v>
      </c>
      <c r="MI20" s="5">
        <f>IF(ISERROR(LOOKUP(MI$1,$S20:$HK20,csv!$L20:$HD20)),NA(),LOOKUP(MI$1,$S20:$HK20,csv!$L20:$HD20))</f>
        <v>0</v>
      </c>
      <c r="MJ20" s="5">
        <f>IF(ISERROR(LOOKUP(MJ$1,$S20:$HK20,csv!$L20:$HD20)),NA(),LOOKUP(MJ$1,$S20:$HK20,csv!$L20:$HD20))</f>
        <v>0</v>
      </c>
      <c r="MK20" s="5">
        <f>IF(ISERROR(LOOKUP(MK$1,$S20:$HK20,csv!$L20:$HD20)),NA(),LOOKUP(MK$1,$S20:$HK20,csv!$L20:$HD20))</f>
        <v>0</v>
      </c>
      <c r="ML20" s="5">
        <f>IF(ISERROR(LOOKUP(ML$1,$S20:$HK20,csv!$L20:$HD20)),NA(),LOOKUP(ML$1,$S20:$HK20,csv!$L20:$HD20))</f>
        <v>0</v>
      </c>
      <c r="MM20" s="5">
        <f>IF(ISERROR(LOOKUP(MM$1,$S20:$HK20,csv!$L20:$HD20)),NA(),LOOKUP(MM$1,$S20:$HK20,csv!$L20:$HD20))</f>
        <v>0</v>
      </c>
      <c r="MN20" s="5">
        <f>IF(ISERROR(LOOKUP(MN$1,$S20:$HK20,csv!$L20:$HD20)),NA(),LOOKUP(MN$1,$S20:$HK20,csv!$L20:$HD20))</f>
        <v>0</v>
      </c>
      <c r="MO20" s="5">
        <f>IF(ISERROR(LOOKUP(MO$1,$S20:$HK20,csv!$L20:$HD20)),NA(),LOOKUP(MO$1,$S20:$HK20,csv!$L20:$HD20))</f>
        <v>0</v>
      </c>
      <c r="MP20" s="5">
        <f>IF(ISERROR(LOOKUP(MP$1,$S20:$HK20,csv!$L20:$HD20)),NA(),LOOKUP(MP$1,$S20:$HK20,csv!$L20:$HD20))</f>
        <v>0</v>
      </c>
      <c r="MQ20" s="5">
        <f>IF(ISERROR(LOOKUP(MQ$1,$S20:$HK20,csv!$L20:$HD20)),NA(),LOOKUP(MQ$1,$S20:$HK20,csv!$L20:$HD20))</f>
        <v>0</v>
      </c>
      <c r="MR20" s="5">
        <f>IF(ISERROR(LOOKUP(MR$1,$S20:$HK20,csv!$L20:$HD20)),NA(),LOOKUP(MR$1,$S20:$HK20,csv!$L20:$HD20))</f>
        <v>0</v>
      </c>
      <c r="MS20" s="5">
        <f>IF(ISERROR(LOOKUP(MS$1,$S20:$HK20,csv!$L20:$HD20)),NA(),LOOKUP(MS$1,$S20:$HK20,csv!$L20:$HD20))</f>
        <v>0</v>
      </c>
      <c r="MT20" s="5">
        <f>IF(ISERROR(LOOKUP(MT$1,$S20:$HK20,csv!$L20:$HD20)),NA(),LOOKUP(MT$1,$S20:$HK20,csv!$L20:$HD20))</f>
        <v>0</v>
      </c>
      <c r="MU20" s="5">
        <f>IF(ISERROR(LOOKUP(MU$1,$S20:$HK20,csv!$L20:$HD20)),NA(),LOOKUP(MU$1,$S20:$HK20,csv!$L20:$HD20))</f>
        <v>0</v>
      </c>
      <c r="MV20" s="5">
        <f>IF(ISERROR(LOOKUP(MV$1,$S20:$HK20,csv!$L20:$HD20)),NA(),LOOKUP(MV$1,$S20:$HK20,csv!$L20:$HD20))</f>
        <v>0</v>
      </c>
      <c r="MW20" s="5">
        <f>IF(ISERROR(LOOKUP(MW$1,$S20:$HK20,csv!$L20:$HD20)),NA(),LOOKUP(MW$1,$S20:$HK20,csv!$L20:$HD20))</f>
        <v>0</v>
      </c>
      <c r="MX20" s="5">
        <f>IF(ISERROR(LOOKUP(MX$1,$S20:$HK20,csv!$L20:$HD20)),NA(),LOOKUP(MX$1,$S20:$HK20,csv!$L20:$HD20))</f>
        <v>0</v>
      </c>
      <c r="MY20" s="5">
        <f>IF(ISERROR(LOOKUP(MY$1,$S20:$HK20,csv!$L20:$HD20)),NA(),LOOKUP(MY$1,$S20:$HK20,csv!$L20:$HD20))</f>
        <v>0</v>
      </c>
      <c r="MZ20" s="5">
        <f>IF(ISERROR(LOOKUP(MZ$1,$S20:$HK20,csv!$L20:$HD20)),NA(),LOOKUP(MZ$1,$S20:$HK20,csv!$L20:$HD20))</f>
        <v>0</v>
      </c>
      <c r="NA20" s="5">
        <f>IF(ISERROR(LOOKUP(NA$1,$S20:$HK20,csv!$L20:$HD20)),NA(),LOOKUP(NA$1,$S20:$HK20,csv!$L20:$HD20))</f>
        <v>0</v>
      </c>
      <c r="NB20" s="5">
        <f>IF(ISERROR(LOOKUP(NB$1,$S20:$HK20,csv!$L20:$HD20)),NA(),LOOKUP(NB$1,$S20:$HK20,csv!$L20:$HD20))</f>
        <v>0</v>
      </c>
      <c r="NC20" s="5">
        <f>IF(ISERROR(LOOKUP(NC$1,$S20:$HK20,csv!$L20:$HD20)),NA(),LOOKUP(NC$1,$S20:$HK20,csv!$L20:$HD20))</f>
        <v>0</v>
      </c>
      <c r="ND20" s="5">
        <f>IF(ISERROR(LOOKUP(ND$1,$S20:$HK20,csv!$L20:$HD20)),NA(),LOOKUP(ND$1,$S20:$HK20,csv!$L20:$HD20))</f>
        <v>0</v>
      </c>
      <c r="NE20" s="5">
        <f>IF(ISERROR(LOOKUP(NE$1,$S20:$HK20,csv!$L20:$HD20)),NA(),LOOKUP(NE$1,$S20:$HK20,csv!$L20:$HD20))</f>
        <v>0</v>
      </c>
      <c r="NF20" s="5">
        <f>IF(ISERROR(LOOKUP(NF$1,$S20:$HK20,csv!$L20:$HD20)),NA(),LOOKUP(NF$1,$S20:$HK20,csv!$L20:$HD20))</f>
        <v>0</v>
      </c>
      <c r="NG20" s="5">
        <f>IF(ISERROR(LOOKUP(NG$1,$S20:$HK20,csv!$L20:$HD20)),NA(),LOOKUP(NG$1,$S20:$HK20,csv!$L20:$HD20))</f>
        <v>0</v>
      </c>
      <c r="NH20" s="5">
        <f>IF(ISERROR(LOOKUP(NH$1,$S20:$HK20,csv!$L20:$HD20)),NA(),LOOKUP(NH$1,$S20:$HK20,csv!$L20:$HD20))</f>
        <v>0</v>
      </c>
      <c r="NI20" s="5">
        <f>IF(ISERROR(LOOKUP(NI$1,$S20:$HK20,csv!$L20:$HD20)),NA(),LOOKUP(NI$1,$S20:$HK20,csv!$L20:$HD20))</f>
        <v>0</v>
      </c>
      <c r="NJ20" s="5">
        <f>IF(ISERROR(LOOKUP(NJ$1,$S20:$HK20,csv!$L20:$HD20)),NA(),LOOKUP(NJ$1,$S20:$HK20,csv!$L20:$HD20))</f>
        <v>0</v>
      </c>
      <c r="NK20" s="5">
        <f>IF(ISERROR(LOOKUP(NK$1,$S20:$HK20,csv!$L20:$HD20)),NA(),LOOKUP(NK$1,$S20:$HK20,csv!$L20:$HD20))</f>
        <v>0</v>
      </c>
      <c r="NL20" s="5">
        <f>IF(ISERROR(LOOKUP(NL$1,$S20:$HK20,csv!$L20:$HD20)),NA(),LOOKUP(NL$1,$S20:$HK20,csv!$L20:$HD20))</f>
        <v>0</v>
      </c>
      <c r="NM20" s="5">
        <f>IF(ISERROR(LOOKUP(NM$1,$S20:$HK20,csv!$L20:$HD20)),NA(),LOOKUP(NM$1,$S20:$HK20,csv!$L20:$HD20))</f>
        <v>0</v>
      </c>
      <c r="NN20" s="5">
        <f>IF(ISERROR(LOOKUP(NN$1,$S20:$HK20,csv!$L20:$HD20)),NA(),LOOKUP(NN$1,$S20:$HK20,csv!$L20:$HD20))</f>
        <v>0</v>
      </c>
      <c r="NO20" s="5">
        <f>IF(ISERROR(LOOKUP(NO$1,$S20:$HK20,csv!$L20:$HD20)),NA(),LOOKUP(NO$1,$S20:$HK20,csv!$L20:$HD20))</f>
        <v>0</v>
      </c>
      <c r="NP20" s="5">
        <f>IF(ISERROR(LOOKUP(NP$1,$S20:$HK20,csv!$L20:$HD20)),NA(),LOOKUP(NP$1,$S20:$HK20,csv!$L20:$HD20))</f>
        <v>0</v>
      </c>
      <c r="NQ20" s="5">
        <f>IF(ISERROR(LOOKUP(NQ$1,$S20:$HK20,csv!$L20:$HD20)),NA(),LOOKUP(NQ$1,$S20:$HK20,csv!$L20:$HD20))</f>
        <v>0</v>
      </c>
      <c r="NR20" s="5">
        <f>IF(ISERROR(LOOKUP(NR$1,$S20:$HK20,csv!$L20:$HD20)),NA(),LOOKUP(NR$1,$S20:$HK20,csv!$L20:$HD20))</f>
        <v>0</v>
      </c>
      <c r="NS20" s="5">
        <f>IF(ISERROR(LOOKUP(NS$1,$S20:$HK20,csv!$L20:$HD20)),NA(),LOOKUP(NS$1,$S20:$HK20,csv!$L20:$HD20))</f>
        <v>0</v>
      </c>
      <c r="NT20" s="5">
        <f>IF(ISERROR(LOOKUP(NT$1,$S20:$HK20,csv!$L20:$HD20)),NA(),LOOKUP(NT$1,$S20:$HK20,csv!$L20:$HD20))</f>
        <v>0</v>
      </c>
      <c r="NU20" s="5">
        <f>IF(ISERROR(LOOKUP(NU$1,$S20:$HK20,csv!$L20:$HD20)),NA(),LOOKUP(NU$1,$S20:$HK20,csv!$L20:$HD20))</f>
        <v>0</v>
      </c>
      <c r="NV20" s="5">
        <f>IF(ISERROR(LOOKUP(NV$1,$S20:$HK20,csv!$L20:$HD20)),NA(),LOOKUP(NV$1,$S20:$HK20,csv!$L20:$HD20))</f>
        <v>0</v>
      </c>
      <c r="NW20" s="5">
        <f>IF(ISERROR(LOOKUP(NW$1,$S20:$HK20,csv!$L20:$HD20)),NA(),LOOKUP(NW$1,$S20:$HK20,csv!$L20:$HD20))</f>
        <v>0</v>
      </c>
      <c r="NX20" s="5">
        <f>IF(ISERROR(LOOKUP(NX$1,$S20:$HK20,csv!$L20:$HD20)),NA(),LOOKUP(NX$1,$S20:$HK20,csv!$L20:$HD20))</f>
        <v>0</v>
      </c>
      <c r="NY20" s="5">
        <f>IF(ISERROR(LOOKUP(NY$1,$S20:$HK20,csv!$L20:$HD20)),NA(),LOOKUP(NY$1,$S20:$HK20,csv!$L20:$HD20))</f>
        <v>0</v>
      </c>
      <c r="NZ20" s="5">
        <f>IF(ISERROR(LOOKUP(NZ$1,$S20:$HK20,csv!$L20:$HD20)),NA(),LOOKUP(NZ$1,$S20:$HK20,csv!$L20:$HD20))</f>
        <v>0</v>
      </c>
      <c r="OA20" s="5">
        <f>IF(ISERROR(LOOKUP(OA$1,$S20:$HK20,csv!$L20:$HD20)),NA(),LOOKUP(OA$1,$S20:$HK20,csv!$L20:$HD20))</f>
        <v>0</v>
      </c>
      <c r="OB20" s="5">
        <f>IF(ISERROR(LOOKUP(OB$1,$S20:$HK20,csv!$L20:$HD20)),NA(),LOOKUP(OB$1,$S20:$HK20,csv!$L20:$HD20))</f>
        <v>0</v>
      </c>
      <c r="OC20" s="5">
        <f>IF(ISERROR(LOOKUP(OC$1,$S20:$HK20,csv!$L20:$HD20)),NA(),LOOKUP(OC$1,$S20:$HK20,csv!$L20:$HD20))</f>
        <v>0</v>
      </c>
      <c r="OD20" s="5">
        <f>IF(ISERROR(LOOKUP(OD$1,$S20:$HK20,csv!$L20:$HD20)),NA(),LOOKUP(OD$1,$S20:$HK20,csv!$L20:$HD20))</f>
        <v>0</v>
      </c>
      <c r="OE20" s="5">
        <f>IF(ISERROR(LOOKUP(OE$1,$S20:$HK20,csv!$L20:$HD20)),NA(),LOOKUP(OE$1,$S20:$HK20,csv!$L20:$HD20))</f>
        <v>0</v>
      </c>
      <c r="OF20" s="5">
        <f>IF(ISERROR(LOOKUP(OF$1,$S20:$HK20,csv!$L20:$HD20)),NA(),LOOKUP(OF$1,$S20:$HK20,csv!$L20:$HD20))</f>
        <v>0</v>
      </c>
      <c r="OG20" s="5">
        <f>IF(ISERROR(LOOKUP(OG$1,$S20:$HK20,csv!$L20:$HD20)),NA(),LOOKUP(OG$1,$S20:$HK20,csv!$L20:$HD20))</f>
        <v>0</v>
      </c>
      <c r="OH20" s="5">
        <f>IF(ISERROR(LOOKUP(OH$1,$S20:$HK20,csv!$L20:$HD20)),NA(),LOOKUP(OH$1,$S20:$HK20,csv!$L20:$HD20))</f>
        <v>0</v>
      </c>
      <c r="OI20" s="5">
        <f>IF(ISERROR(LOOKUP(OI$1,$S20:$HK20,csv!$L20:$HD20)),NA(),LOOKUP(OI$1,$S20:$HK20,csv!$L20:$HD20))</f>
        <v>0</v>
      </c>
      <c r="OJ20" s="5">
        <f>IF(ISERROR(LOOKUP(OJ$1,$S20:$HK20,csv!$L20:$HD20)),NA(),LOOKUP(OJ$1,$S20:$HK20,csv!$L20:$HD20))</f>
        <v>0</v>
      </c>
      <c r="OK20" s="5">
        <f>IF(ISERROR(LOOKUP(OK$1,$S20:$HK20,csv!$L20:$HD20)),NA(),LOOKUP(OK$1,$S20:$HK20,csv!$L20:$HD20))</f>
        <v>0</v>
      </c>
      <c r="OL20" s="5">
        <f>IF(ISERROR(LOOKUP(OL$1,$S20:$HK20,csv!$L20:$HD20)),NA(),LOOKUP(OL$1,$S20:$HK20,csv!$L20:$HD20))</f>
        <v>0</v>
      </c>
      <c r="OM20" s="5">
        <f>IF(ISERROR(LOOKUP(OM$1,$S20:$HK20,csv!$L20:$HD20)),NA(),LOOKUP(OM$1,$S20:$HK20,csv!$L20:$HD20))</f>
        <v>0</v>
      </c>
      <c r="ON20" s="5">
        <f>IF(ISERROR(LOOKUP(ON$1,$S20:$HK20,csv!$L20:$HD20)),NA(),LOOKUP(ON$1,$S20:$HK20,csv!$L20:$HD20))</f>
        <v>0</v>
      </c>
      <c r="OO20" s="5">
        <f>IF(ISERROR(LOOKUP(OO$1,$S20:$HK20,csv!$L20:$HD20)),NA(),LOOKUP(OO$1,$S20:$HK20,csv!$L20:$HD20))</f>
        <v>0</v>
      </c>
      <c r="OP20" s="5">
        <f>IF(ISERROR(LOOKUP(OP$1,$S20:$HK20,csv!$L20:$HD20)),NA(),LOOKUP(OP$1,$S20:$HK20,csv!$L20:$HD20))</f>
        <v>0</v>
      </c>
      <c r="OQ20" s="5">
        <f>IF(ISERROR(LOOKUP(OQ$1,$S20:$HK20,csv!$L20:$HD20)),NA(),LOOKUP(OQ$1,$S20:$HK20,csv!$L20:$HD20))</f>
        <v>0</v>
      </c>
      <c r="OR20" s="5">
        <f>IF(ISERROR(LOOKUP(OR$1,$S20:$HK20,csv!$L20:$HD20)),NA(),LOOKUP(OR$1,$S20:$HK20,csv!$L20:$HD20))</f>
        <v>0</v>
      </c>
      <c r="OS20" s="5">
        <f>IF(ISERROR(LOOKUP(OS$1,$S20:$HK20,csv!$L20:$HD20)),NA(),LOOKUP(OS$1,$S20:$HK20,csv!$L20:$HD20))</f>
        <v>0</v>
      </c>
      <c r="OT20" s="5">
        <f>IF(ISERROR(LOOKUP(OT$1,$S20:$HK20,csv!$L20:$HD20)),NA(),LOOKUP(OT$1,$S20:$HK20,csv!$L20:$HD20))</f>
        <v>0</v>
      </c>
      <c r="OU20" s="5">
        <f>IF(ISERROR(LOOKUP(OU$1,$S20:$HK20,csv!$L20:$HD20)),NA(),LOOKUP(OU$1,$S20:$HK20,csv!$L20:$HD20))</f>
        <v>0</v>
      </c>
      <c r="OV20" s="5">
        <f>IF(ISERROR(LOOKUP(OV$1,$S20:$HK20,csv!$L20:$HD20)),NA(),LOOKUP(OV$1,$S20:$HK20,csv!$L20:$HD20))</f>
        <v>0</v>
      </c>
      <c r="OW20" s="5">
        <f>IF(ISERROR(LOOKUP(OW$1,$S20:$HK20,csv!$L20:$HD20)),NA(),LOOKUP(OW$1,$S20:$HK20,csv!$L20:$HD20))</f>
        <v>0</v>
      </c>
      <c r="OX20" s="5">
        <f>IF(ISERROR(LOOKUP(OX$1,$S20:$HK20,csv!$L20:$HD20)),NA(),LOOKUP(OX$1,$S20:$HK20,csv!$L20:$HD20))</f>
        <v>0</v>
      </c>
      <c r="OY20" s="5">
        <f>IF(ISERROR(LOOKUP(OY$1,$S20:$HK20,csv!$L20:$HD20)),NA(),LOOKUP(OY$1,$S20:$HK20,csv!$L20:$HD20))</f>
        <v>0</v>
      </c>
      <c r="OZ20" s="5">
        <f>IF(ISERROR(LOOKUP(OZ$1,$S20:$HK20,csv!$L20:$HD20)),NA(),LOOKUP(OZ$1,$S20:$HK20,csv!$L20:$HD20))</f>
        <v>0</v>
      </c>
      <c r="PA20" s="5">
        <f>IF(ISERROR(LOOKUP(PA$1,$S20:$HK20,csv!$L20:$HD20)),NA(),LOOKUP(PA$1,$S20:$HK20,csv!$L20:$HD20))</f>
        <v>0</v>
      </c>
      <c r="PB20" s="5">
        <f>IF(ISERROR(LOOKUP(PB$1,$S20:$HK20,csv!$L20:$HD20)),NA(),LOOKUP(PB$1,$S20:$HK20,csv!$L20:$HD20))</f>
        <v>0</v>
      </c>
      <c r="PC20" s="5">
        <f>IF(ISERROR(LOOKUP(PC$1,$S20:$HK20,csv!$L20:$HD20)),NA(),LOOKUP(PC$1,$S20:$HK20,csv!$L20:$HD20))</f>
        <v>0</v>
      </c>
      <c r="PD20" s="5">
        <f>IF(ISERROR(LOOKUP(PD$1,$S20:$HK20,csv!$L20:$HD20)),NA(),LOOKUP(PD$1,$S20:$HK20,csv!$L20:$HD20))</f>
        <v>0</v>
      </c>
      <c r="PE20" s="5">
        <f>IF(ISERROR(LOOKUP(PE$1,$S20:$HK20,csv!$L20:$HD20)),NA(),LOOKUP(PE$1,$S20:$HK20,csv!$L20:$HD20))</f>
        <v>0</v>
      </c>
      <c r="PF20" s="5">
        <f>IF(ISERROR(LOOKUP(PF$1,$S20:$HK20,csv!$L20:$HD20)),NA(),LOOKUP(PF$1,$S20:$HK20,csv!$L20:$HD20))</f>
        <v>0</v>
      </c>
      <c r="PG20" s="5">
        <f>IF(ISERROR(LOOKUP(PG$1,$S20:$HK20,csv!$L20:$HD20)),NA(),LOOKUP(PG$1,$S20:$HK20,csv!$L20:$HD20))</f>
        <v>0</v>
      </c>
      <c r="PH20" s="5">
        <f>IF(ISERROR(LOOKUP(PH$1,$S20:$HK20,csv!$L20:$HD20)),NA(),LOOKUP(PH$1,$S20:$HK20,csv!$L20:$HD20))</f>
        <v>0</v>
      </c>
      <c r="PI20" s="5">
        <f>IF(ISERROR(LOOKUP(PI$1,$S20:$HK20,csv!$L20:$HD20)),NA(),LOOKUP(PI$1,$S20:$HK20,csv!$L20:$HD20))</f>
        <v>0</v>
      </c>
      <c r="PJ20" s="5">
        <f>IF(ISERROR(LOOKUP(PJ$1,$S20:$HK20,csv!$L20:$HD20)),NA(),LOOKUP(PJ$1,$S20:$HK20,csv!$L20:$HD20))</f>
        <v>0</v>
      </c>
      <c r="PK20" s="5">
        <f>IF(ISERROR(LOOKUP(PK$1,$S20:$HK20,csv!$L20:$HD20)),NA(),LOOKUP(PK$1,$S20:$HK20,csv!$L20:$HD20))</f>
        <v>0</v>
      </c>
      <c r="PL20" s="5">
        <f>IF(ISERROR(LOOKUP(PL$1,$S20:$HK20,csv!$L20:$HD20)),NA(),LOOKUP(PL$1,$S20:$HK20,csv!$L20:$HD20))</f>
        <v>0</v>
      </c>
      <c r="PM20" s="5">
        <f>IF(ISERROR(LOOKUP(PM$1,$S20:$HK20,csv!$L20:$HD20)),NA(),LOOKUP(PM$1,$S20:$HK20,csv!$L20:$HD20))</f>
        <v>0</v>
      </c>
      <c r="PN20" s="5">
        <f>IF(ISERROR(LOOKUP(PN$1,$S20:$HK20,csv!$L20:$HD20)),NA(),LOOKUP(PN$1,$S20:$HK20,csv!$L20:$HD20))</f>
        <v>0</v>
      </c>
      <c r="PO20" s="5">
        <f>IF(ISERROR(LOOKUP(PO$1,$S20:$HK20,csv!$L20:$HD20)),NA(),LOOKUP(PO$1,$S20:$HK20,csv!$L20:$HD20))</f>
        <v>0</v>
      </c>
      <c r="PP20" s="5">
        <f>IF(ISERROR(LOOKUP(PP$1,$S20:$HK20,csv!$L20:$HD20)),NA(),LOOKUP(PP$1,$S20:$HK20,csv!$L20:$HD20))</f>
        <v>0</v>
      </c>
      <c r="PQ20" s="5">
        <f>IF(ISERROR(LOOKUP(PQ$1,$S20:$HK20,csv!$L20:$HD20)),NA(),LOOKUP(PQ$1,$S20:$HK20,csv!$L20:$HD20))</f>
        <v>0</v>
      </c>
      <c r="PR20" s="5">
        <f>IF(ISERROR(LOOKUP(PR$1,$S20:$HK20,csv!$L20:$HD20)),NA(),LOOKUP(PR$1,$S20:$HK20,csv!$L20:$HD20))</f>
        <v>0</v>
      </c>
      <c r="PS20" s="5">
        <f>IF(ISERROR(LOOKUP(PS$1,$S20:$HK20,csv!$L20:$HD20)),NA(),LOOKUP(PS$1,$S20:$HK20,csv!$L20:$HD20))</f>
        <v>0</v>
      </c>
      <c r="PT20" s="5">
        <f>IF(ISERROR(LOOKUP(PT$1,$S20:$HK20,csv!$L20:$HD20)),NA(),LOOKUP(PT$1,$S20:$HK20,csv!$L20:$HD20))</f>
        <v>0</v>
      </c>
      <c r="PU20" s="5">
        <f>IF(ISERROR(LOOKUP(PU$1,$S20:$HK20,csv!$L20:$HD20)),NA(),LOOKUP(PU$1,$S20:$HK20,csv!$L20:$HD20))</f>
        <v>0</v>
      </c>
      <c r="PV20" s="5">
        <f>IF(ISERROR(LOOKUP(PV$1,$S20:$HK20,csv!$L20:$HD20)),NA(),LOOKUP(PV$1,$S20:$HK20,csv!$L20:$HD20))</f>
        <v>0</v>
      </c>
      <c r="PW20" s="5">
        <f>IF(ISERROR(LOOKUP(PW$1,$S20:$HK20,csv!$L20:$HD20)),NA(),LOOKUP(PW$1,$S20:$HK20,csv!$L20:$HD20))</f>
        <v>0</v>
      </c>
      <c r="PX20" s="5">
        <f>IF(ISERROR(LOOKUP(PX$1,$S20:$HK20,csv!$L20:$HD20)),NA(),LOOKUP(PX$1,$S20:$HK20,csv!$L20:$HD20))</f>
        <v>0</v>
      </c>
      <c r="PY20" s="5">
        <f>IF(ISERROR(LOOKUP(PY$1,$S20:$HK20,csv!$L20:$HD20)),NA(),LOOKUP(PY$1,$S20:$HK20,csv!$L20:$HD20))</f>
        <v>0</v>
      </c>
      <c r="PZ20" s="5">
        <f>IF(ISERROR(LOOKUP(PZ$1,$S20:$HK20,csv!$L20:$HD20)),NA(),LOOKUP(PZ$1,$S20:$HK20,csv!$L20:$HD20))</f>
        <v>0</v>
      </c>
      <c r="QA20" s="5">
        <f>IF(ISERROR(LOOKUP(QA$1,$S20:$HK20,csv!$L20:$HD20)),NA(),LOOKUP(QA$1,$S20:$HK20,csv!$L20:$HD20))</f>
        <v>0</v>
      </c>
      <c r="QB20" s="5">
        <f>IF(ISERROR(LOOKUP(QB$1,$S20:$HK20,csv!$L20:$HD20)),NA(),LOOKUP(QB$1,$S20:$HK20,csv!$L20:$HD20))</f>
        <v>0</v>
      </c>
      <c r="QC20" s="5">
        <f>IF(ISERROR(LOOKUP(QC$1,$S20:$HK20,csv!$L20:$HD20)),NA(),LOOKUP(QC$1,$S20:$HK20,csv!$L20:$HD20))</f>
        <v>0</v>
      </c>
      <c r="QD20" s="5">
        <f>IF(ISERROR(LOOKUP(QD$1,$S20:$HK20,csv!$L20:$HD20)),NA(),LOOKUP(QD$1,$S20:$HK20,csv!$L20:$HD20))</f>
        <v>0</v>
      </c>
      <c r="QE20" s="5">
        <f>IF(ISERROR(LOOKUP(QE$1,$S20:$HK20,csv!$L20:$HD20)),NA(),LOOKUP(QE$1,$S20:$HK20,csv!$L20:$HD20))</f>
        <v>0</v>
      </c>
      <c r="QF20" s="5">
        <f>IF(ISERROR(LOOKUP(QF$1,$S20:$HK20,csv!$L20:$HD20)),NA(),LOOKUP(QF$1,$S20:$HK20,csv!$L20:$HD20))</f>
        <v>0</v>
      </c>
      <c r="QG20" s="5">
        <f>IF(ISERROR(LOOKUP(QG$1,$S20:$HK20,csv!$L20:$HD20)),NA(),LOOKUP(QG$1,$S20:$HK20,csv!$L20:$HD20))</f>
        <v>0</v>
      </c>
      <c r="QH20" s="5">
        <f>IF(ISERROR(LOOKUP(QH$1,$S20:$HK20,csv!$L20:$HD20)),NA(),LOOKUP(QH$1,$S20:$HK20,csv!$L20:$HD20))</f>
        <v>0</v>
      </c>
      <c r="QI20" s="5">
        <f>IF(ISERROR(LOOKUP(QI$1,$S20:$HK20,csv!$L20:$HD20)),NA(),LOOKUP(QI$1,$S20:$HK20,csv!$L20:$HD20))</f>
        <v>0</v>
      </c>
      <c r="QJ20" s="5">
        <f>IF(ISERROR(LOOKUP(QJ$1,$S20:$HK20,csv!$L20:$HD20)),NA(),LOOKUP(QJ$1,$S20:$HK20,csv!$L20:$HD20))</f>
        <v>0</v>
      </c>
      <c r="QK20" s="5">
        <f>IF(ISERROR(LOOKUP(QK$1,$S20:$HK20,csv!$L20:$HD20)),NA(),LOOKUP(QK$1,$S20:$HK20,csv!$L20:$HD20))</f>
        <v>0</v>
      </c>
      <c r="QL20" s="5">
        <f>IF(ISERROR(LOOKUP(QL$1,$S20:$HK20,csv!$L20:$HD20)),NA(),LOOKUP(QL$1,$S20:$HK20,csv!$L20:$HD20))</f>
        <v>0</v>
      </c>
      <c r="QM20" s="5">
        <f>IF(ISERROR(LOOKUP(QM$1,$S20:$HK20,csv!$L20:$HD20)),NA(),LOOKUP(QM$1,$S20:$HK20,csv!$L20:$HD20))</f>
        <v>0</v>
      </c>
      <c r="QN20" s="5">
        <f>IF(ISERROR(LOOKUP(QN$1,$S20:$HK20,csv!$L20:$HD20)),NA(),LOOKUP(QN$1,$S20:$HK20,csv!$L20:$HD20))</f>
        <v>0</v>
      </c>
      <c r="QO20" s="5">
        <f>IF(ISERROR(LOOKUP(QO$1,$S20:$HK20,csv!$L20:$HD20)),NA(),LOOKUP(QO$1,$S20:$HK20,csv!$L20:$HD20))</f>
        <v>0</v>
      </c>
      <c r="QP20" s="5">
        <f>IF(ISERROR(LOOKUP(QP$1,$S20:$HK20,csv!$L20:$HD20)),NA(),LOOKUP(QP$1,$S20:$HK20,csv!$L20:$HD20))</f>
        <v>0</v>
      </c>
      <c r="QQ20" s="5">
        <f>IF(ISERROR(LOOKUP(QQ$1,$S20:$HK20,csv!$L20:$HD20)),NA(),LOOKUP(QQ$1,$S20:$HK20,csv!$L20:$HD20))</f>
        <v>0</v>
      </c>
      <c r="QR20" s="5">
        <f>IF(ISERROR(LOOKUP(QR$1,$S20:$HK20,csv!$L20:$HD20)),NA(),LOOKUP(QR$1,$S20:$HK20,csv!$L20:$HD20))</f>
        <v>0</v>
      </c>
      <c r="QS20" s="5">
        <f>IF(ISERROR(LOOKUP(QS$1,$S20:$HK20,csv!$L20:$HD20)),NA(),LOOKUP(QS$1,$S20:$HK20,csv!$L20:$HD20))</f>
        <v>0</v>
      </c>
      <c r="QT20" s="5">
        <f>IF(ISERROR(LOOKUP(QT$1,$S20:$HK20,csv!$L20:$HD20)),NA(),LOOKUP(QT$1,$S20:$HK20,csv!$L20:$HD20))</f>
        <v>0</v>
      </c>
      <c r="QU20" s="5">
        <f>IF(ISERROR(LOOKUP(QU$1,$S20:$HK20,csv!$L20:$HD20)),NA(),LOOKUP(QU$1,$S20:$HK20,csv!$L20:$HD20))</f>
        <v>0</v>
      </c>
      <c r="QV20" s="5">
        <f>IF(ISERROR(LOOKUP(QV$1,$S20:$HK20,csv!$L20:$HD20)),NA(),LOOKUP(QV$1,$S20:$HK20,csv!$L20:$HD20))</f>
        <v>0</v>
      </c>
      <c r="QW20" s="5">
        <f>IF(ISERROR(LOOKUP(QW$1,$S20:$HK20,csv!$L20:$HD20)),NA(),LOOKUP(QW$1,$S20:$HK20,csv!$L20:$HD20))</f>
        <v>0</v>
      </c>
      <c r="QX20" s="5">
        <f>IF(ISERROR(LOOKUP(QX$1,$S20:$HK20,csv!$L20:$HD20)),NA(),LOOKUP(QX$1,$S20:$HK20,csv!$L20:$HD20))</f>
        <v>0</v>
      </c>
      <c r="QY20" s="5">
        <f>IF(ISERROR(LOOKUP(QY$1,$S20:$HK20,csv!$L20:$HD20)),NA(),LOOKUP(QY$1,$S20:$HK20,csv!$L20:$HD20))</f>
        <v>0</v>
      </c>
      <c r="QZ20" s="5">
        <f>IF(ISERROR(LOOKUP(QZ$1,$S20:$HK20,csv!$L20:$HD20)),NA(),LOOKUP(QZ$1,$S20:$HK20,csv!$L20:$HD20))</f>
        <v>0</v>
      </c>
      <c r="RA20" s="5">
        <f>IF(ISERROR(LOOKUP(RA$1,$S20:$HK20,csv!$L20:$HD20)),NA(),LOOKUP(RA$1,$S20:$HK20,csv!$L20:$HD20))</f>
        <v>0</v>
      </c>
      <c r="RB20" s="5">
        <f>IF(ISERROR(LOOKUP(RB$1,$S20:$HK20,csv!$L20:$HD20)),NA(),LOOKUP(RB$1,$S20:$HK20,csv!$L20:$HD20))</f>
        <v>0</v>
      </c>
      <c r="RC20" s="5">
        <f>IF(ISERROR(LOOKUP(RC$1,$S20:$HK20,csv!$L20:$HD20)),NA(),LOOKUP(RC$1,$S20:$HK20,csv!$L20:$HD20))</f>
        <v>0</v>
      </c>
      <c r="RD20" s="5">
        <f>IF(ISERROR(LOOKUP(RD$1,$S20:$HK20,csv!$L20:$HD20)),NA(),LOOKUP(RD$1,$S20:$HK20,csv!$L20:$HD20))</f>
        <v>0</v>
      </c>
      <c r="RE20" s="5">
        <f>IF(ISERROR(LOOKUP(RE$1,$S20:$HK20,csv!$L20:$HD20)),NA(),LOOKUP(RE$1,$S20:$HK20,csv!$L20:$HD20))</f>
        <v>0</v>
      </c>
      <c r="RF20" s="5">
        <f>IF(ISERROR(LOOKUP(RF$1,$S20:$HK20,csv!$L20:$HD20)),NA(),LOOKUP(RF$1,$S20:$HK20,csv!$L20:$HD20))</f>
        <v>0</v>
      </c>
      <c r="RG20" s="5">
        <f>IF(ISERROR(LOOKUP(RG$1,$S20:$HK20,csv!$L20:$HD20)),NA(),LOOKUP(RG$1,$S20:$HK20,csv!$L20:$HD20))</f>
        <v>0</v>
      </c>
      <c r="RH20" s="5">
        <f>IF(ISERROR(LOOKUP(RH$1,$S20:$HK20,csv!$L20:$HD20)),NA(),LOOKUP(RH$1,$S20:$HK20,csv!$L20:$HD20))</f>
        <v>0</v>
      </c>
      <c r="RI20" s="5">
        <f>IF(ISERROR(LOOKUP(RI$1,$S20:$HK20,csv!$L20:$HD20)),NA(),LOOKUP(RI$1,$S20:$HK20,csv!$L20:$HD20))</f>
        <v>0</v>
      </c>
      <c r="RJ20" s="5">
        <f>IF(ISERROR(LOOKUP(RJ$1,$S20:$HK20,csv!$L20:$HD20)),NA(),LOOKUP(RJ$1,$S20:$HK20,csv!$L20:$HD20))</f>
        <v>0</v>
      </c>
      <c r="RK20" s="5">
        <f>IF(ISERROR(LOOKUP(RK$1,$S20:$HK20,csv!$L20:$HD20)),NA(),LOOKUP(RK$1,$S20:$HK20,csv!$L20:$HD20))</f>
        <v>0</v>
      </c>
      <c r="RL20" s="5">
        <f>IF(ISERROR(LOOKUP(RL$1,$S20:$HK20,csv!$L20:$HD20)),NA(),LOOKUP(RL$1,$S20:$HK20,csv!$L20:$HD20))</f>
        <v>0</v>
      </c>
      <c r="RM20" s="5">
        <f>IF(ISERROR(LOOKUP(RM$1,$S20:$HK20,csv!$L20:$HD20)),NA(),LOOKUP(RM$1,$S20:$HK20,csv!$L20:$HD20))</f>
        <v>0</v>
      </c>
      <c r="RN20" s="5">
        <f>IF(ISERROR(LOOKUP(RN$1,$S20:$HK20,csv!$L20:$HD20)),NA(),LOOKUP(RN$1,$S20:$HK20,csv!$L20:$HD20))</f>
        <v>0</v>
      </c>
      <c r="RO20" s="5">
        <f>IF(ISERROR(LOOKUP(RO$1,$S20:$HK20,csv!$L20:$HD20)),NA(),LOOKUP(RO$1,$S20:$HK20,csv!$L20:$HD20))</f>
        <v>0</v>
      </c>
      <c r="RP20" s="5">
        <f>IF(ISERROR(LOOKUP(RP$1,$S20:$HK20,csv!$L20:$HD20)),NA(),LOOKUP(RP$1,$S20:$HK20,csv!$L20:$HD20))</f>
        <v>0</v>
      </c>
      <c r="RQ20" s="5">
        <f>IF(ISERROR(LOOKUP(RQ$1,$S20:$HK20,csv!$L20:$HD20)),NA(),LOOKUP(RQ$1,$S20:$HK20,csv!$L20:$HD20))</f>
        <v>0</v>
      </c>
      <c r="RR20" s="5">
        <f>IF(ISERROR(LOOKUP(RR$1,$S20:$HK20,csv!$L20:$HD20)),NA(),LOOKUP(RR$1,$S20:$HK20,csv!$L20:$HD20))</f>
        <v>0</v>
      </c>
      <c r="RS20" s="5">
        <f>IF(ISERROR(LOOKUP(RS$1,$S20:$HK20,csv!$L20:$HD20)),NA(),LOOKUP(RS$1,$S20:$HK20,csv!$L20:$HD20))</f>
        <v>0</v>
      </c>
      <c r="RT20" s="5">
        <f>IF(ISERROR(LOOKUP(RT$1,$S20:$HK20,csv!$L20:$HD20)),NA(),LOOKUP(RT$1,$S20:$HK20,csv!$L20:$HD20))</f>
        <v>0</v>
      </c>
      <c r="RU20" s="5">
        <f>IF(ISERROR(LOOKUP(RU$1,$S20:$HK20,csv!$L20:$HD20)),NA(),LOOKUP(RU$1,$S20:$HK20,csv!$L20:$HD20))</f>
        <v>0</v>
      </c>
      <c r="RV20" s="5">
        <f>IF(ISERROR(LOOKUP(RV$1,$S20:$HK20,csv!$L20:$HD20)),NA(),LOOKUP(RV$1,$S20:$HK20,csv!$L20:$HD20))</f>
        <v>0</v>
      </c>
      <c r="RW20" s="5">
        <f>IF(ISERROR(LOOKUP(RW$1,$S20:$HK20,csv!$L20:$HD20)),NA(),LOOKUP(RW$1,$S20:$HK20,csv!$L20:$HD20))</f>
        <v>0</v>
      </c>
      <c r="RX20" s="5">
        <f>IF(ISERROR(LOOKUP(RX$1,$S20:$HK20,csv!$L20:$HD20)),NA(),LOOKUP(RX$1,$S20:$HK20,csv!$L20:$HD20))</f>
        <v>0</v>
      </c>
      <c r="RY20" s="5">
        <f>IF(ISERROR(LOOKUP(RY$1,$S20:$HK20,csv!$L20:$HD20)),NA(),LOOKUP(RY$1,$S20:$HK20,csv!$L20:$HD20))</f>
        <v>0</v>
      </c>
      <c r="RZ20" s="5">
        <f>IF(ISERROR(LOOKUP(RZ$1,$S20:$HK20,csv!$L20:$HD20)),NA(),LOOKUP(RZ$1,$S20:$HK20,csv!$L20:$HD20))</f>
        <v>0</v>
      </c>
      <c r="SA20" s="5">
        <f>IF(ISERROR(LOOKUP(SA$1,$S20:$HK20,csv!$L20:$HD20)),NA(),LOOKUP(SA$1,$S20:$HK20,csv!$L20:$HD20))</f>
        <v>0</v>
      </c>
      <c r="SB20" s="5">
        <f>IF(ISERROR(LOOKUP(SB$1,$S20:$HK20,csv!$L20:$HD20)),NA(),LOOKUP(SB$1,$S20:$HK20,csv!$L20:$HD20))</f>
        <v>0</v>
      </c>
      <c r="SC20" s="5">
        <f>IF(ISERROR(LOOKUP(SC$1,$S20:$HK20,csv!$L20:$HD20)),NA(),LOOKUP(SC$1,$S20:$HK20,csv!$L20:$HD20))</f>
        <v>0</v>
      </c>
      <c r="SD20" s="5">
        <f>IF(ISERROR(LOOKUP(SD$1,$S20:$HK20,csv!$L20:$HD20)),NA(),LOOKUP(SD$1,$S20:$HK20,csv!$L20:$HD20))</f>
        <v>0</v>
      </c>
      <c r="SE20" s="5">
        <f>IF(ISERROR(LOOKUP(SE$1,$S20:$HK20,csv!$L20:$HD20)),NA(),LOOKUP(SE$1,$S20:$HK20,csv!$L20:$HD20))</f>
        <v>0</v>
      </c>
      <c r="SF20" s="5">
        <f>IF(ISERROR(LOOKUP(SF$1,$S20:$HK20,csv!$L20:$HD20)),NA(),LOOKUP(SF$1,$S20:$HK20,csv!$L20:$HD20))</f>
        <v>0</v>
      </c>
      <c r="SG20" s="5">
        <f>IF(ISERROR(LOOKUP(SG$1,$S20:$HK20,csv!$L20:$HD20)),NA(),LOOKUP(SG$1,$S20:$HK20,csv!$L20:$HD20))</f>
        <v>0</v>
      </c>
      <c r="SH20" s="5">
        <f>IF(ISERROR(LOOKUP(SH$1,$S20:$HK20,csv!$L20:$HD20)),NA(),LOOKUP(SH$1,$S20:$HK20,csv!$L20:$HD20))</f>
        <v>0</v>
      </c>
      <c r="SI20" s="5">
        <f>IF(ISERROR(LOOKUP(SI$1,$S20:$HK20,csv!$L20:$HD20)),NA(),LOOKUP(SI$1,$S20:$HK20,csv!$L20:$HD20))</f>
        <v>0</v>
      </c>
      <c r="SJ20" s="5">
        <f>IF(ISERROR(LOOKUP(SJ$1,$S20:$HK20,csv!$L20:$HD20)),NA(),LOOKUP(SJ$1,$S20:$HK20,csv!$L20:$HD20))</f>
        <v>0</v>
      </c>
      <c r="SK20" s="5">
        <f>IF(ISERROR(LOOKUP(SK$1,$S20:$HK20,csv!$L20:$HD20)),NA(),LOOKUP(SK$1,$S20:$HK20,csv!$L20:$HD20))</f>
        <v>0</v>
      </c>
      <c r="SL20" s="5">
        <f>IF(ISERROR(LOOKUP(SL$1,$S20:$HK20,csv!$L20:$HD20)),NA(),LOOKUP(SL$1,$S20:$HK20,csv!$L20:$HD20))</f>
        <v>0</v>
      </c>
      <c r="SM20" s="5">
        <f>IF(ISERROR(LOOKUP(SM$1,$S20:$HK20,csv!$L20:$HD20)),NA(),LOOKUP(SM$1,$S20:$HK20,csv!$L20:$HD20))</f>
        <v>0</v>
      </c>
      <c r="SN20" s="5">
        <f>IF(ISERROR(LOOKUP(SN$1,$S20:$HK20,csv!$L20:$HD20)),NA(),LOOKUP(SN$1,$S20:$HK20,csv!$L20:$HD20))</f>
        <v>0</v>
      </c>
      <c r="SO20" s="5">
        <f>IF(ISERROR(LOOKUP(SO$1,$S20:$HK20,csv!$L20:$HD20)),NA(),LOOKUP(SO$1,$S20:$HK20,csv!$L20:$HD20))</f>
        <v>0</v>
      </c>
      <c r="SP20" s="5">
        <f>IF(ISERROR(LOOKUP(SP$1,$S20:$HK20,csv!$L20:$HD20)),NA(),LOOKUP(SP$1,$S20:$HK20,csv!$L20:$HD20))</f>
        <v>0</v>
      </c>
      <c r="SQ20" s="5">
        <f>IF(ISERROR(LOOKUP(SQ$1,$S20:$HK20,csv!$L20:$HD20)),NA(),LOOKUP(SQ$1,$S20:$HK20,csv!$L20:$HD20))</f>
        <v>0</v>
      </c>
      <c r="SR20" s="5">
        <f>IF(ISERROR(LOOKUP(SR$1,$S20:$HK20,csv!$L20:$HD20)),NA(),LOOKUP(SR$1,$S20:$HK20,csv!$L20:$HD20))</f>
        <v>0</v>
      </c>
      <c r="SS20" s="5">
        <f>IF(ISERROR(LOOKUP(SS$1,$S20:$HK20,csv!$L20:$HD20)),NA(),LOOKUP(SS$1,$S20:$HK20,csv!$L20:$HD20))</f>
        <v>0</v>
      </c>
      <c r="ST20" s="5">
        <f>IF(ISERROR(LOOKUP(ST$1,$S20:$HK20,csv!$L20:$HD20)),NA(),LOOKUP(ST$1,$S20:$HK20,csv!$L20:$HD20))</f>
        <v>0</v>
      </c>
      <c r="SU20" s="5">
        <f>IF(ISERROR(LOOKUP(SU$1,$S20:$HK20,csv!$L20:$HD20)),NA(),LOOKUP(SU$1,$S20:$HK20,csv!$L20:$HD20))</f>
        <v>0</v>
      </c>
      <c r="SV20" s="5">
        <f>IF(ISERROR(LOOKUP(SV$1,$S20:$HK20,csv!$L20:$HD20)),NA(),LOOKUP(SV$1,$S20:$HK20,csv!$L20:$HD20))</f>
        <v>0</v>
      </c>
      <c r="SW20" s="5">
        <f>IF(ISERROR(LOOKUP(SW$1,$S20:$HK20,csv!$L20:$HD20)),NA(),LOOKUP(SW$1,$S20:$HK20,csv!$L20:$HD20))</f>
        <v>0</v>
      </c>
      <c r="SX20" s="5">
        <f>IF(ISERROR(LOOKUP(SX$1,$S20:$HK20,csv!$L20:$HD20)),NA(),LOOKUP(SX$1,$S20:$HK20,csv!$L20:$HD20))</f>
        <v>0</v>
      </c>
      <c r="SY20" s="5">
        <f>IF(ISERROR(LOOKUP(SY$1,$S20:$HK20,csv!$L20:$HD20)),NA(),LOOKUP(SY$1,$S20:$HK20,csv!$L20:$HD20))</f>
        <v>0</v>
      </c>
      <c r="SZ20" s="5">
        <f>IF(ISERROR(LOOKUP(SZ$1,$S20:$HK20,csv!$L20:$HD20)),NA(),LOOKUP(SZ$1,$S20:$HK20,csv!$L20:$HD20))</f>
        <v>0</v>
      </c>
      <c r="TA20" s="5">
        <f>IF(ISERROR(LOOKUP(TA$1,$S20:$HK20,csv!$L20:$HD20)),NA(),LOOKUP(TA$1,$S20:$HK20,csv!$L20:$HD20))</f>
        <v>0</v>
      </c>
      <c r="TB20" s="5">
        <f>IF(ISERROR(LOOKUP(TB$1,$S20:$HK20,csv!$L20:$HD20)),NA(),LOOKUP(TB$1,$S20:$HK20,csv!$L20:$HD20))</f>
        <v>0</v>
      </c>
      <c r="TD20">
        <f>csv!HG20/10</f>
        <v>0</v>
      </c>
    </row>
    <row r="21" spans="3:524" x14ac:dyDescent="0.15">
      <c r="S21" s="4">
        <f>ROUND((csv!$HG21/10+calc!S$1),1)</f>
        <v>-10</v>
      </c>
      <c r="T21" s="4">
        <f>ROUND((csv!$HG21/10+calc!T$1),1)</f>
        <v>-9.9</v>
      </c>
      <c r="U21" s="4">
        <f>ROUND((csv!$HG21/10+calc!U$1),1)</f>
        <v>-9.8000000000000007</v>
      </c>
      <c r="V21" s="4">
        <f>ROUND((csv!$HG21/10+calc!V$1),1)</f>
        <v>-9.6999999999999993</v>
      </c>
      <c r="W21" s="4">
        <f>ROUND((csv!$HG21/10+calc!W$1),1)</f>
        <v>-9.6</v>
      </c>
      <c r="X21" s="4">
        <f>ROUND((csv!$HG21/10+calc!X$1),1)</f>
        <v>-9.5</v>
      </c>
      <c r="Y21" s="4">
        <f>ROUND((csv!$HG21/10+calc!Y$1),1)</f>
        <v>-9.4</v>
      </c>
      <c r="Z21" s="4">
        <f>ROUND((csv!$HG21/10+calc!Z$1),1)</f>
        <v>-9.3000000000000007</v>
      </c>
      <c r="AA21" s="4">
        <f>ROUND((csv!$HG21/10+calc!AA$1),1)</f>
        <v>-9.1999999999999993</v>
      </c>
      <c r="AB21" s="4">
        <f>ROUND((csv!$HG21/10+calc!AB$1),1)</f>
        <v>-9.1</v>
      </c>
      <c r="AC21" s="4">
        <f>ROUND((csv!$HG21/10+calc!AC$1),1)</f>
        <v>-9</v>
      </c>
      <c r="AD21" s="4">
        <f>ROUND((csv!$HG21/10+calc!AD$1),1)</f>
        <v>-8.9</v>
      </c>
      <c r="AE21" s="4">
        <f>ROUND((csv!$HG21/10+calc!AE$1),1)</f>
        <v>-8.8000000000000007</v>
      </c>
      <c r="AF21" s="4">
        <f>ROUND((csv!$HG21/10+calc!AF$1),1)</f>
        <v>-8.6999999999999993</v>
      </c>
      <c r="AG21" s="4">
        <f>ROUND((csv!$HG21/10+calc!AG$1),1)</f>
        <v>-8.6</v>
      </c>
      <c r="AH21" s="4">
        <f>ROUND((csv!$HG21/10+calc!AH$1),1)</f>
        <v>-8.5</v>
      </c>
      <c r="AI21" s="4">
        <f>ROUND((csv!$HG21/10+calc!AI$1),1)</f>
        <v>-8.4</v>
      </c>
      <c r="AJ21" s="4">
        <f>ROUND((csv!$HG21/10+calc!AJ$1),1)</f>
        <v>-8.3000000000000007</v>
      </c>
      <c r="AK21" s="4">
        <f>ROUND((csv!$HG21/10+calc!AK$1),1)</f>
        <v>-8.1999999999999993</v>
      </c>
      <c r="AL21" s="4">
        <f>ROUND((csv!$HG21/10+calc!AL$1),1)</f>
        <v>-8.1</v>
      </c>
      <c r="AM21" s="4">
        <f>ROUND((csv!$HG21/10+calc!AM$1),1)</f>
        <v>-8</v>
      </c>
      <c r="AN21" s="4">
        <f>ROUND((csv!$HG21/10+calc!AN$1),1)</f>
        <v>-7.9</v>
      </c>
      <c r="AO21" s="4">
        <f>ROUND((csv!$HG21/10+calc!AO$1),1)</f>
        <v>-7.8</v>
      </c>
      <c r="AP21" s="4">
        <f>ROUND((csv!$HG21/10+calc!AP$1),1)</f>
        <v>-7.7</v>
      </c>
      <c r="AQ21" s="4">
        <f>ROUND((csv!$HG21/10+calc!AQ$1),1)</f>
        <v>-7.6</v>
      </c>
      <c r="AR21" s="4">
        <f>ROUND((csv!$HG21/10+calc!AR$1),1)</f>
        <v>-7.5</v>
      </c>
      <c r="AS21" s="4">
        <f>ROUND((csv!$HG21/10+calc!AS$1),1)</f>
        <v>-7.4</v>
      </c>
      <c r="AT21" s="4">
        <f>ROUND((csv!$HG21/10+calc!AT$1),1)</f>
        <v>-7.3</v>
      </c>
      <c r="AU21" s="4">
        <f>ROUND((csv!$HG21/10+calc!AU$1),1)</f>
        <v>-7.2</v>
      </c>
      <c r="AV21" s="4">
        <f>ROUND((csv!$HG21/10+calc!AV$1),1)</f>
        <v>-7.1</v>
      </c>
      <c r="AW21" s="4">
        <f>ROUND((csv!$HG21/10+calc!AW$1),1)</f>
        <v>-7</v>
      </c>
      <c r="AX21" s="4">
        <f>ROUND((csv!$HG21/10+calc!AX$1),1)</f>
        <v>-6.9</v>
      </c>
      <c r="AY21" s="4">
        <f>ROUND((csv!$HG21/10+calc!AY$1),1)</f>
        <v>-6.8</v>
      </c>
      <c r="AZ21" s="4">
        <f>ROUND((csv!$HG21/10+calc!AZ$1),1)</f>
        <v>-6.7</v>
      </c>
      <c r="BA21" s="4">
        <f>ROUND((csv!$HG21/10+calc!BA$1),1)</f>
        <v>-6.6</v>
      </c>
      <c r="BB21" s="4">
        <f>ROUND((csv!$HG21/10+calc!BB$1),1)</f>
        <v>-6.5</v>
      </c>
      <c r="BC21" s="4">
        <f>ROUND((csv!$HG21/10+calc!BC$1),1)</f>
        <v>-6.4</v>
      </c>
      <c r="BD21" s="4">
        <f>ROUND((csv!$HG21/10+calc!BD$1),1)</f>
        <v>-6.3</v>
      </c>
      <c r="BE21" s="4">
        <f>ROUND((csv!$HG21/10+calc!BE$1),1)</f>
        <v>-6.2</v>
      </c>
      <c r="BF21" s="4">
        <f>ROUND((csv!$HG21/10+calc!BF$1),1)</f>
        <v>-6.1</v>
      </c>
      <c r="BG21" s="4">
        <f>ROUND((csv!$HG21/10+calc!BG$1),1)</f>
        <v>-6</v>
      </c>
      <c r="BH21" s="4">
        <f>ROUND((csv!$HG21/10+calc!BH$1),1)</f>
        <v>-5.9</v>
      </c>
      <c r="BI21" s="4">
        <f>ROUND((csv!$HG21/10+calc!BI$1),1)</f>
        <v>-5.8</v>
      </c>
      <c r="BJ21" s="4">
        <f>ROUND((csv!$HG21/10+calc!BJ$1),1)</f>
        <v>-5.7</v>
      </c>
      <c r="BK21" s="4">
        <f>ROUND((csv!$HG21/10+calc!BK$1),1)</f>
        <v>-5.6</v>
      </c>
      <c r="BL21" s="4">
        <f>ROUND((csv!$HG21/10+calc!BL$1),1)</f>
        <v>-5.5</v>
      </c>
      <c r="BM21" s="4">
        <f>ROUND((csv!$HG21/10+calc!BM$1),1)</f>
        <v>-5.4</v>
      </c>
      <c r="BN21" s="4">
        <f>ROUND((csv!$HG21/10+calc!BN$1),1)</f>
        <v>-5.3</v>
      </c>
      <c r="BO21" s="4">
        <f>ROUND((csv!$HG21/10+calc!BO$1),1)</f>
        <v>-5.2</v>
      </c>
      <c r="BP21" s="4">
        <f>ROUND((csv!$HG21/10+calc!BP$1),1)</f>
        <v>-5.0999999999999996</v>
      </c>
      <c r="BQ21" s="4">
        <f>ROUND((csv!$HG21/10+calc!BQ$1),1)</f>
        <v>-5</v>
      </c>
      <c r="BR21" s="4">
        <f>ROUND((csv!$HG21/10+calc!BR$1),1)</f>
        <v>-4.9000000000000004</v>
      </c>
      <c r="BS21" s="4">
        <f>ROUND((csv!$HG21/10+calc!BS$1),1)</f>
        <v>-4.8</v>
      </c>
      <c r="BT21" s="4">
        <f>ROUND((csv!$HG21/10+calc!BT$1),1)</f>
        <v>-4.7</v>
      </c>
      <c r="BU21" s="4">
        <f>ROUND((csv!$HG21/10+calc!BU$1),1)</f>
        <v>-4.5999999999999996</v>
      </c>
      <c r="BV21" s="4">
        <f>ROUND((csv!$HG21/10+calc!BV$1),1)</f>
        <v>-4.5</v>
      </c>
      <c r="BW21" s="4">
        <f>ROUND((csv!$HG21/10+calc!BW$1),1)</f>
        <v>-4.4000000000000004</v>
      </c>
      <c r="BX21" s="4">
        <f>ROUND((csv!$HG21/10+calc!BX$1),1)</f>
        <v>-4.3</v>
      </c>
      <c r="BY21" s="4">
        <f>ROUND((csv!$HG21/10+calc!BY$1),1)</f>
        <v>-4.2</v>
      </c>
      <c r="BZ21" s="4">
        <f>ROUND((csv!$HG21/10+calc!BZ$1),1)</f>
        <v>-4.0999999999999996</v>
      </c>
      <c r="CA21" s="4">
        <f>ROUND((csv!$HG21/10+calc!CA$1),1)</f>
        <v>-4</v>
      </c>
      <c r="CB21" s="4">
        <f>ROUND((csv!$HG21/10+calc!CB$1),1)</f>
        <v>-3.9</v>
      </c>
      <c r="CC21" s="4">
        <f>ROUND((csv!$HG21/10+calc!CC$1),1)</f>
        <v>-3.8</v>
      </c>
      <c r="CD21" s="4">
        <f>ROUND((csv!$HG21/10+calc!CD$1),1)</f>
        <v>-3.7</v>
      </c>
      <c r="CE21" s="4">
        <f>ROUND((csv!$HG21/10+calc!CE$1),1)</f>
        <v>-3.6</v>
      </c>
      <c r="CF21" s="4">
        <f>ROUND((csv!$HG21/10+calc!CF$1),1)</f>
        <v>-3.5</v>
      </c>
      <c r="CG21" s="4">
        <f>ROUND((csv!$HG21/10+calc!CG$1),1)</f>
        <v>-3.4</v>
      </c>
      <c r="CH21" s="4">
        <f>ROUND((csv!$HG21/10+calc!CH$1),1)</f>
        <v>-3.3</v>
      </c>
      <c r="CI21" s="4">
        <f>ROUND((csv!$HG21/10+calc!CI$1),1)</f>
        <v>-3.2</v>
      </c>
      <c r="CJ21" s="4">
        <f>ROUND((csv!$HG21/10+calc!CJ$1),1)</f>
        <v>-3.1</v>
      </c>
      <c r="CK21" s="4">
        <f>ROUND((csv!$HG21/10+calc!CK$1),1)</f>
        <v>-3</v>
      </c>
      <c r="CL21" s="4">
        <f>ROUND((csv!$HG21/10+calc!CL$1),1)</f>
        <v>-2.9</v>
      </c>
      <c r="CM21" s="4">
        <f>ROUND((csv!$HG21/10+calc!CM$1),1)</f>
        <v>-2.8</v>
      </c>
      <c r="CN21" s="4">
        <f>ROUND((csv!$HG21/10+calc!CN$1),1)</f>
        <v>-2.7</v>
      </c>
      <c r="CO21" s="4">
        <f>ROUND((csv!$HG21/10+calc!CO$1),1)</f>
        <v>-2.6</v>
      </c>
      <c r="CP21" s="4">
        <f>ROUND((csv!$HG21/10+calc!CP$1),1)</f>
        <v>-2.5</v>
      </c>
      <c r="CQ21" s="4">
        <f>ROUND((csv!$HG21/10+calc!CQ$1),1)</f>
        <v>-2.4</v>
      </c>
      <c r="CR21" s="4">
        <f>ROUND((csv!$HG21/10+calc!CR$1),1)</f>
        <v>-2.2999999999999998</v>
      </c>
      <c r="CS21" s="4">
        <f>ROUND((csv!$HG21/10+calc!CS$1),1)</f>
        <v>-2.2000000000000002</v>
      </c>
      <c r="CT21" s="4">
        <f>ROUND((csv!$HG21/10+calc!CT$1),1)</f>
        <v>-2.1</v>
      </c>
      <c r="CU21" s="4">
        <f>ROUND((csv!$HG21/10+calc!CU$1),1)</f>
        <v>-2</v>
      </c>
      <c r="CV21" s="4">
        <f>ROUND((csv!$HG21/10+calc!CV$1),1)</f>
        <v>-1.9</v>
      </c>
      <c r="CW21" s="4">
        <f>ROUND((csv!$HG21/10+calc!CW$1),1)</f>
        <v>-1.8</v>
      </c>
      <c r="CX21" s="4">
        <f>ROUND((csv!$HG21/10+calc!CX$1),1)</f>
        <v>-1.7</v>
      </c>
      <c r="CY21" s="4">
        <f>ROUND((csv!$HG21/10+calc!CY$1),1)</f>
        <v>-1.6</v>
      </c>
      <c r="CZ21" s="4">
        <f>ROUND((csv!$HG21/10+calc!CZ$1),1)</f>
        <v>-1.5</v>
      </c>
      <c r="DA21" s="4">
        <f>ROUND((csv!$HG21/10+calc!DA$1),1)</f>
        <v>-1.4</v>
      </c>
      <c r="DB21" s="4">
        <f>ROUND((csv!$HG21/10+calc!DB$1),1)</f>
        <v>-1.3</v>
      </c>
      <c r="DC21" s="4">
        <f>ROUND((csv!$HG21/10+calc!DC$1),1)</f>
        <v>-1.2</v>
      </c>
      <c r="DD21" s="4">
        <f>ROUND((csv!$HG21/10+calc!DD$1),1)</f>
        <v>-1.1000000000000001</v>
      </c>
      <c r="DE21" s="4">
        <f>ROUND((csv!$HG21/10+calc!DE$1),1)</f>
        <v>-1</v>
      </c>
      <c r="DF21" s="4">
        <f>ROUND((csv!$HG21/10+calc!DF$1),1)</f>
        <v>-0.9</v>
      </c>
      <c r="DG21" s="4">
        <f>ROUND((csv!$HG21/10+calc!DG$1),1)</f>
        <v>-0.8</v>
      </c>
      <c r="DH21" s="4">
        <f>ROUND((csv!$HG21/10+calc!DH$1),1)</f>
        <v>-0.7</v>
      </c>
      <c r="DI21" s="4">
        <f>ROUND((csv!$HG21/10+calc!DI$1),1)</f>
        <v>-0.6</v>
      </c>
      <c r="DJ21" s="4">
        <f>ROUND((csv!$HG21/10+calc!DJ$1),1)</f>
        <v>-0.5</v>
      </c>
      <c r="DK21" s="4">
        <f>ROUND((csv!$HG21/10+calc!DK$1),1)</f>
        <v>-0.4</v>
      </c>
      <c r="DL21" s="4">
        <f>ROUND((csv!$HG21/10+calc!DL$1),1)</f>
        <v>-0.3</v>
      </c>
      <c r="DM21" s="4">
        <f>ROUND((csv!$HG21/10+calc!DM$1),1)</f>
        <v>-0.2</v>
      </c>
      <c r="DN21" s="4">
        <f>ROUND((csv!$HG21/10+calc!DN$1),1)</f>
        <v>-0.1</v>
      </c>
      <c r="DO21" s="4">
        <f>ROUND((csv!$HG21/10+calc!DO$1),1)</f>
        <v>0</v>
      </c>
      <c r="DP21" s="4">
        <f>ROUND((csv!$HG21/10+calc!DP$1),1)</f>
        <v>0.1</v>
      </c>
      <c r="DQ21" s="4">
        <f>ROUND((csv!$HG21/10+calc!DQ$1),1)</f>
        <v>0.2</v>
      </c>
      <c r="DR21" s="4">
        <f>ROUND((csv!$HG21/10+calc!DR$1),1)</f>
        <v>0.3</v>
      </c>
      <c r="DS21" s="4">
        <f>ROUND((csv!$HG21/10+calc!DS$1),1)</f>
        <v>0.4</v>
      </c>
      <c r="DT21" s="4">
        <f>ROUND((csv!$HG21/10+calc!DT$1),1)</f>
        <v>0.5</v>
      </c>
      <c r="DU21" s="4">
        <f>ROUND((csv!$HG21/10+calc!DU$1),1)</f>
        <v>0.6</v>
      </c>
      <c r="DV21" s="4">
        <f>ROUND((csv!$HG21/10+calc!DV$1),1)</f>
        <v>0.7</v>
      </c>
      <c r="DW21" s="4">
        <f>ROUND((csv!$HG21/10+calc!DW$1),1)</f>
        <v>0.8</v>
      </c>
      <c r="DX21" s="4">
        <f>ROUND((csv!$HG21/10+calc!DX$1),1)</f>
        <v>0.9</v>
      </c>
      <c r="DY21" s="4">
        <f>ROUND((csv!$HG21/10+calc!DY$1),1)</f>
        <v>1</v>
      </c>
      <c r="DZ21" s="4">
        <f>ROUND((csv!$HG21/10+calc!DZ$1),1)</f>
        <v>1.1000000000000001</v>
      </c>
      <c r="EA21" s="4">
        <f>ROUND((csv!$HG21/10+calc!EA$1),1)</f>
        <v>1.2</v>
      </c>
      <c r="EB21" s="4">
        <f>ROUND((csv!$HG21/10+calc!EB$1),1)</f>
        <v>1.3</v>
      </c>
      <c r="EC21" s="4">
        <f>ROUND((csv!$HG21/10+calc!EC$1),1)</f>
        <v>1.4</v>
      </c>
      <c r="ED21" s="4">
        <f>ROUND((csv!$HG21/10+calc!ED$1),1)</f>
        <v>1.5</v>
      </c>
      <c r="EE21" s="4">
        <f>ROUND((csv!$HG21/10+calc!EE$1),1)</f>
        <v>1.6</v>
      </c>
      <c r="EF21" s="4">
        <f>ROUND((csv!$HG21/10+calc!EF$1),1)</f>
        <v>1.7</v>
      </c>
      <c r="EG21" s="4">
        <f>ROUND((csv!$HG21/10+calc!EG$1),1)</f>
        <v>1.8</v>
      </c>
      <c r="EH21" s="4">
        <f>ROUND((csv!$HG21/10+calc!EH$1),1)</f>
        <v>1.9</v>
      </c>
      <c r="EI21" s="4">
        <f>ROUND((csv!$HG21/10+calc!EI$1),1)</f>
        <v>2</v>
      </c>
      <c r="EJ21" s="4">
        <f>ROUND((csv!$HG21/10+calc!EJ$1),1)</f>
        <v>2.1</v>
      </c>
      <c r="EK21" s="4">
        <f>ROUND((csv!$HG21/10+calc!EK$1),1)</f>
        <v>2.2000000000000002</v>
      </c>
      <c r="EL21" s="4">
        <f>ROUND((csv!$HG21/10+calc!EL$1),1)</f>
        <v>2.2999999999999998</v>
      </c>
      <c r="EM21" s="4">
        <f>ROUND((csv!$HG21/10+calc!EM$1),1)</f>
        <v>2.4</v>
      </c>
      <c r="EN21" s="4">
        <f>ROUND((csv!$HG21/10+calc!EN$1),1)</f>
        <v>2.5</v>
      </c>
      <c r="EO21" s="4">
        <f>ROUND((csv!$HG21/10+calc!EO$1),1)</f>
        <v>2.6</v>
      </c>
      <c r="EP21" s="4">
        <f>ROUND((csv!$HG21/10+calc!EP$1),1)</f>
        <v>2.7</v>
      </c>
      <c r="EQ21" s="4">
        <f>ROUND((csv!$HG21/10+calc!EQ$1),1)</f>
        <v>2.8</v>
      </c>
      <c r="ER21" s="4">
        <f>ROUND((csv!$HG21/10+calc!ER$1),1)</f>
        <v>2.9</v>
      </c>
      <c r="ES21" s="4">
        <f>ROUND((csv!$HG21/10+calc!ES$1),1)</f>
        <v>3</v>
      </c>
      <c r="ET21" s="4">
        <f>ROUND((csv!$HG21/10+calc!ET$1),1)</f>
        <v>3.1</v>
      </c>
      <c r="EU21" s="4">
        <f>ROUND((csv!$HG21/10+calc!EU$1),1)</f>
        <v>3.2</v>
      </c>
      <c r="EV21" s="4">
        <f>ROUND((csv!$HG21/10+calc!EV$1),1)</f>
        <v>3.3</v>
      </c>
      <c r="EW21" s="4">
        <f>ROUND((csv!$HG21/10+calc!EW$1),1)</f>
        <v>3.4</v>
      </c>
      <c r="EX21" s="4">
        <f>ROUND((csv!$HG21/10+calc!EX$1),1)</f>
        <v>3.5</v>
      </c>
      <c r="EY21" s="4">
        <f>ROUND((csv!$HG21/10+calc!EY$1),1)</f>
        <v>3.6</v>
      </c>
      <c r="EZ21" s="4">
        <f>ROUND((csv!$HG21/10+calc!EZ$1),1)</f>
        <v>3.7</v>
      </c>
      <c r="FA21" s="4">
        <f>ROUND((csv!$HG21/10+calc!FA$1),1)</f>
        <v>3.8</v>
      </c>
      <c r="FB21" s="4">
        <f>ROUND((csv!$HG21/10+calc!FB$1),1)</f>
        <v>3.9</v>
      </c>
      <c r="FC21" s="4">
        <f>ROUND((csv!$HG21/10+calc!FC$1),1)</f>
        <v>4</v>
      </c>
      <c r="FD21" s="4">
        <f>ROUND((csv!$HG21/10+calc!FD$1),1)</f>
        <v>4.0999999999999996</v>
      </c>
      <c r="FE21" s="4">
        <f>ROUND((csv!$HG21/10+calc!FE$1),1)</f>
        <v>4.2</v>
      </c>
      <c r="FF21" s="4">
        <f>ROUND((csv!$HG21/10+calc!FF$1),1)</f>
        <v>4.3</v>
      </c>
      <c r="FG21" s="4">
        <f>ROUND((csv!$HG21/10+calc!FG$1),1)</f>
        <v>4.4000000000000004</v>
      </c>
      <c r="FH21" s="4">
        <f>ROUND((csv!$HG21/10+calc!FH$1),1)</f>
        <v>4.5</v>
      </c>
      <c r="FI21" s="4">
        <f>ROUND((csv!$HG21/10+calc!FI$1),1)</f>
        <v>4.5999999999999996</v>
      </c>
      <c r="FJ21" s="4">
        <f>ROUND((csv!$HG21/10+calc!FJ$1),1)</f>
        <v>4.7</v>
      </c>
      <c r="FK21" s="4">
        <f>ROUND((csv!$HG21/10+calc!FK$1),1)</f>
        <v>4.8</v>
      </c>
      <c r="FL21" s="4">
        <f>ROUND((csv!$HG21/10+calc!FL$1),1)</f>
        <v>4.9000000000000004</v>
      </c>
      <c r="FM21" s="4">
        <f>ROUND((csv!$HG21/10+calc!FM$1),1)</f>
        <v>5</v>
      </c>
      <c r="FN21" s="4">
        <f>ROUND((csv!$HG21/10+calc!FN$1),1)</f>
        <v>5.0999999999999996</v>
      </c>
      <c r="FO21" s="4">
        <f>ROUND((csv!$HG21/10+calc!FO$1),1)</f>
        <v>5.2</v>
      </c>
      <c r="FP21" s="4">
        <f>ROUND((csv!$HG21/10+calc!FP$1),1)</f>
        <v>5.3</v>
      </c>
      <c r="FQ21" s="4">
        <f>ROUND((csv!$HG21/10+calc!FQ$1),1)</f>
        <v>5.4</v>
      </c>
      <c r="FR21" s="4">
        <f>ROUND((csv!$HG21/10+calc!FR$1),1)</f>
        <v>5.5</v>
      </c>
      <c r="FS21" s="4">
        <f>ROUND((csv!$HG21/10+calc!FS$1),1)</f>
        <v>5.6</v>
      </c>
      <c r="FT21" s="4">
        <f>ROUND((csv!$HG21/10+calc!FT$1),1)</f>
        <v>5.7</v>
      </c>
      <c r="FU21" s="4">
        <f>ROUND((csv!$HG21/10+calc!FU$1),1)</f>
        <v>5.8</v>
      </c>
      <c r="FV21" s="4">
        <f>ROUND((csv!$HG21/10+calc!FV$1),1)</f>
        <v>5.9</v>
      </c>
      <c r="FW21" s="4">
        <f>ROUND((csv!$HG21/10+calc!FW$1),1)</f>
        <v>6</v>
      </c>
      <c r="FX21" s="4">
        <f>ROUND((csv!$HG21/10+calc!FX$1),1)</f>
        <v>6.1</v>
      </c>
      <c r="FY21" s="4">
        <f>ROUND((csv!$HG21/10+calc!FY$1),1)</f>
        <v>6.2</v>
      </c>
      <c r="FZ21" s="4">
        <f>ROUND((csv!$HG21/10+calc!FZ$1),1)</f>
        <v>6.3</v>
      </c>
      <c r="GA21" s="4">
        <f>ROUND((csv!$HG21/10+calc!GA$1),1)</f>
        <v>6.4</v>
      </c>
      <c r="GB21" s="4">
        <f>ROUND((csv!$HG21/10+calc!GB$1),1)</f>
        <v>6.5</v>
      </c>
      <c r="GC21" s="4">
        <f>ROUND((csv!$HG21/10+calc!GC$1),1)</f>
        <v>6.6</v>
      </c>
      <c r="GD21" s="4">
        <f>ROUND((csv!$HG21/10+calc!GD$1),1)</f>
        <v>6.7</v>
      </c>
      <c r="GE21" s="4">
        <f>ROUND((csv!$HG21/10+calc!GE$1),1)</f>
        <v>6.8</v>
      </c>
      <c r="GF21" s="4">
        <f>ROUND((csv!$HG21/10+calc!GF$1),1)</f>
        <v>6.9</v>
      </c>
      <c r="GG21" s="4">
        <f>ROUND((csv!$HG21/10+calc!GG$1),1)</f>
        <v>7</v>
      </c>
      <c r="GH21" s="4">
        <f>ROUND((csv!$HG21/10+calc!GH$1),1)</f>
        <v>7.1</v>
      </c>
      <c r="GI21" s="4">
        <f>ROUND((csv!$HG21/10+calc!GI$1),1)</f>
        <v>7.2</v>
      </c>
      <c r="GJ21" s="4">
        <f>ROUND((csv!$HG21/10+calc!GJ$1),1)</f>
        <v>7.3</v>
      </c>
      <c r="GK21" s="4">
        <f>ROUND((csv!$HG21/10+calc!GK$1),1)</f>
        <v>7.4</v>
      </c>
      <c r="GL21" s="4">
        <f>ROUND((csv!$HG21/10+calc!GL$1),1)</f>
        <v>7.5</v>
      </c>
      <c r="GM21" s="4">
        <f>ROUND((csv!$HG21/10+calc!GM$1),1)</f>
        <v>7.6</v>
      </c>
      <c r="GN21" s="4">
        <f>ROUND((csv!$HG21/10+calc!GN$1),1)</f>
        <v>7.7</v>
      </c>
      <c r="GO21" s="4">
        <f>ROUND((csv!$HG21/10+calc!GO$1),1)</f>
        <v>7.8</v>
      </c>
      <c r="GP21" s="4">
        <f>ROUND((csv!$HG21/10+calc!GP$1),1)</f>
        <v>7.9</v>
      </c>
      <c r="GQ21" s="4">
        <f>ROUND((csv!$HG21/10+calc!GQ$1),1)</f>
        <v>8</v>
      </c>
      <c r="GR21" s="4">
        <f>ROUND((csv!$HG21/10+calc!GR$1),1)</f>
        <v>8.1</v>
      </c>
      <c r="GS21" s="4">
        <f>ROUND((csv!$HG21/10+calc!GS$1),1)</f>
        <v>8.1999999999999993</v>
      </c>
      <c r="GT21" s="4">
        <f>ROUND((csv!$HG21/10+calc!GT$1),1)</f>
        <v>8.3000000000000007</v>
      </c>
      <c r="GU21" s="4">
        <f>ROUND((csv!$HG21/10+calc!GU$1),1)</f>
        <v>8.4</v>
      </c>
      <c r="GV21" s="4">
        <f>ROUND((csv!$HG21/10+calc!GV$1),1)</f>
        <v>8.5</v>
      </c>
      <c r="GW21" s="4">
        <f>ROUND((csv!$HG21/10+calc!GW$1),1)</f>
        <v>8.6</v>
      </c>
      <c r="GX21" s="4">
        <f>ROUND((csv!$HG21/10+calc!GX$1),1)</f>
        <v>8.6999999999999993</v>
      </c>
      <c r="GY21" s="4">
        <f>ROUND((csv!$HG21/10+calc!GY$1),1)</f>
        <v>8.8000000000000007</v>
      </c>
      <c r="GZ21" s="4">
        <f>ROUND((csv!$HG21/10+calc!GZ$1),1)</f>
        <v>8.9</v>
      </c>
      <c r="HA21" s="4">
        <f>ROUND((csv!$HG21/10+calc!HA$1),1)</f>
        <v>9</v>
      </c>
      <c r="HB21" s="4">
        <f>ROUND((csv!$HG21/10+calc!HB$1),1)</f>
        <v>9.1</v>
      </c>
      <c r="HC21" s="4">
        <f>ROUND((csv!$HG21/10+calc!HC$1),1)</f>
        <v>9.1999999999999993</v>
      </c>
      <c r="HD21" s="4">
        <f>ROUND((csv!$HG21/10+calc!HD$1),1)</f>
        <v>9.3000000000000007</v>
      </c>
      <c r="HE21" s="4">
        <f>ROUND((csv!$HG21/10+calc!HE$1),1)</f>
        <v>9.4</v>
      </c>
      <c r="HF21" s="4">
        <f>ROUND((csv!$HG21/10+calc!HF$1),1)</f>
        <v>9.5</v>
      </c>
      <c r="HG21" s="4">
        <f>ROUND((csv!$HG21/10+calc!HG$1),1)</f>
        <v>9.6</v>
      </c>
      <c r="HH21" s="4">
        <f>ROUND((csv!$HG21/10+calc!HH$1),1)</f>
        <v>9.6999999999999993</v>
      </c>
      <c r="HI21" s="4">
        <f>ROUND((csv!$HG21/10+calc!HI$1),1)</f>
        <v>9.8000000000000007</v>
      </c>
      <c r="HJ21" s="4">
        <f>ROUND((csv!$HG21/10+calc!HJ$1),1)</f>
        <v>9.9</v>
      </c>
      <c r="HK21" s="4">
        <f>ROUND((csv!$HG21/10+calc!HK$1),1)</f>
        <v>10</v>
      </c>
      <c r="HM21" s="2">
        <f>csv!A21*10000+csv!B21*100+csv!C21</f>
        <v>0</v>
      </c>
      <c r="HN21" s="5">
        <f>IF(ISERROR(LOOKUP(HN$1,$S21:$HK21,csv!$L21:$HD21)),NA(),LOOKUP(HN$1,$S21:$HK21,csv!$L21:$HD21))</f>
        <v>0</v>
      </c>
      <c r="HO21" s="5">
        <f>IF(ISERROR(LOOKUP(HO$1,$S21:$HK21,csv!$L21:$HD21)),NA(),LOOKUP(HO$1,$S21:$HK21,csv!$L21:$HD21))</f>
        <v>0</v>
      </c>
      <c r="HP21" s="5">
        <f>IF(ISERROR(LOOKUP(HP$1,$S21:$HK21,csv!$L21:$HD21)),NA(),LOOKUP(HP$1,$S21:$HK21,csv!$L21:$HD21))</f>
        <v>0</v>
      </c>
      <c r="HQ21" s="5">
        <f>IF(ISERROR(LOOKUP(HQ$1,$S21:$HK21,csv!$L21:$HD21)),NA(),LOOKUP(HQ$1,$S21:$HK21,csv!$L21:$HD21))</f>
        <v>0</v>
      </c>
      <c r="HR21" s="5">
        <f>IF(ISERROR(LOOKUP(HR$1,$S21:$HK21,csv!$L21:$HD21)),NA(),LOOKUP(HR$1,$S21:$HK21,csv!$L21:$HD21))</f>
        <v>0</v>
      </c>
      <c r="HS21" s="5">
        <f>IF(ISERROR(LOOKUP(HS$1,$S21:$HK21,csv!$L21:$HD21)),NA(),LOOKUP(HS$1,$S21:$HK21,csv!$L21:$HD21))</f>
        <v>0</v>
      </c>
      <c r="HT21" s="5">
        <f>IF(ISERROR(LOOKUP(HT$1,$S21:$HK21,csv!$L21:$HD21)),NA(),LOOKUP(HT$1,$S21:$HK21,csv!$L21:$HD21))</f>
        <v>0</v>
      </c>
      <c r="HU21" s="5">
        <f>IF(ISERROR(LOOKUP(HU$1,$S21:$HK21,csv!$L21:$HD21)),NA(),LOOKUP(HU$1,$S21:$HK21,csv!$L21:$HD21))</f>
        <v>0</v>
      </c>
      <c r="HV21" s="5">
        <f>IF(ISERROR(LOOKUP(HV$1,$S21:$HK21,csv!$L21:$HD21)),NA(),LOOKUP(HV$1,$S21:$HK21,csv!$L21:$HD21))</f>
        <v>0</v>
      </c>
      <c r="HW21" s="5">
        <f>IF(ISERROR(LOOKUP(HW$1,$S21:$HK21,csv!$L21:$HD21)),NA(),LOOKUP(HW$1,$S21:$HK21,csv!$L21:$HD21))</f>
        <v>0</v>
      </c>
      <c r="HX21" s="5">
        <f>IF(ISERROR(LOOKUP(HX$1,$S21:$HK21,csv!$L21:$HD21)),NA(),LOOKUP(HX$1,$S21:$HK21,csv!$L21:$HD21))</f>
        <v>0</v>
      </c>
      <c r="HY21" s="5">
        <f>IF(ISERROR(LOOKUP(HY$1,$S21:$HK21,csv!$L21:$HD21)),NA(),LOOKUP(HY$1,$S21:$HK21,csv!$L21:$HD21))</f>
        <v>0</v>
      </c>
      <c r="HZ21" s="5">
        <f>IF(ISERROR(LOOKUP(HZ$1,$S21:$HK21,csv!$L21:$HD21)),NA(),LOOKUP(HZ$1,$S21:$HK21,csv!$L21:$HD21))</f>
        <v>0</v>
      </c>
      <c r="IA21" s="5">
        <f>IF(ISERROR(LOOKUP(IA$1,$S21:$HK21,csv!$L21:$HD21)),NA(),LOOKUP(IA$1,$S21:$HK21,csv!$L21:$HD21))</f>
        <v>0</v>
      </c>
      <c r="IB21" s="5">
        <f>IF(ISERROR(LOOKUP(IB$1,$S21:$HK21,csv!$L21:$HD21)),NA(),LOOKUP(IB$1,$S21:$HK21,csv!$L21:$HD21))</f>
        <v>0</v>
      </c>
      <c r="IC21" s="5">
        <f>IF(ISERROR(LOOKUP(IC$1,$S21:$HK21,csv!$L21:$HD21)),NA(),LOOKUP(IC$1,$S21:$HK21,csv!$L21:$HD21))</f>
        <v>0</v>
      </c>
      <c r="ID21" s="5">
        <f>IF(ISERROR(LOOKUP(ID$1,$S21:$HK21,csv!$L21:$HD21)),NA(),LOOKUP(ID$1,$S21:$HK21,csv!$L21:$HD21))</f>
        <v>0</v>
      </c>
      <c r="IE21" s="5">
        <f>IF(ISERROR(LOOKUP(IE$1,$S21:$HK21,csv!$L21:$HD21)),NA(),LOOKUP(IE$1,$S21:$HK21,csv!$L21:$HD21))</f>
        <v>0</v>
      </c>
      <c r="IF21" s="5">
        <f>IF(ISERROR(LOOKUP(IF$1,$S21:$HK21,csv!$L21:$HD21)),NA(),LOOKUP(IF$1,$S21:$HK21,csv!$L21:$HD21))</f>
        <v>0</v>
      </c>
      <c r="IG21" s="5">
        <f>IF(ISERROR(LOOKUP(IG$1,$S21:$HK21,csv!$L21:$HD21)),NA(),LOOKUP(IG$1,$S21:$HK21,csv!$L21:$HD21))</f>
        <v>0</v>
      </c>
      <c r="IH21" s="5">
        <f>IF(ISERROR(LOOKUP(IH$1,$S21:$HK21,csv!$L21:$HD21)),NA(),LOOKUP(IH$1,$S21:$HK21,csv!$L21:$HD21))</f>
        <v>0</v>
      </c>
      <c r="II21" s="5">
        <f>IF(ISERROR(LOOKUP(II$1,$S21:$HK21,csv!$L21:$HD21)),NA(),LOOKUP(II$1,$S21:$HK21,csv!$L21:$HD21))</f>
        <v>0</v>
      </c>
      <c r="IJ21" s="5">
        <f>IF(ISERROR(LOOKUP(IJ$1,$S21:$HK21,csv!$L21:$HD21)),NA(),LOOKUP(IJ$1,$S21:$HK21,csv!$L21:$HD21))</f>
        <v>0</v>
      </c>
      <c r="IK21" s="5">
        <f>IF(ISERROR(LOOKUP(IK$1,$S21:$HK21,csv!$L21:$HD21)),NA(),LOOKUP(IK$1,$S21:$HK21,csv!$L21:$HD21))</f>
        <v>0</v>
      </c>
      <c r="IL21" s="5">
        <f>IF(ISERROR(LOOKUP(IL$1,$S21:$HK21,csv!$L21:$HD21)),NA(),LOOKUP(IL$1,$S21:$HK21,csv!$L21:$HD21))</f>
        <v>0</v>
      </c>
      <c r="IM21" s="5">
        <f>IF(ISERROR(LOOKUP(IM$1,$S21:$HK21,csv!$L21:$HD21)),NA(),LOOKUP(IM$1,$S21:$HK21,csv!$L21:$HD21))</f>
        <v>0</v>
      </c>
      <c r="IN21" s="5">
        <f>IF(ISERROR(LOOKUP(IN$1,$S21:$HK21,csv!$L21:$HD21)),NA(),LOOKUP(IN$1,$S21:$HK21,csv!$L21:$HD21))</f>
        <v>0</v>
      </c>
      <c r="IO21" s="5">
        <f>IF(ISERROR(LOOKUP(IO$1,$S21:$HK21,csv!$L21:$HD21)),NA(),LOOKUP(IO$1,$S21:$HK21,csv!$L21:$HD21))</f>
        <v>0</v>
      </c>
      <c r="IP21" s="5">
        <f>IF(ISERROR(LOOKUP(IP$1,$S21:$HK21,csv!$L21:$HD21)),NA(),LOOKUP(IP$1,$S21:$HK21,csv!$L21:$HD21))</f>
        <v>0</v>
      </c>
      <c r="IQ21" s="5">
        <f>IF(ISERROR(LOOKUP(IQ$1,$S21:$HK21,csv!$L21:$HD21)),NA(),LOOKUP(IQ$1,$S21:$HK21,csv!$L21:$HD21))</f>
        <v>0</v>
      </c>
      <c r="IR21" s="5">
        <f>IF(ISERROR(LOOKUP(IR$1,$S21:$HK21,csv!$L21:$HD21)),NA(),LOOKUP(IR$1,$S21:$HK21,csv!$L21:$HD21))</f>
        <v>0</v>
      </c>
      <c r="IS21" s="5">
        <f>IF(ISERROR(LOOKUP(IS$1,$S21:$HK21,csv!$L21:$HD21)),NA(),LOOKUP(IS$1,$S21:$HK21,csv!$L21:$HD21))</f>
        <v>0</v>
      </c>
      <c r="IT21" s="5">
        <f>IF(ISERROR(LOOKUP(IT$1,$S21:$HK21,csv!$L21:$HD21)),NA(),LOOKUP(IT$1,$S21:$HK21,csv!$L21:$HD21))</f>
        <v>0</v>
      </c>
      <c r="IU21" s="5">
        <f>IF(ISERROR(LOOKUP(IU$1,$S21:$HK21,csv!$L21:$HD21)),NA(),LOOKUP(IU$1,$S21:$HK21,csv!$L21:$HD21))</f>
        <v>0</v>
      </c>
      <c r="IV21" s="5">
        <f>IF(ISERROR(LOOKUP(IV$1,$S21:$HK21,csv!$L21:$HD21)),NA(),LOOKUP(IV$1,$S21:$HK21,csv!$L21:$HD21))</f>
        <v>0</v>
      </c>
      <c r="IW21" s="5">
        <f>IF(ISERROR(LOOKUP(IW$1,$S21:$HK21,csv!$L21:$HD21)),NA(),LOOKUP(IW$1,$S21:$HK21,csv!$L21:$HD21))</f>
        <v>0</v>
      </c>
      <c r="IX21" s="5">
        <f>IF(ISERROR(LOOKUP(IX$1,$S21:$HK21,csv!$L21:$HD21)),NA(),LOOKUP(IX$1,$S21:$HK21,csv!$L21:$HD21))</f>
        <v>0</v>
      </c>
      <c r="IY21" s="5">
        <f>IF(ISERROR(LOOKUP(IY$1,$S21:$HK21,csv!$L21:$HD21)),NA(),LOOKUP(IY$1,$S21:$HK21,csv!$L21:$HD21))</f>
        <v>0</v>
      </c>
      <c r="IZ21" s="5">
        <f>IF(ISERROR(LOOKUP(IZ$1,$S21:$HK21,csv!$L21:$HD21)),NA(),LOOKUP(IZ$1,$S21:$HK21,csv!$L21:$HD21))</f>
        <v>0</v>
      </c>
      <c r="JA21" s="5">
        <f>IF(ISERROR(LOOKUP(JA$1,$S21:$HK21,csv!$L21:$HD21)),NA(),LOOKUP(JA$1,$S21:$HK21,csv!$L21:$HD21))</f>
        <v>0</v>
      </c>
      <c r="JB21" s="5">
        <f>IF(ISERROR(LOOKUP(JB$1,$S21:$HK21,csv!$L21:$HD21)),NA(),LOOKUP(JB$1,$S21:$HK21,csv!$L21:$HD21))</f>
        <v>0</v>
      </c>
      <c r="JC21" s="5">
        <f>IF(ISERROR(LOOKUP(JC$1,$S21:$HK21,csv!$L21:$HD21)),NA(),LOOKUP(JC$1,$S21:$HK21,csv!$L21:$HD21))</f>
        <v>0</v>
      </c>
      <c r="JD21" s="5">
        <f>IF(ISERROR(LOOKUP(JD$1,$S21:$HK21,csv!$L21:$HD21)),NA(),LOOKUP(JD$1,$S21:$HK21,csv!$L21:$HD21))</f>
        <v>0</v>
      </c>
      <c r="JE21" s="5">
        <f>IF(ISERROR(LOOKUP(JE$1,$S21:$HK21,csv!$L21:$HD21)),NA(),LOOKUP(JE$1,$S21:$HK21,csv!$L21:$HD21))</f>
        <v>0</v>
      </c>
      <c r="JF21" s="5">
        <f>IF(ISERROR(LOOKUP(JF$1,$S21:$HK21,csv!$L21:$HD21)),NA(),LOOKUP(JF$1,$S21:$HK21,csv!$L21:$HD21))</f>
        <v>0</v>
      </c>
      <c r="JG21" s="5">
        <f>IF(ISERROR(LOOKUP(JG$1,$S21:$HK21,csv!$L21:$HD21)),NA(),LOOKUP(JG$1,$S21:$HK21,csv!$L21:$HD21))</f>
        <v>0</v>
      </c>
      <c r="JH21" s="5">
        <f>IF(ISERROR(LOOKUP(JH$1,$S21:$HK21,csv!$L21:$HD21)),NA(),LOOKUP(JH$1,$S21:$HK21,csv!$L21:$HD21))</f>
        <v>0</v>
      </c>
      <c r="JI21" s="5">
        <f>IF(ISERROR(LOOKUP(JI$1,$S21:$HK21,csv!$L21:$HD21)),NA(),LOOKUP(JI$1,$S21:$HK21,csv!$L21:$HD21))</f>
        <v>0</v>
      </c>
      <c r="JJ21" s="5">
        <f>IF(ISERROR(LOOKUP(JJ$1,$S21:$HK21,csv!$L21:$HD21)),NA(),LOOKUP(JJ$1,$S21:$HK21,csv!$L21:$HD21))</f>
        <v>0</v>
      </c>
      <c r="JK21" s="5">
        <f>IF(ISERROR(LOOKUP(JK$1,$S21:$HK21,csv!$L21:$HD21)),NA(),LOOKUP(JK$1,$S21:$HK21,csv!$L21:$HD21))</f>
        <v>0</v>
      </c>
      <c r="JL21" s="5">
        <f>IF(ISERROR(LOOKUP(JL$1,$S21:$HK21,csv!$L21:$HD21)),NA(),LOOKUP(JL$1,$S21:$HK21,csv!$L21:$HD21))</f>
        <v>0</v>
      </c>
      <c r="JM21" s="5">
        <f>IF(ISERROR(LOOKUP(JM$1,$S21:$HK21,csv!$L21:$HD21)),NA(),LOOKUP(JM$1,$S21:$HK21,csv!$L21:$HD21))</f>
        <v>0</v>
      </c>
      <c r="JN21" s="5">
        <f>IF(ISERROR(LOOKUP(JN$1,$S21:$HK21,csv!$L21:$HD21)),NA(),LOOKUP(JN$1,$S21:$HK21,csv!$L21:$HD21))</f>
        <v>0</v>
      </c>
      <c r="JO21" s="5">
        <f>IF(ISERROR(LOOKUP(JO$1,$S21:$HK21,csv!$L21:$HD21)),NA(),LOOKUP(JO$1,$S21:$HK21,csv!$L21:$HD21))</f>
        <v>0</v>
      </c>
      <c r="JP21" s="5">
        <f>IF(ISERROR(LOOKUP(JP$1,$S21:$HK21,csv!$L21:$HD21)),NA(),LOOKUP(JP$1,$S21:$HK21,csv!$L21:$HD21))</f>
        <v>0</v>
      </c>
      <c r="JQ21" s="5">
        <f>IF(ISERROR(LOOKUP(JQ$1,$S21:$HK21,csv!$L21:$HD21)),NA(),LOOKUP(JQ$1,$S21:$HK21,csv!$L21:$HD21))</f>
        <v>0</v>
      </c>
      <c r="JR21" s="5">
        <f>IF(ISERROR(LOOKUP(JR$1,$S21:$HK21,csv!$L21:$HD21)),NA(),LOOKUP(JR$1,$S21:$HK21,csv!$L21:$HD21))</f>
        <v>0</v>
      </c>
      <c r="JS21" s="5">
        <f>IF(ISERROR(LOOKUP(JS$1,$S21:$HK21,csv!$L21:$HD21)),NA(),LOOKUP(JS$1,$S21:$HK21,csv!$L21:$HD21))</f>
        <v>0</v>
      </c>
      <c r="JT21" s="5">
        <f>IF(ISERROR(LOOKUP(JT$1,$S21:$HK21,csv!$L21:$HD21)),NA(),LOOKUP(JT$1,$S21:$HK21,csv!$L21:$HD21))</f>
        <v>0</v>
      </c>
      <c r="JU21" s="5">
        <f>IF(ISERROR(LOOKUP(JU$1,$S21:$HK21,csv!$L21:$HD21)),NA(),LOOKUP(JU$1,$S21:$HK21,csv!$L21:$HD21))</f>
        <v>0</v>
      </c>
      <c r="JV21" s="5">
        <f>IF(ISERROR(LOOKUP(JV$1,$S21:$HK21,csv!$L21:$HD21)),NA(),LOOKUP(JV$1,$S21:$HK21,csv!$L21:$HD21))</f>
        <v>0</v>
      </c>
      <c r="JW21" s="5">
        <f>IF(ISERROR(LOOKUP(JW$1,$S21:$HK21,csv!$L21:$HD21)),NA(),LOOKUP(JW$1,$S21:$HK21,csv!$L21:$HD21))</f>
        <v>0</v>
      </c>
      <c r="JX21" s="5">
        <f>IF(ISERROR(LOOKUP(JX$1,$S21:$HK21,csv!$L21:$HD21)),NA(),LOOKUP(JX$1,$S21:$HK21,csv!$L21:$HD21))</f>
        <v>0</v>
      </c>
      <c r="JY21" s="5">
        <f>IF(ISERROR(LOOKUP(JY$1,$S21:$HK21,csv!$L21:$HD21)),NA(),LOOKUP(JY$1,$S21:$HK21,csv!$L21:$HD21))</f>
        <v>0</v>
      </c>
      <c r="JZ21" s="5">
        <f>IF(ISERROR(LOOKUP(JZ$1,$S21:$HK21,csv!$L21:$HD21)),NA(),LOOKUP(JZ$1,$S21:$HK21,csv!$L21:$HD21))</f>
        <v>0</v>
      </c>
      <c r="KA21" s="5">
        <f>IF(ISERROR(LOOKUP(KA$1,$S21:$HK21,csv!$L21:$HD21)),NA(),LOOKUP(KA$1,$S21:$HK21,csv!$L21:$HD21))</f>
        <v>0</v>
      </c>
      <c r="KB21" s="5">
        <f>IF(ISERROR(LOOKUP(KB$1,$S21:$HK21,csv!$L21:$HD21)),NA(),LOOKUP(KB$1,$S21:$HK21,csv!$L21:$HD21))</f>
        <v>0</v>
      </c>
      <c r="KC21" s="5">
        <f>IF(ISERROR(LOOKUP(KC$1,$S21:$HK21,csv!$L21:$HD21)),NA(),LOOKUP(KC$1,$S21:$HK21,csv!$L21:$HD21))</f>
        <v>0</v>
      </c>
      <c r="KD21" s="5">
        <f>IF(ISERROR(LOOKUP(KD$1,$S21:$HK21,csv!$L21:$HD21)),NA(),LOOKUP(KD$1,$S21:$HK21,csv!$L21:$HD21))</f>
        <v>0</v>
      </c>
      <c r="KE21" s="5">
        <f>IF(ISERROR(LOOKUP(KE$1,$S21:$HK21,csv!$L21:$HD21)),NA(),LOOKUP(KE$1,$S21:$HK21,csv!$L21:$HD21))</f>
        <v>0</v>
      </c>
      <c r="KF21" s="5">
        <f>IF(ISERROR(LOOKUP(KF$1,$S21:$HK21,csv!$L21:$HD21)),NA(),LOOKUP(KF$1,$S21:$HK21,csv!$L21:$HD21))</f>
        <v>0</v>
      </c>
      <c r="KG21" s="5">
        <f>IF(ISERROR(LOOKUP(KG$1,$S21:$HK21,csv!$L21:$HD21)),NA(),LOOKUP(KG$1,$S21:$HK21,csv!$L21:$HD21))</f>
        <v>0</v>
      </c>
      <c r="KH21" s="5">
        <f>IF(ISERROR(LOOKUP(KH$1,$S21:$HK21,csv!$L21:$HD21)),NA(),LOOKUP(KH$1,$S21:$HK21,csv!$L21:$HD21))</f>
        <v>0</v>
      </c>
      <c r="KI21" s="5">
        <f>IF(ISERROR(LOOKUP(KI$1,$S21:$HK21,csv!$L21:$HD21)),NA(),LOOKUP(KI$1,$S21:$HK21,csv!$L21:$HD21))</f>
        <v>0</v>
      </c>
      <c r="KJ21" s="5">
        <f>IF(ISERROR(LOOKUP(KJ$1,$S21:$HK21,csv!$L21:$HD21)),NA(),LOOKUP(KJ$1,$S21:$HK21,csv!$L21:$HD21))</f>
        <v>0</v>
      </c>
      <c r="KK21" s="5">
        <f>IF(ISERROR(LOOKUP(KK$1,$S21:$HK21,csv!$L21:$HD21)),NA(),LOOKUP(KK$1,$S21:$HK21,csv!$L21:$HD21))</f>
        <v>0</v>
      </c>
      <c r="KL21" s="5">
        <f>IF(ISERROR(LOOKUP(KL$1,$S21:$HK21,csv!$L21:$HD21)),NA(),LOOKUP(KL$1,$S21:$HK21,csv!$L21:$HD21))</f>
        <v>0</v>
      </c>
      <c r="KM21" s="5">
        <f>IF(ISERROR(LOOKUP(KM$1,$S21:$HK21,csv!$L21:$HD21)),NA(),LOOKUP(KM$1,$S21:$HK21,csv!$L21:$HD21))</f>
        <v>0</v>
      </c>
      <c r="KN21" s="5">
        <f>IF(ISERROR(LOOKUP(KN$1,$S21:$HK21,csv!$L21:$HD21)),NA(),LOOKUP(KN$1,$S21:$HK21,csv!$L21:$HD21))</f>
        <v>0</v>
      </c>
      <c r="KO21" s="5">
        <f>IF(ISERROR(LOOKUP(KO$1,$S21:$HK21,csv!$L21:$HD21)),NA(),LOOKUP(KO$1,$S21:$HK21,csv!$L21:$HD21))</f>
        <v>0</v>
      </c>
      <c r="KP21" s="5">
        <f>IF(ISERROR(LOOKUP(KP$1,$S21:$HK21,csv!$L21:$HD21)),NA(),LOOKUP(KP$1,$S21:$HK21,csv!$L21:$HD21))</f>
        <v>0</v>
      </c>
      <c r="KQ21" s="5">
        <f>IF(ISERROR(LOOKUP(KQ$1,$S21:$HK21,csv!$L21:$HD21)),NA(),LOOKUP(KQ$1,$S21:$HK21,csv!$L21:$HD21))</f>
        <v>0</v>
      </c>
      <c r="KR21" s="5">
        <f>IF(ISERROR(LOOKUP(KR$1,$S21:$HK21,csv!$L21:$HD21)),NA(),LOOKUP(KR$1,$S21:$HK21,csv!$L21:$HD21))</f>
        <v>0</v>
      </c>
      <c r="KS21" s="5">
        <f>IF(ISERROR(LOOKUP(KS$1,$S21:$HK21,csv!$L21:$HD21)),NA(),LOOKUP(KS$1,$S21:$HK21,csv!$L21:$HD21))</f>
        <v>0</v>
      </c>
      <c r="KT21" s="5">
        <f>IF(ISERROR(LOOKUP(KT$1,$S21:$HK21,csv!$L21:$HD21)),NA(),LOOKUP(KT$1,$S21:$HK21,csv!$L21:$HD21))</f>
        <v>0</v>
      </c>
      <c r="KU21" s="5">
        <f>IF(ISERROR(LOOKUP(KU$1,$S21:$HK21,csv!$L21:$HD21)),NA(),LOOKUP(KU$1,$S21:$HK21,csv!$L21:$HD21))</f>
        <v>0</v>
      </c>
      <c r="KV21" s="5">
        <f>IF(ISERROR(LOOKUP(KV$1,$S21:$HK21,csv!$L21:$HD21)),NA(),LOOKUP(KV$1,$S21:$HK21,csv!$L21:$HD21))</f>
        <v>0</v>
      </c>
      <c r="KW21" s="5">
        <f>IF(ISERROR(LOOKUP(KW$1,$S21:$HK21,csv!$L21:$HD21)),NA(),LOOKUP(KW$1,$S21:$HK21,csv!$L21:$HD21))</f>
        <v>0</v>
      </c>
      <c r="KX21" s="5">
        <f>IF(ISERROR(LOOKUP(KX$1,$S21:$HK21,csv!$L21:$HD21)),NA(),LOOKUP(KX$1,$S21:$HK21,csv!$L21:$HD21))</f>
        <v>0</v>
      </c>
      <c r="KY21" s="5">
        <f>IF(ISERROR(LOOKUP(KY$1,$S21:$HK21,csv!$L21:$HD21)),NA(),LOOKUP(KY$1,$S21:$HK21,csv!$L21:$HD21))</f>
        <v>0</v>
      </c>
      <c r="KZ21" s="5">
        <f>IF(ISERROR(LOOKUP(KZ$1,$S21:$HK21,csv!$L21:$HD21)),NA(),LOOKUP(KZ$1,$S21:$HK21,csv!$L21:$HD21))</f>
        <v>0</v>
      </c>
      <c r="LA21" s="5">
        <f>IF(ISERROR(LOOKUP(LA$1,$S21:$HK21,csv!$L21:$HD21)),NA(),LOOKUP(LA$1,$S21:$HK21,csv!$L21:$HD21))</f>
        <v>0</v>
      </c>
      <c r="LB21" s="5">
        <f>IF(ISERROR(LOOKUP(LB$1,$S21:$HK21,csv!$L21:$HD21)),NA(),LOOKUP(LB$1,$S21:$HK21,csv!$L21:$HD21))</f>
        <v>0</v>
      </c>
      <c r="LC21" s="5">
        <f>IF(ISERROR(LOOKUP(LC$1,$S21:$HK21,csv!$L21:$HD21)),NA(),LOOKUP(LC$1,$S21:$HK21,csv!$L21:$HD21))</f>
        <v>0</v>
      </c>
      <c r="LD21" s="5">
        <f>IF(ISERROR(LOOKUP(LD$1,$S21:$HK21,csv!$L21:$HD21)),NA(),LOOKUP(LD$1,$S21:$HK21,csv!$L21:$HD21))</f>
        <v>0</v>
      </c>
      <c r="LE21" s="5">
        <f>IF(ISERROR(LOOKUP(LE$1,$S21:$HK21,csv!$L21:$HD21)),NA(),LOOKUP(LE$1,$S21:$HK21,csv!$L21:$HD21))</f>
        <v>0</v>
      </c>
      <c r="LF21" s="5">
        <f>IF(ISERROR(LOOKUP(LF$1,$S21:$HK21,csv!$L21:$HD21)),NA(),LOOKUP(LF$1,$S21:$HK21,csv!$L21:$HD21))</f>
        <v>0</v>
      </c>
      <c r="LG21" s="5">
        <f>IF(ISERROR(LOOKUP(LG$1,$S21:$HK21,csv!$L21:$HD21)),NA(),LOOKUP(LG$1,$S21:$HK21,csv!$L21:$HD21))</f>
        <v>0</v>
      </c>
      <c r="LH21" s="5">
        <f>IF(ISERROR(LOOKUP(LH$1,$S21:$HK21,csv!$L21:$HD21)),NA(),LOOKUP(LH$1,$S21:$HK21,csv!$L21:$HD21))</f>
        <v>0</v>
      </c>
      <c r="LI21" s="5">
        <f>IF(ISERROR(LOOKUP(LI$1,$S21:$HK21,csv!$L21:$HD21)),NA(),LOOKUP(LI$1,$S21:$HK21,csv!$L21:$HD21))</f>
        <v>0</v>
      </c>
      <c r="LJ21" s="5">
        <f>IF(ISERROR(LOOKUP(LJ$1,$S21:$HK21,csv!$L21:$HD21)),NA(),LOOKUP(LJ$1,$S21:$HK21,csv!$L21:$HD21))</f>
        <v>0</v>
      </c>
      <c r="LK21" s="5">
        <f>IF(ISERROR(LOOKUP(LK$1,$S21:$HK21,csv!$L21:$HD21)),NA(),LOOKUP(LK$1,$S21:$HK21,csv!$L21:$HD21))</f>
        <v>0</v>
      </c>
      <c r="LL21" s="5">
        <f>IF(ISERROR(LOOKUP(LL$1,$S21:$HK21,csv!$L21:$HD21)),NA(),LOOKUP(LL$1,$S21:$HK21,csv!$L21:$HD21))</f>
        <v>0</v>
      </c>
      <c r="LM21" s="5">
        <f>IF(ISERROR(LOOKUP(LM$1,$S21:$HK21,csv!$L21:$HD21)),NA(),LOOKUP(LM$1,$S21:$HK21,csv!$L21:$HD21))</f>
        <v>0</v>
      </c>
      <c r="LN21" s="5">
        <f>IF(ISERROR(LOOKUP(LN$1,$S21:$HK21,csv!$L21:$HD21)),NA(),LOOKUP(LN$1,$S21:$HK21,csv!$L21:$HD21))</f>
        <v>0</v>
      </c>
      <c r="LO21" s="5">
        <f>IF(ISERROR(LOOKUP(LO$1,$S21:$HK21,csv!$L21:$HD21)),NA(),LOOKUP(LO$1,$S21:$HK21,csv!$L21:$HD21))</f>
        <v>0</v>
      </c>
      <c r="LP21" s="5">
        <f>IF(ISERROR(LOOKUP(LP$1,$S21:$HK21,csv!$L21:$HD21)),NA(),LOOKUP(LP$1,$S21:$HK21,csv!$L21:$HD21))</f>
        <v>0</v>
      </c>
      <c r="LQ21" s="5">
        <f>IF(ISERROR(LOOKUP(LQ$1,$S21:$HK21,csv!$L21:$HD21)),NA(),LOOKUP(LQ$1,$S21:$HK21,csv!$L21:$HD21))</f>
        <v>0</v>
      </c>
      <c r="LR21" s="5">
        <f>IF(ISERROR(LOOKUP(LR$1,$S21:$HK21,csv!$L21:$HD21)),NA(),LOOKUP(LR$1,$S21:$HK21,csv!$L21:$HD21))</f>
        <v>0</v>
      </c>
      <c r="LS21" s="5">
        <f>IF(ISERROR(LOOKUP(LS$1,$S21:$HK21,csv!$L21:$HD21)),NA(),LOOKUP(LS$1,$S21:$HK21,csv!$L21:$HD21))</f>
        <v>0</v>
      </c>
      <c r="LT21" s="5">
        <f>IF(ISERROR(LOOKUP(LT$1,$S21:$HK21,csv!$L21:$HD21)),NA(),LOOKUP(LT$1,$S21:$HK21,csv!$L21:$HD21))</f>
        <v>0</v>
      </c>
      <c r="LU21" s="5">
        <f>IF(ISERROR(LOOKUP(LU$1,$S21:$HK21,csv!$L21:$HD21)),NA(),LOOKUP(LU$1,$S21:$HK21,csv!$L21:$HD21))</f>
        <v>0</v>
      </c>
      <c r="LV21" s="5">
        <f>IF(ISERROR(LOOKUP(LV$1,$S21:$HK21,csv!$L21:$HD21)),NA(),LOOKUP(LV$1,$S21:$HK21,csv!$L21:$HD21))</f>
        <v>0</v>
      </c>
      <c r="LW21" s="5">
        <f>IF(ISERROR(LOOKUP(LW$1,$S21:$HK21,csv!$L21:$HD21)),NA(),LOOKUP(LW$1,$S21:$HK21,csv!$L21:$HD21))</f>
        <v>0</v>
      </c>
      <c r="LX21" s="5">
        <f>IF(ISERROR(LOOKUP(LX$1,$S21:$HK21,csv!$L21:$HD21)),NA(),LOOKUP(LX$1,$S21:$HK21,csv!$L21:$HD21))</f>
        <v>0</v>
      </c>
      <c r="LY21" s="5">
        <f>IF(ISERROR(LOOKUP(LY$1,$S21:$HK21,csv!$L21:$HD21)),NA(),LOOKUP(LY$1,$S21:$HK21,csv!$L21:$HD21))</f>
        <v>0</v>
      </c>
      <c r="LZ21" s="5">
        <f>IF(ISERROR(LOOKUP(LZ$1,$S21:$HK21,csv!$L21:$HD21)),NA(),LOOKUP(LZ$1,$S21:$HK21,csv!$L21:$HD21))</f>
        <v>0</v>
      </c>
      <c r="MA21" s="5">
        <f>IF(ISERROR(LOOKUP(MA$1,$S21:$HK21,csv!$L21:$HD21)),NA(),LOOKUP(MA$1,$S21:$HK21,csv!$L21:$HD21))</f>
        <v>0</v>
      </c>
      <c r="MB21" s="5">
        <f>IF(ISERROR(LOOKUP(MB$1,$S21:$HK21,csv!$L21:$HD21)),NA(),LOOKUP(MB$1,$S21:$HK21,csv!$L21:$HD21))</f>
        <v>0</v>
      </c>
      <c r="MC21" s="5">
        <f>IF(ISERROR(LOOKUP(MC$1,$S21:$HK21,csv!$L21:$HD21)),NA(),LOOKUP(MC$1,$S21:$HK21,csv!$L21:$HD21))</f>
        <v>0</v>
      </c>
      <c r="MD21" s="5">
        <f>IF(ISERROR(LOOKUP(MD$1,$S21:$HK21,csv!$L21:$HD21)),NA(),LOOKUP(MD$1,$S21:$HK21,csv!$L21:$HD21))</f>
        <v>0</v>
      </c>
      <c r="ME21" s="5">
        <f>IF(ISERROR(LOOKUP(ME$1,$S21:$HK21,csv!$L21:$HD21)),NA(),LOOKUP(ME$1,$S21:$HK21,csv!$L21:$HD21))</f>
        <v>0</v>
      </c>
      <c r="MF21" s="5">
        <f>IF(ISERROR(LOOKUP(MF$1,$S21:$HK21,csv!$L21:$HD21)),NA(),LOOKUP(MF$1,$S21:$HK21,csv!$L21:$HD21))</f>
        <v>0</v>
      </c>
      <c r="MG21" s="5">
        <f>IF(ISERROR(LOOKUP(MG$1,$S21:$HK21,csv!$L21:$HD21)),NA(),LOOKUP(MG$1,$S21:$HK21,csv!$L21:$HD21))</f>
        <v>0</v>
      </c>
      <c r="MH21" s="5">
        <f>IF(ISERROR(LOOKUP(MH$1,$S21:$HK21,csv!$L21:$HD21)),NA(),LOOKUP(MH$1,$S21:$HK21,csv!$L21:$HD21))</f>
        <v>0</v>
      </c>
      <c r="MI21" s="5">
        <f>IF(ISERROR(LOOKUP(MI$1,$S21:$HK21,csv!$L21:$HD21)),NA(),LOOKUP(MI$1,$S21:$HK21,csv!$L21:$HD21))</f>
        <v>0</v>
      </c>
      <c r="MJ21" s="5">
        <f>IF(ISERROR(LOOKUP(MJ$1,$S21:$HK21,csv!$L21:$HD21)),NA(),LOOKUP(MJ$1,$S21:$HK21,csv!$L21:$HD21))</f>
        <v>0</v>
      </c>
      <c r="MK21" s="5">
        <f>IF(ISERROR(LOOKUP(MK$1,$S21:$HK21,csv!$L21:$HD21)),NA(),LOOKUP(MK$1,$S21:$HK21,csv!$L21:$HD21))</f>
        <v>0</v>
      </c>
      <c r="ML21" s="5">
        <f>IF(ISERROR(LOOKUP(ML$1,$S21:$HK21,csv!$L21:$HD21)),NA(),LOOKUP(ML$1,$S21:$HK21,csv!$L21:$HD21))</f>
        <v>0</v>
      </c>
      <c r="MM21" s="5">
        <f>IF(ISERROR(LOOKUP(MM$1,$S21:$HK21,csv!$L21:$HD21)),NA(),LOOKUP(MM$1,$S21:$HK21,csv!$L21:$HD21))</f>
        <v>0</v>
      </c>
      <c r="MN21" s="5">
        <f>IF(ISERROR(LOOKUP(MN$1,$S21:$HK21,csv!$L21:$HD21)),NA(),LOOKUP(MN$1,$S21:$HK21,csv!$L21:$HD21))</f>
        <v>0</v>
      </c>
      <c r="MO21" s="5">
        <f>IF(ISERROR(LOOKUP(MO$1,$S21:$HK21,csv!$L21:$HD21)),NA(),LOOKUP(MO$1,$S21:$HK21,csv!$L21:$HD21))</f>
        <v>0</v>
      </c>
      <c r="MP21" s="5">
        <f>IF(ISERROR(LOOKUP(MP$1,$S21:$HK21,csv!$L21:$HD21)),NA(),LOOKUP(MP$1,$S21:$HK21,csv!$L21:$HD21))</f>
        <v>0</v>
      </c>
      <c r="MQ21" s="5">
        <f>IF(ISERROR(LOOKUP(MQ$1,$S21:$HK21,csv!$L21:$HD21)),NA(),LOOKUP(MQ$1,$S21:$HK21,csv!$L21:$HD21))</f>
        <v>0</v>
      </c>
      <c r="MR21" s="5">
        <f>IF(ISERROR(LOOKUP(MR$1,$S21:$HK21,csv!$L21:$HD21)),NA(),LOOKUP(MR$1,$S21:$HK21,csv!$L21:$HD21))</f>
        <v>0</v>
      </c>
      <c r="MS21" s="5">
        <f>IF(ISERROR(LOOKUP(MS$1,$S21:$HK21,csv!$L21:$HD21)),NA(),LOOKUP(MS$1,$S21:$HK21,csv!$L21:$HD21))</f>
        <v>0</v>
      </c>
      <c r="MT21" s="5">
        <f>IF(ISERROR(LOOKUP(MT$1,$S21:$HK21,csv!$L21:$HD21)),NA(),LOOKUP(MT$1,$S21:$HK21,csv!$L21:$HD21))</f>
        <v>0</v>
      </c>
      <c r="MU21" s="5">
        <f>IF(ISERROR(LOOKUP(MU$1,$S21:$HK21,csv!$L21:$HD21)),NA(),LOOKUP(MU$1,$S21:$HK21,csv!$L21:$HD21))</f>
        <v>0</v>
      </c>
      <c r="MV21" s="5">
        <f>IF(ISERROR(LOOKUP(MV$1,$S21:$HK21,csv!$L21:$HD21)),NA(),LOOKUP(MV$1,$S21:$HK21,csv!$L21:$HD21))</f>
        <v>0</v>
      </c>
      <c r="MW21" s="5">
        <f>IF(ISERROR(LOOKUP(MW$1,$S21:$HK21,csv!$L21:$HD21)),NA(),LOOKUP(MW$1,$S21:$HK21,csv!$L21:$HD21))</f>
        <v>0</v>
      </c>
      <c r="MX21" s="5">
        <f>IF(ISERROR(LOOKUP(MX$1,$S21:$HK21,csv!$L21:$HD21)),NA(),LOOKUP(MX$1,$S21:$HK21,csv!$L21:$HD21))</f>
        <v>0</v>
      </c>
      <c r="MY21" s="5">
        <f>IF(ISERROR(LOOKUP(MY$1,$S21:$HK21,csv!$L21:$HD21)),NA(),LOOKUP(MY$1,$S21:$HK21,csv!$L21:$HD21))</f>
        <v>0</v>
      </c>
      <c r="MZ21" s="5">
        <f>IF(ISERROR(LOOKUP(MZ$1,$S21:$HK21,csv!$L21:$HD21)),NA(),LOOKUP(MZ$1,$S21:$HK21,csv!$L21:$HD21))</f>
        <v>0</v>
      </c>
      <c r="NA21" s="5">
        <f>IF(ISERROR(LOOKUP(NA$1,$S21:$HK21,csv!$L21:$HD21)),NA(),LOOKUP(NA$1,$S21:$HK21,csv!$L21:$HD21))</f>
        <v>0</v>
      </c>
      <c r="NB21" s="5">
        <f>IF(ISERROR(LOOKUP(NB$1,$S21:$HK21,csv!$L21:$HD21)),NA(),LOOKUP(NB$1,$S21:$HK21,csv!$L21:$HD21))</f>
        <v>0</v>
      </c>
      <c r="NC21" s="5">
        <f>IF(ISERROR(LOOKUP(NC$1,$S21:$HK21,csv!$L21:$HD21)),NA(),LOOKUP(NC$1,$S21:$HK21,csv!$L21:$HD21))</f>
        <v>0</v>
      </c>
      <c r="ND21" s="5">
        <f>IF(ISERROR(LOOKUP(ND$1,$S21:$HK21,csv!$L21:$HD21)),NA(),LOOKUP(ND$1,$S21:$HK21,csv!$L21:$HD21))</f>
        <v>0</v>
      </c>
      <c r="NE21" s="5">
        <f>IF(ISERROR(LOOKUP(NE$1,$S21:$HK21,csv!$L21:$HD21)),NA(),LOOKUP(NE$1,$S21:$HK21,csv!$L21:$HD21))</f>
        <v>0</v>
      </c>
      <c r="NF21" s="5">
        <f>IF(ISERROR(LOOKUP(NF$1,$S21:$HK21,csv!$L21:$HD21)),NA(),LOOKUP(NF$1,$S21:$HK21,csv!$L21:$HD21))</f>
        <v>0</v>
      </c>
      <c r="NG21" s="5">
        <f>IF(ISERROR(LOOKUP(NG$1,$S21:$HK21,csv!$L21:$HD21)),NA(),LOOKUP(NG$1,$S21:$HK21,csv!$L21:$HD21))</f>
        <v>0</v>
      </c>
      <c r="NH21" s="5">
        <f>IF(ISERROR(LOOKUP(NH$1,$S21:$HK21,csv!$L21:$HD21)),NA(),LOOKUP(NH$1,$S21:$HK21,csv!$L21:$HD21))</f>
        <v>0</v>
      </c>
      <c r="NI21" s="5">
        <f>IF(ISERROR(LOOKUP(NI$1,$S21:$HK21,csv!$L21:$HD21)),NA(),LOOKUP(NI$1,$S21:$HK21,csv!$L21:$HD21))</f>
        <v>0</v>
      </c>
      <c r="NJ21" s="5">
        <f>IF(ISERROR(LOOKUP(NJ$1,$S21:$HK21,csv!$L21:$HD21)),NA(),LOOKUP(NJ$1,$S21:$HK21,csv!$L21:$HD21))</f>
        <v>0</v>
      </c>
      <c r="NK21" s="5">
        <f>IF(ISERROR(LOOKUP(NK$1,$S21:$HK21,csv!$L21:$HD21)),NA(),LOOKUP(NK$1,$S21:$HK21,csv!$L21:$HD21))</f>
        <v>0</v>
      </c>
      <c r="NL21" s="5">
        <f>IF(ISERROR(LOOKUP(NL$1,$S21:$HK21,csv!$L21:$HD21)),NA(),LOOKUP(NL$1,$S21:$HK21,csv!$L21:$HD21))</f>
        <v>0</v>
      </c>
      <c r="NM21" s="5">
        <f>IF(ISERROR(LOOKUP(NM$1,$S21:$HK21,csv!$L21:$HD21)),NA(),LOOKUP(NM$1,$S21:$HK21,csv!$L21:$HD21))</f>
        <v>0</v>
      </c>
      <c r="NN21" s="5">
        <f>IF(ISERROR(LOOKUP(NN$1,$S21:$HK21,csv!$L21:$HD21)),NA(),LOOKUP(NN$1,$S21:$HK21,csv!$L21:$HD21))</f>
        <v>0</v>
      </c>
      <c r="NO21" s="5">
        <f>IF(ISERROR(LOOKUP(NO$1,$S21:$HK21,csv!$L21:$HD21)),NA(),LOOKUP(NO$1,$S21:$HK21,csv!$L21:$HD21))</f>
        <v>0</v>
      </c>
      <c r="NP21" s="5">
        <f>IF(ISERROR(LOOKUP(NP$1,$S21:$HK21,csv!$L21:$HD21)),NA(),LOOKUP(NP$1,$S21:$HK21,csv!$L21:$HD21))</f>
        <v>0</v>
      </c>
      <c r="NQ21" s="5">
        <f>IF(ISERROR(LOOKUP(NQ$1,$S21:$HK21,csv!$L21:$HD21)),NA(),LOOKUP(NQ$1,$S21:$HK21,csv!$L21:$HD21))</f>
        <v>0</v>
      </c>
      <c r="NR21" s="5">
        <f>IF(ISERROR(LOOKUP(NR$1,$S21:$HK21,csv!$L21:$HD21)),NA(),LOOKUP(NR$1,$S21:$HK21,csv!$L21:$HD21))</f>
        <v>0</v>
      </c>
      <c r="NS21" s="5">
        <f>IF(ISERROR(LOOKUP(NS$1,$S21:$HK21,csv!$L21:$HD21)),NA(),LOOKUP(NS$1,$S21:$HK21,csv!$L21:$HD21))</f>
        <v>0</v>
      </c>
      <c r="NT21" s="5">
        <f>IF(ISERROR(LOOKUP(NT$1,$S21:$HK21,csv!$L21:$HD21)),NA(),LOOKUP(NT$1,$S21:$HK21,csv!$L21:$HD21))</f>
        <v>0</v>
      </c>
      <c r="NU21" s="5">
        <f>IF(ISERROR(LOOKUP(NU$1,$S21:$HK21,csv!$L21:$HD21)),NA(),LOOKUP(NU$1,$S21:$HK21,csv!$L21:$HD21))</f>
        <v>0</v>
      </c>
      <c r="NV21" s="5">
        <f>IF(ISERROR(LOOKUP(NV$1,$S21:$HK21,csv!$L21:$HD21)),NA(),LOOKUP(NV$1,$S21:$HK21,csv!$L21:$HD21))</f>
        <v>0</v>
      </c>
      <c r="NW21" s="5">
        <f>IF(ISERROR(LOOKUP(NW$1,$S21:$HK21,csv!$L21:$HD21)),NA(),LOOKUP(NW$1,$S21:$HK21,csv!$L21:$HD21))</f>
        <v>0</v>
      </c>
      <c r="NX21" s="5">
        <f>IF(ISERROR(LOOKUP(NX$1,$S21:$HK21,csv!$L21:$HD21)),NA(),LOOKUP(NX$1,$S21:$HK21,csv!$L21:$HD21))</f>
        <v>0</v>
      </c>
      <c r="NY21" s="5">
        <f>IF(ISERROR(LOOKUP(NY$1,$S21:$HK21,csv!$L21:$HD21)),NA(),LOOKUP(NY$1,$S21:$HK21,csv!$L21:$HD21))</f>
        <v>0</v>
      </c>
      <c r="NZ21" s="5">
        <f>IF(ISERROR(LOOKUP(NZ$1,$S21:$HK21,csv!$L21:$HD21)),NA(),LOOKUP(NZ$1,$S21:$HK21,csv!$L21:$HD21))</f>
        <v>0</v>
      </c>
      <c r="OA21" s="5">
        <f>IF(ISERROR(LOOKUP(OA$1,$S21:$HK21,csv!$L21:$HD21)),NA(),LOOKUP(OA$1,$S21:$HK21,csv!$L21:$HD21))</f>
        <v>0</v>
      </c>
      <c r="OB21" s="5">
        <f>IF(ISERROR(LOOKUP(OB$1,$S21:$HK21,csv!$L21:$HD21)),NA(),LOOKUP(OB$1,$S21:$HK21,csv!$L21:$HD21))</f>
        <v>0</v>
      </c>
      <c r="OC21" s="5">
        <f>IF(ISERROR(LOOKUP(OC$1,$S21:$HK21,csv!$L21:$HD21)),NA(),LOOKUP(OC$1,$S21:$HK21,csv!$L21:$HD21))</f>
        <v>0</v>
      </c>
      <c r="OD21" s="5">
        <f>IF(ISERROR(LOOKUP(OD$1,$S21:$HK21,csv!$L21:$HD21)),NA(),LOOKUP(OD$1,$S21:$HK21,csv!$L21:$HD21))</f>
        <v>0</v>
      </c>
      <c r="OE21" s="5">
        <f>IF(ISERROR(LOOKUP(OE$1,$S21:$HK21,csv!$L21:$HD21)),NA(),LOOKUP(OE$1,$S21:$HK21,csv!$L21:$HD21))</f>
        <v>0</v>
      </c>
      <c r="OF21" s="5">
        <f>IF(ISERROR(LOOKUP(OF$1,$S21:$HK21,csv!$L21:$HD21)),NA(),LOOKUP(OF$1,$S21:$HK21,csv!$L21:$HD21))</f>
        <v>0</v>
      </c>
      <c r="OG21" s="5">
        <f>IF(ISERROR(LOOKUP(OG$1,$S21:$HK21,csv!$L21:$HD21)),NA(),LOOKUP(OG$1,$S21:$HK21,csv!$L21:$HD21))</f>
        <v>0</v>
      </c>
      <c r="OH21" s="5">
        <f>IF(ISERROR(LOOKUP(OH$1,$S21:$HK21,csv!$L21:$HD21)),NA(),LOOKUP(OH$1,$S21:$HK21,csv!$L21:$HD21))</f>
        <v>0</v>
      </c>
      <c r="OI21" s="5">
        <f>IF(ISERROR(LOOKUP(OI$1,$S21:$HK21,csv!$L21:$HD21)),NA(),LOOKUP(OI$1,$S21:$HK21,csv!$L21:$HD21))</f>
        <v>0</v>
      </c>
      <c r="OJ21" s="5">
        <f>IF(ISERROR(LOOKUP(OJ$1,$S21:$HK21,csv!$L21:$HD21)),NA(),LOOKUP(OJ$1,$S21:$HK21,csv!$L21:$HD21))</f>
        <v>0</v>
      </c>
      <c r="OK21" s="5">
        <f>IF(ISERROR(LOOKUP(OK$1,$S21:$HK21,csv!$L21:$HD21)),NA(),LOOKUP(OK$1,$S21:$HK21,csv!$L21:$HD21))</f>
        <v>0</v>
      </c>
      <c r="OL21" s="5">
        <f>IF(ISERROR(LOOKUP(OL$1,$S21:$HK21,csv!$L21:$HD21)),NA(),LOOKUP(OL$1,$S21:$HK21,csv!$L21:$HD21))</f>
        <v>0</v>
      </c>
      <c r="OM21" s="5">
        <f>IF(ISERROR(LOOKUP(OM$1,$S21:$HK21,csv!$L21:$HD21)),NA(),LOOKUP(OM$1,$S21:$HK21,csv!$L21:$HD21))</f>
        <v>0</v>
      </c>
      <c r="ON21" s="5">
        <f>IF(ISERROR(LOOKUP(ON$1,$S21:$HK21,csv!$L21:$HD21)),NA(),LOOKUP(ON$1,$S21:$HK21,csv!$L21:$HD21))</f>
        <v>0</v>
      </c>
      <c r="OO21" s="5">
        <f>IF(ISERROR(LOOKUP(OO$1,$S21:$HK21,csv!$L21:$HD21)),NA(),LOOKUP(OO$1,$S21:$HK21,csv!$L21:$HD21))</f>
        <v>0</v>
      </c>
      <c r="OP21" s="5">
        <f>IF(ISERROR(LOOKUP(OP$1,$S21:$HK21,csv!$L21:$HD21)),NA(),LOOKUP(OP$1,$S21:$HK21,csv!$L21:$HD21))</f>
        <v>0</v>
      </c>
      <c r="OQ21" s="5">
        <f>IF(ISERROR(LOOKUP(OQ$1,$S21:$HK21,csv!$L21:$HD21)),NA(),LOOKUP(OQ$1,$S21:$HK21,csv!$L21:$HD21))</f>
        <v>0</v>
      </c>
      <c r="OR21" s="5">
        <f>IF(ISERROR(LOOKUP(OR$1,$S21:$HK21,csv!$L21:$HD21)),NA(),LOOKUP(OR$1,$S21:$HK21,csv!$L21:$HD21))</f>
        <v>0</v>
      </c>
      <c r="OS21" s="5">
        <f>IF(ISERROR(LOOKUP(OS$1,$S21:$HK21,csv!$L21:$HD21)),NA(),LOOKUP(OS$1,$S21:$HK21,csv!$L21:$HD21))</f>
        <v>0</v>
      </c>
      <c r="OT21" s="5">
        <f>IF(ISERROR(LOOKUP(OT$1,$S21:$HK21,csv!$L21:$HD21)),NA(),LOOKUP(OT$1,$S21:$HK21,csv!$L21:$HD21))</f>
        <v>0</v>
      </c>
      <c r="OU21" s="5">
        <f>IF(ISERROR(LOOKUP(OU$1,$S21:$HK21,csv!$L21:$HD21)),NA(),LOOKUP(OU$1,$S21:$HK21,csv!$L21:$HD21))</f>
        <v>0</v>
      </c>
      <c r="OV21" s="5">
        <f>IF(ISERROR(LOOKUP(OV$1,$S21:$HK21,csv!$L21:$HD21)),NA(),LOOKUP(OV$1,$S21:$HK21,csv!$L21:$HD21))</f>
        <v>0</v>
      </c>
      <c r="OW21" s="5">
        <f>IF(ISERROR(LOOKUP(OW$1,$S21:$HK21,csv!$L21:$HD21)),NA(),LOOKUP(OW$1,$S21:$HK21,csv!$L21:$HD21))</f>
        <v>0</v>
      </c>
      <c r="OX21" s="5">
        <f>IF(ISERROR(LOOKUP(OX$1,$S21:$HK21,csv!$L21:$HD21)),NA(),LOOKUP(OX$1,$S21:$HK21,csv!$L21:$HD21))</f>
        <v>0</v>
      </c>
      <c r="OY21" s="5">
        <f>IF(ISERROR(LOOKUP(OY$1,$S21:$HK21,csv!$L21:$HD21)),NA(),LOOKUP(OY$1,$S21:$HK21,csv!$L21:$HD21))</f>
        <v>0</v>
      </c>
      <c r="OZ21" s="5">
        <f>IF(ISERROR(LOOKUP(OZ$1,$S21:$HK21,csv!$L21:$HD21)),NA(),LOOKUP(OZ$1,$S21:$HK21,csv!$L21:$HD21))</f>
        <v>0</v>
      </c>
      <c r="PA21" s="5">
        <f>IF(ISERROR(LOOKUP(PA$1,$S21:$HK21,csv!$L21:$HD21)),NA(),LOOKUP(PA$1,$S21:$HK21,csv!$L21:$HD21))</f>
        <v>0</v>
      </c>
      <c r="PB21" s="5">
        <f>IF(ISERROR(LOOKUP(PB$1,$S21:$HK21,csv!$L21:$HD21)),NA(),LOOKUP(PB$1,$S21:$HK21,csv!$L21:$HD21))</f>
        <v>0</v>
      </c>
      <c r="PC21" s="5">
        <f>IF(ISERROR(LOOKUP(PC$1,$S21:$HK21,csv!$L21:$HD21)),NA(),LOOKUP(PC$1,$S21:$HK21,csv!$L21:$HD21))</f>
        <v>0</v>
      </c>
      <c r="PD21" s="5">
        <f>IF(ISERROR(LOOKUP(PD$1,$S21:$HK21,csv!$L21:$HD21)),NA(),LOOKUP(PD$1,$S21:$HK21,csv!$L21:$HD21))</f>
        <v>0</v>
      </c>
      <c r="PE21" s="5">
        <f>IF(ISERROR(LOOKUP(PE$1,$S21:$HK21,csv!$L21:$HD21)),NA(),LOOKUP(PE$1,$S21:$HK21,csv!$L21:$HD21))</f>
        <v>0</v>
      </c>
      <c r="PF21" s="5">
        <f>IF(ISERROR(LOOKUP(PF$1,$S21:$HK21,csv!$L21:$HD21)),NA(),LOOKUP(PF$1,$S21:$HK21,csv!$L21:$HD21))</f>
        <v>0</v>
      </c>
      <c r="PG21" s="5">
        <f>IF(ISERROR(LOOKUP(PG$1,$S21:$HK21,csv!$L21:$HD21)),NA(),LOOKUP(PG$1,$S21:$HK21,csv!$L21:$HD21))</f>
        <v>0</v>
      </c>
      <c r="PH21" s="5">
        <f>IF(ISERROR(LOOKUP(PH$1,$S21:$HK21,csv!$L21:$HD21)),NA(),LOOKUP(PH$1,$S21:$HK21,csv!$L21:$HD21))</f>
        <v>0</v>
      </c>
      <c r="PI21" s="5">
        <f>IF(ISERROR(LOOKUP(PI$1,$S21:$HK21,csv!$L21:$HD21)),NA(),LOOKUP(PI$1,$S21:$HK21,csv!$L21:$HD21))</f>
        <v>0</v>
      </c>
      <c r="PJ21" s="5">
        <f>IF(ISERROR(LOOKUP(PJ$1,$S21:$HK21,csv!$L21:$HD21)),NA(),LOOKUP(PJ$1,$S21:$HK21,csv!$L21:$HD21))</f>
        <v>0</v>
      </c>
      <c r="PK21" s="5">
        <f>IF(ISERROR(LOOKUP(PK$1,$S21:$HK21,csv!$L21:$HD21)),NA(),LOOKUP(PK$1,$S21:$HK21,csv!$L21:$HD21))</f>
        <v>0</v>
      </c>
      <c r="PL21" s="5">
        <f>IF(ISERROR(LOOKUP(PL$1,$S21:$HK21,csv!$L21:$HD21)),NA(),LOOKUP(PL$1,$S21:$HK21,csv!$L21:$HD21))</f>
        <v>0</v>
      </c>
      <c r="PM21" s="5">
        <f>IF(ISERROR(LOOKUP(PM$1,$S21:$HK21,csv!$L21:$HD21)),NA(),LOOKUP(PM$1,$S21:$HK21,csv!$L21:$HD21))</f>
        <v>0</v>
      </c>
      <c r="PN21" s="5">
        <f>IF(ISERROR(LOOKUP(PN$1,$S21:$HK21,csv!$L21:$HD21)),NA(),LOOKUP(PN$1,$S21:$HK21,csv!$L21:$HD21))</f>
        <v>0</v>
      </c>
      <c r="PO21" s="5">
        <f>IF(ISERROR(LOOKUP(PO$1,$S21:$HK21,csv!$L21:$HD21)),NA(),LOOKUP(PO$1,$S21:$HK21,csv!$L21:$HD21))</f>
        <v>0</v>
      </c>
      <c r="PP21" s="5">
        <f>IF(ISERROR(LOOKUP(PP$1,$S21:$HK21,csv!$L21:$HD21)),NA(),LOOKUP(PP$1,$S21:$HK21,csv!$L21:$HD21))</f>
        <v>0</v>
      </c>
      <c r="PQ21" s="5">
        <f>IF(ISERROR(LOOKUP(PQ$1,$S21:$HK21,csv!$L21:$HD21)),NA(),LOOKUP(PQ$1,$S21:$HK21,csv!$L21:$HD21))</f>
        <v>0</v>
      </c>
      <c r="PR21" s="5">
        <f>IF(ISERROR(LOOKUP(PR$1,$S21:$HK21,csv!$L21:$HD21)),NA(),LOOKUP(PR$1,$S21:$HK21,csv!$L21:$HD21))</f>
        <v>0</v>
      </c>
      <c r="PS21" s="5">
        <f>IF(ISERROR(LOOKUP(PS$1,$S21:$HK21,csv!$L21:$HD21)),NA(),LOOKUP(PS$1,$S21:$HK21,csv!$L21:$HD21))</f>
        <v>0</v>
      </c>
      <c r="PT21" s="5">
        <f>IF(ISERROR(LOOKUP(PT$1,$S21:$HK21,csv!$L21:$HD21)),NA(),LOOKUP(PT$1,$S21:$HK21,csv!$L21:$HD21))</f>
        <v>0</v>
      </c>
      <c r="PU21" s="5">
        <f>IF(ISERROR(LOOKUP(PU$1,$S21:$HK21,csv!$L21:$HD21)),NA(),LOOKUP(PU$1,$S21:$HK21,csv!$L21:$HD21))</f>
        <v>0</v>
      </c>
      <c r="PV21" s="5">
        <f>IF(ISERROR(LOOKUP(PV$1,$S21:$HK21,csv!$L21:$HD21)),NA(),LOOKUP(PV$1,$S21:$HK21,csv!$L21:$HD21))</f>
        <v>0</v>
      </c>
      <c r="PW21" s="5">
        <f>IF(ISERROR(LOOKUP(PW$1,$S21:$HK21,csv!$L21:$HD21)),NA(),LOOKUP(PW$1,$S21:$HK21,csv!$L21:$HD21))</f>
        <v>0</v>
      </c>
      <c r="PX21" s="5">
        <f>IF(ISERROR(LOOKUP(PX$1,$S21:$HK21,csv!$L21:$HD21)),NA(),LOOKUP(PX$1,$S21:$HK21,csv!$L21:$HD21))</f>
        <v>0</v>
      </c>
      <c r="PY21" s="5">
        <f>IF(ISERROR(LOOKUP(PY$1,$S21:$HK21,csv!$L21:$HD21)),NA(),LOOKUP(PY$1,$S21:$HK21,csv!$L21:$HD21))</f>
        <v>0</v>
      </c>
      <c r="PZ21" s="5">
        <f>IF(ISERROR(LOOKUP(PZ$1,$S21:$HK21,csv!$L21:$HD21)),NA(),LOOKUP(PZ$1,$S21:$HK21,csv!$L21:$HD21))</f>
        <v>0</v>
      </c>
      <c r="QA21" s="5">
        <f>IF(ISERROR(LOOKUP(QA$1,$S21:$HK21,csv!$L21:$HD21)),NA(),LOOKUP(QA$1,$S21:$HK21,csv!$L21:$HD21))</f>
        <v>0</v>
      </c>
      <c r="QB21" s="5">
        <f>IF(ISERROR(LOOKUP(QB$1,$S21:$HK21,csv!$L21:$HD21)),NA(),LOOKUP(QB$1,$S21:$HK21,csv!$L21:$HD21))</f>
        <v>0</v>
      </c>
      <c r="QC21" s="5">
        <f>IF(ISERROR(LOOKUP(QC$1,$S21:$HK21,csv!$L21:$HD21)),NA(),LOOKUP(QC$1,$S21:$HK21,csv!$L21:$HD21))</f>
        <v>0</v>
      </c>
      <c r="QD21" s="5">
        <f>IF(ISERROR(LOOKUP(QD$1,$S21:$HK21,csv!$L21:$HD21)),NA(),LOOKUP(QD$1,$S21:$HK21,csv!$L21:$HD21))</f>
        <v>0</v>
      </c>
      <c r="QE21" s="5">
        <f>IF(ISERROR(LOOKUP(QE$1,$S21:$HK21,csv!$L21:$HD21)),NA(),LOOKUP(QE$1,$S21:$HK21,csv!$L21:$HD21))</f>
        <v>0</v>
      </c>
      <c r="QF21" s="5">
        <f>IF(ISERROR(LOOKUP(QF$1,$S21:$HK21,csv!$L21:$HD21)),NA(),LOOKUP(QF$1,$S21:$HK21,csv!$L21:$HD21))</f>
        <v>0</v>
      </c>
      <c r="QG21" s="5">
        <f>IF(ISERROR(LOOKUP(QG$1,$S21:$HK21,csv!$L21:$HD21)),NA(),LOOKUP(QG$1,$S21:$HK21,csv!$L21:$HD21))</f>
        <v>0</v>
      </c>
      <c r="QH21" s="5">
        <f>IF(ISERROR(LOOKUP(QH$1,$S21:$HK21,csv!$L21:$HD21)),NA(),LOOKUP(QH$1,$S21:$HK21,csv!$L21:$HD21))</f>
        <v>0</v>
      </c>
      <c r="QI21" s="5">
        <f>IF(ISERROR(LOOKUP(QI$1,$S21:$HK21,csv!$L21:$HD21)),NA(),LOOKUP(QI$1,$S21:$HK21,csv!$L21:$HD21))</f>
        <v>0</v>
      </c>
      <c r="QJ21" s="5">
        <f>IF(ISERROR(LOOKUP(QJ$1,$S21:$HK21,csv!$L21:$HD21)),NA(),LOOKUP(QJ$1,$S21:$HK21,csv!$L21:$HD21))</f>
        <v>0</v>
      </c>
      <c r="QK21" s="5">
        <f>IF(ISERROR(LOOKUP(QK$1,$S21:$HK21,csv!$L21:$HD21)),NA(),LOOKUP(QK$1,$S21:$HK21,csv!$L21:$HD21))</f>
        <v>0</v>
      </c>
      <c r="QL21" s="5">
        <f>IF(ISERROR(LOOKUP(QL$1,$S21:$HK21,csv!$L21:$HD21)),NA(),LOOKUP(QL$1,$S21:$HK21,csv!$L21:$HD21))</f>
        <v>0</v>
      </c>
      <c r="QM21" s="5">
        <f>IF(ISERROR(LOOKUP(QM$1,$S21:$HK21,csv!$L21:$HD21)),NA(),LOOKUP(QM$1,$S21:$HK21,csv!$L21:$HD21))</f>
        <v>0</v>
      </c>
      <c r="QN21" s="5">
        <f>IF(ISERROR(LOOKUP(QN$1,$S21:$HK21,csv!$L21:$HD21)),NA(),LOOKUP(QN$1,$S21:$HK21,csv!$L21:$HD21))</f>
        <v>0</v>
      </c>
      <c r="QO21" s="5">
        <f>IF(ISERROR(LOOKUP(QO$1,$S21:$HK21,csv!$L21:$HD21)),NA(),LOOKUP(QO$1,$S21:$HK21,csv!$L21:$HD21))</f>
        <v>0</v>
      </c>
      <c r="QP21" s="5">
        <f>IF(ISERROR(LOOKUP(QP$1,$S21:$HK21,csv!$L21:$HD21)),NA(),LOOKUP(QP$1,$S21:$HK21,csv!$L21:$HD21))</f>
        <v>0</v>
      </c>
      <c r="QQ21" s="5">
        <f>IF(ISERROR(LOOKUP(QQ$1,$S21:$HK21,csv!$L21:$HD21)),NA(),LOOKUP(QQ$1,$S21:$HK21,csv!$L21:$HD21))</f>
        <v>0</v>
      </c>
      <c r="QR21" s="5">
        <f>IF(ISERROR(LOOKUP(QR$1,$S21:$HK21,csv!$L21:$HD21)),NA(),LOOKUP(QR$1,$S21:$HK21,csv!$L21:$HD21))</f>
        <v>0</v>
      </c>
      <c r="QS21" s="5">
        <f>IF(ISERROR(LOOKUP(QS$1,$S21:$HK21,csv!$L21:$HD21)),NA(),LOOKUP(QS$1,$S21:$HK21,csv!$L21:$HD21))</f>
        <v>0</v>
      </c>
      <c r="QT21" s="5">
        <f>IF(ISERROR(LOOKUP(QT$1,$S21:$HK21,csv!$L21:$HD21)),NA(),LOOKUP(QT$1,$S21:$HK21,csv!$L21:$HD21))</f>
        <v>0</v>
      </c>
      <c r="QU21" s="5">
        <f>IF(ISERROR(LOOKUP(QU$1,$S21:$HK21,csv!$L21:$HD21)),NA(),LOOKUP(QU$1,$S21:$HK21,csv!$L21:$HD21))</f>
        <v>0</v>
      </c>
      <c r="QV21" s="5">
        <f>IF(ISERROR(LOOKUP(QV$1,$S21:$HK21,csv!$L21:$HD21)),NA(),LOOKUP(QV$1,$S21:$HK21,csv!$L21:$HD21))</f>
        <v>0</v>
      </c>
      <c r="QW21" s="5">
        <f>IF(ISERROR(LOOKUP(QW$1,$S21:$HK21,csv!$L21:$HD21)),NA(),LOOKUP(QW$1,$S21:$HK21,csv!$L21:$HD21))</f>
        <v>0</v>
      </c>
      <c r="QX21" s="5">
        <f>IF(ISERROR(LOOKUP(QX$1,$S21:$HK21,csv!$L21:$HD21)),NA(),LOOKUP(QX$1,$S21:$HK21,csv!$L21:$HD21))</f>
        <v>0</v>
      </c>
      <c r="QY21" s="5">
        <f>IF(ISERROR(LOOKUP(QY$1,$S21:$HK21,csv!$L21:$HD21)),NA(),LOOKUP(QY$1,$S21:$HK21,csv!$L21:$HD21))</f>
        <v>0</v>
      </c>
      <c r="QZ21" s="5">
        <f>IF(ISERROR(LOOKUP(QZ$1,$S21:$HK21,csv!$L21:$HD21)),NA(),LOOKUP(QZ$1,$S21:$HK21,csv!$L21:$HD21))</f>
        <v>0</v>
      </c>
      <c r="RA21" s="5">
        <f>IF(ISERROR(LOOKUP(RA$1,$S21:$HK21,csv!$L21:$HD21)),NA(),LOOKUP(RA$1,$S21:$HK21,csv!$L21:$HD21))</f>
        <v>0</v>
      </c>
      <c r="RB21" s="5">
        <f>IF(ISERROR(LOOKUP(RB$1,$S21:$HK21,csv!$L21:$HD21)),NA(),LOOKUP(RB$1,$S21:$HK21,csv!$L21:$HD21))</f>
        <v>0</v>
      </c>
      <c r="RC21" s="5">
        <f>IF(ISERROR(LOOKUP(RC$1,$S21:$HK21,csv!$L21:$HD21)),NA(),LOOKUP(RC$1,$S21:$HK21,csv!$L21:$HD21))</f>
        <v>0</v>
      </c>
      <c r="RD21" s="5">
        <f>IF(ISERROR(LOOKUP(RD$1,$S21:$HK21,csv!$L21:$HD21)),NA(),LOOKUP(RD$1,$S21:$HK21,csv!$L21:$HD21))</f>
        <v>0</v>
      </c>
      <c r="RE21" s="5">
        <f>IF(ISERROR(LOOKUP(RE$1,$S21:$HK21,csv!$L21:$HD21)),NA(),LOOKUP(RE$1,$S21:$HK21,csv!$L21:$HD21))</f>
        <v>0</v>
      </c>
      <c r="RF21" s="5">
        <f>IF(ISERROR(LOOKUP(RF$1,$S21:$HK21,csv!$L21:$HD21)),NA(),LOOKUP(RF$1,$S21:$HK21,csv!$L21:$HD21))</f>
        <v>0</v>
      </c>
      <c r="RG21" s="5">
        <f>IF(ISERROR(LOOKUP(RG$1,$S21:$HK21,csv!$L21:$HD21)),NA(),LOOKUP(RG$1,$S21:$HK21,csv!$L21:$HD21))</f>
        <v>0</v>
      </c>
      <c r="RH21" s="5">
        <f>IF(ISERROR(LOOKUP(RH$1,$S21:$HK21,csv!$L21:$HD21)),NA(),LOOKUP(RH$1,$S21:$HK21,csv!$L21:$HD21))</f>
        <v>0</v>
      </c>
      <c r="RI21" s="5">
        <f>IF(ISERROR(LOOKUP(RI$1,$S21:$HK21,csv!$L21:$HD21)),NA(),LOOKUP(RI$1,$S21:$HK21,csv!$L21:$HD21))</f>
        <v>0</v>
      </c>
      <c r="RJ21" s="5">
        <f>IF(ISERROR(LOOKUP(RJ$1,$S21:$HK21,csv!$L21:$HD21)),NA(),LOOKUP(RJ$1,$S21:$HK21,csv!$L21:$HD21))</f>
        <v>0</v>
      </c>
      <c r="RK21" s="5">
        <f>IF(ISERROR(LOOKUP(RK$1,$S21:$HK21,csv!$L21:$HD21)),NA(),LOOKUP(RK$1,$S21:$HK21,csv!$L21:$HD21))</f>
        <v>0</v>
      </c>
      <c r="RL21" s="5">
        <f>IF(ISERROR(LOOKUP(RL$1,$S21:$HK21,csv!$L21:$HD21)),NA(),LOOKUP(RL$1,$S21:$HK21,csv!$L21:$HD21))</f>
        <v>0</v>
      </c>
      <c r="RM21" s="5">
        <f>IF(ISERROR(LOOKUP(RM$1,$S21:$HK21,csv!$L21:$HD21)),NA(),LOOKUP(RM$1,$S21:$HK21,csv!$L21:$HD21))</f>
        <v>0</v>
      </c>
      <c r="RN21" s="5">
        <f>IF(ISERROR(LOOKUP(RN$1,$S21:$HK21,csv!$L21:$HD21)),NA(),LOOKUP(RN$1,$S21:$HK21,csv!$L21:$HD21))</f>
        <v>0</v>
      </c>
      <c r="RO21" s="5">
        <f>IF(ISERROR(LOOKUP(RO$1,$S21:$HK21,csv!$L21:$HD21)),NA(),LOOKUP(RO$1,$S21:$HK21,csv!$L21:$HD21))</f>
        <v>0</v>
      </c>
      <c r="RP21" s="5">
        <f>IF(ISERROR(LOOKUP(RP$1,$S21:$HK21,csv!$L21:$HD21)),NA(),LOOKUP(RP$1,$S21:$HK21,csv!$L21:$HD21))</f>
        <v>0</v>
      </c>
      <c r="RQ21" s="5">
        <f>IF(ISERROR(LOOKUP(RQ$1,$S21:$HK21,csv!$L21:$HD21)),NA(),LOOKUP(RQ$1,$S21:$HK21,csv!$L21:$HD21))</f>
        <v>0</v>
      </c>
      <c r="RR21" s="5">
        <f>IF(ISERROR(LOOKUP(RR$1,$S21:$HK21,csv!$L21:$HD21)),NA(),LOOKUP(RR$1,$S21:$HK21,csv!$L21:$HD21))</f>
        <v>0</v>
      </c>
      <c r="RS21" s="5">
        <f>IF(ISERROR(LOOKUP(RS$1,$S21:$HK21,csv!$L21:$HD21)),NA(),LOOKUP(RS$1,$S21:$HK21,csv!$L21:$HD21))</f>
        <v>0</v>
      </c>
      <c r="RT21" s="5">
        <f>IF(ISERROR(LOOKUP(RT$1,$S21:$HK21,csv!$L21:$HD21)),NA(),LOOKUP(RT$1,$S21:$HK21,csv!$L21:$HD21))</f>
        <v>0</v>
      </c>
      <c r="RU21" s="5">
        <f>IF(ISERROR(LOOKUP(RU$1,$S21:$HK21,csv!$L21:$HD21)),NA(),LOOKUP(RU$1,$S21:$HK21,csv!$L21:$HD21))</f>
        <v>0</v>
      </c>
      <c r="RV21" s="5">
        <f>IF(ISERROR(LOOKUP(RV$1,$S21:$HK21,csv!$L21:$HD21)),NA(),LOOKUP(RV$1,$S21:$HK21,csv!$L21:$HD21))</f>
        <v>0</v>
      </c>
      <c r="RW21" s="5">
        <f>IF(ISERROR(LOOKUP(RW$1,$S21:$HK21,csv!$L21:$HD21)),NA(),LOOKUP(RW$1,$S21:$HK21,csv!$L21:$HD21))</f>
        <v>0</v>
      </c>
      <c r="RX21" s="5">
        <f>IF(ISERROR(LOOKUP(RX$1,$S21:$HK21,csv!$L21:$HD21)),NA(),LOOKUP(RX$1,$S21:$HK21,csv!$L21:$HD21))</f>
        <v>0</v>
      </c>
      <c r="RY21" s="5">
        <f>IF(ISERROR(LOOKUP(RY$1,$S21:$HK21,csv!$L21:$HD21)),NA(),LOOKUP(RY$1,$S21:$HK21,csv!$L21:$HD21))</f>
        <v>0</v>
      </c>
      <c r="RZ21" s="5">
        <f>IF(ISERROR(LOOKUP(RZ$1,$S21:$HK21,csv!$L21:$HD21)),NA(),LOOKUP(RZ$1,$S21:$HK21,csv!$L21:$HD21))</f>
        <v>0</v>
      </c>
      <c r="SA21" s="5">
        <f>IF(ISERROR(LOOKUP(SA$1,$S21:$HK21,csv!$L21:$HD21)),NA(),LOOKUP(SA$1,$S21:$HK21,csv!$L21:$HD21))</f>
        <v>0</v>
      </c>
      <c r="SB21" s="5">
        <f>IF(ISERROR(LOOKUP(SB$1,$S21:$HK21,csv!$L21:$HD21)),NA(),LOOKUP(SB$1,$S21:$HK21,csv!$L21:$HD21))</f>
        <v>0</v>
      </c>
      <c r="SC21" s="5">
        <f>IF(ISERROR(LOOKUP(SC$1,$S21:$HK21,csv!$L21:$HD21)),NA(),LOOKUP(SC$1,$S21:$HK21,csv!$L21:$HD21))</f>
        <v>0</v>
      </c>
      <c r="SD21" s="5">
        <f>IF(ISERROR(LOOKUP(SD$1,$S21:$HK21,csv!$L21:$HD21)),NA(),LOOKUP(SD$1,$S21:$HK21,csv!$L21:$HD21))</f>
        <v>0</v>
      </c>
      <c r="SE21" s="5">
        <f>IF(ISERROR(LOOKUP(SE$1,$S21:$HK21,csv!$L21:$HD21)),NA(),LOOKUP(SE$1,$S21:$HK21,csv!$L21:$HD21))</f>
        <v>0</v>
      </c>
      <c r="SF21" s="5">
        <f>IF(ISERROR(LOOKUP(SF$1,$S21:$HK21,csv!$L21:$HD21)),NA(),LOOKUP(SF$1,$S21:$HK21,csv!$L21:$HD21))</f>
        <v>0</v>
      </c>
      <c r="SG21" s="5">
        <f>IF(ISERROR(LOOKUP(SG$1,$S21:$HK21,csv!$L21:$HD21)),NA(),LOOKUP(SG$1,$S21:$HK21,csv!$L21:$HD21))</f>
        <v>0</v>
      </c>
      <c r="SH21" s="5">
        <f>IF(ISERROR(LOOKUP(SH$1,$S21:$HK21,csv!$L21:$HD21)),NA(),LOOKUP(SH$1,$S21:$HK21,csv!$L21:$HD21))</f>
        <v>0</v>
      </c>
      <c r="SI21" s="5">
        <f>IF(ISERROR(LOOKUP(SI$1,$S21:$HK21,csv!$L21:$HD21)),NA(),LOOKUP(SI$1,$S21:$HK21,csv!$L21:$HD21))</f>
        <v>0</v>
      </c>
      <c r="SJ21" s="5">
        <f>IF(ISERROR(LOOKUP(SJ$1,$S21:$HK21,csv!$L21:$HD21)),NA(),LOOKUP(SJ$1,$S21:$HK21,csv!$L21:$HD21))</f>
        <v>0</v>
      </c>
      <c r="SK21" s="5">
        <f>IF(ISERROR(LOOKUP(SK$1,$S21:$HK21,csv!$L21:$HD21)),NA(),LOOKUP(SK$1,$S21:$HK21,csv!$L21:$HD21))</f>
        <v>0</v>
      </c>
      <c r="SL21" s="5">
        <f>IF(ISERROR(LOOKUP(SL$1,$S21:$HK21,csv!$L21:$HD21)),NA(),LOOKUP(SL$1,$S21:$HK21,csv!$L21:$HD21))</f>
        <v>0</v>
      </c>
      <c r="SM21" s="5">
        <f>IF(ISERROR(LOOKUP(SM$1,$S21:$HK21,csv!$L21:$HD21)),NA(),LOOKUP(SM$1,$S21:$HK21,csv!$L21:$HD21))</f>
        <v>0</v>
      </c>
      <c r="SN21" s="5">
        <f>IF(ISERROR(LOOKUP(SN$1,$S21:$HK21,csv!$L21:$HD21)),NA(),LOOKUP(SN$1,$S21:$HK21,csv!$L21:$HD21))</f>
        <v>0</v>
      </c>
      <c r="SO21" s="5">
        <f>IF(ISERROR(LOOKUP(SO$1,$S21:$HK21,csv!$L21:$HD21)),NA(),LOOKUP(SO$1,$S21:$HK21,csv!$L21:$HD21))</f>
        <v>0</v>
      </c>
      <c r="SP21" s="5">
        <f>IF(ISERROR(LOOKUP(SP$1,$S21:$HK21,csv!$L21:$HD21)),NA(),LOOKUP(SP$1,$S21:$HK21,csv!$L21:$HD21))</f>
        <v>0</v>
      </c>
      <c r="SQ21" s="5">
        <f>IF(ISERROR(LOOKUP(SQ$1,$S21:$HK21,csv!$L21:$HD21)),NA(),LOOKUP(SQ$1,$S21:$HK21,csv!$L21:$HD21))</f>
        <v>0</v>
      </c>
      <c r="SR21" s="5">
        <f>IF(ISERROR(LOOKUP(SR$1,$S21:$HK21,csv!$L21:$HD21)),NA(),LOOKUP(SR$1,$S21:$HK21,csv!$L21:$HD21))</f>
        <v>0</v>
      </c>
      <c r="SS21" s="5">
        <f>IF(ISERROR(LOOKUP(SS$1,$S21:$HK21,csv!$L21:$HD21)),NA(),LOOKUP(SS$1,$S21:$HK21,csv!$L21:$HD21))</f>
        <v>0</v>
      </c>
      <c r="ST21" s="5">
        <f>IF(ISERROR(LOOKUP(ST$1,$S21:$HK21,csv!$L21:$HD21)),NA(),LOOKUP(ST$1,$S21:$HK21,csv!$L21:$HD21))</f>
        <v>0</v>
      </c>
      <c r="SU21" s="5">
        <f>IF(ISERROR(LOOKUP(SU$1,$S21:$HK21,csv!$L21:$HD21)),NA(),LOOKUP(SU$1,$S21:$HK21,csv!$L21:$HD21))</f>
        <v>0</v>
      </c>
      <c r="SV21" s="5">
        <f>IF(ISERROR(LOOKUP(SV$1,$S21:$HK21,csv!$L21:$HD21)),NA(),LOOKUP(SV$1,$S21:$HK21,csv!$L21:$HD21))</f>
        <v>0</v>
      </c>
      <c r="SW21" s="5">
        <f>IF(ISERROR(LOOKUP(SW$1,$S21:$HK21,csv!$L21:$HD21)),NA(),LOOKUP(SW$1,$S21:$HK21,csv!$L21:$HD21))</f>
        <v>0</v>
      </c>
      <c r="SX21" s="5">
        <f>IF(ISERROR(LOOKUP(SX$1,$S21:$HK21,csv!$L21:$HD21)),NA(),LOOKUP(SX$1,$S21:$HK21,csv!$L21:$HD21))</f>
        <v>0</v>
      </c>
      <c r="SY21" s="5">
        <f>IF(ISERROR(LOOKUP(SY$1,$S21:$HK21,csv!$L21:$HD21)),NA(),LOOKUP(SY$1,$S21:$HK21,csv!$L21:$HD21))</f>
        <v>0</v>
      </c>
      <c r="SZ21" s="5">
        <f>IF(ISERROR(LOOKUP(SZ$1,$S21:$HK21,csv!$L21:$HD21)),NA(),LOOKUP(SZ$1,$S21:$HK21,csv!$L21:$HD21))</f>
        <v>0</v>
      </c>
      <c r="TA21" s="5">
        <f>IF(ISERROR(LOOKUP(TA$1,$S21:$HK21,csv!$L21:$HD21)),NA(),LOOKUP(TA$1,$S21:$HK21,csv!$L21:$HD21))</f>
        <v>0</v>
      </c>
      <c r="TB21" s="5">
        <f>IF(ISERROR(LOOKUP(TB$1,$S21:$HK21,csv!$L21:$HD21)),NA(),LOOKUP(TB$1,$S21:$HK21,csv!$L21:$HD21))</f>
        <v>0</v>
      </c>
      <c r="TD21">
        <f>csv!HG21/10</f>
        <v>0</v>
      </c>
    </row>
    <row r="22" spans="3:524" x14ac:dyDescent="0.15">
      <c r="S22" s="4">
        <f>ROUND((csv!$HG22/10+calc!S$1),1)</f>
        <v>-10</v>
      </c>
      <c r="T22" s="4">
        <f>ROUND((csv!$HG22/10+calc!T$1),1)</f>
        <v>-9.9</v>
      </c>
      <c r="U22" s="4">
        <f>ROUND((csv!$HG22/10+calc!U$1),1)</f>
        <v>-9.8000000000000007</v>
      </c>
      <c r="V22" s="4">
        <f>ROUND((csv!$HG22/10+calc!V$1),1)</f>
        <v>-9.6999999999999993</v>
      </c>
      <c r="W22" s="4">
        <f>ROUND((csv!$HG22/10+calc!W$1),1)</f>
        <v>-9.6</v>
      </c>
      <c r="X22" s="4">
        <f>ROUND((csv!$HG22/10+calc!X$1),1)</f>
        <v>-9.5</v>
      </c>
      <c r="Y22" s="4">
        <f>ROUND((csv!$HG22/10+calc!Y$1),1)</f>
        <v>-9.4</v>
      </c>
      <c r="Z22" s="4">
        <f>ROUND((csv!$HG22/10+calc!Z$1),1)</f>
        <v>-9.3000000000000007</v>
      </c>
      <c r="AA22" s="4">
        <f>ROUND((csv!$HG22/10+calc!AA$1),1)</f>
        <v>-9.1999999999999993</v>
      </c>
      <c r="AB22" s="4">
        <f>ROUND((csv!$HG22/10+calc!AB$1),1)</f>
        <v>-9.1</v>
      </c>
      <c r="AC22" s="4">
        <f>ROUND((csv!$HG22/10+calc!AC$1),1)</f>
        <v>-9</v>
      </c>
      <c r="AD22" s="4">
        <f>ROUND((csv!$HG22/10+calc!AD$1),1)</f>
        <v>-8.9</v>
      </c>
      <c r="AE22" s="4">
        <f>ROUND((csv!$HG22/10+calc!AE$1),1)</f>
        <v>-8.8000000000000007</v>
      </c>
      <c r="AF22" s="4">
        <f>ROUND((csv!$HG22/10+calc!AF$1),1)</f>
        <v>-8.6999999999999993</v>
      </c>
      <c r="AG22" s="4">
        <f>ROUND((csv!$HG22/10+calc!AG$1),1)</f>
        <v>-8.6</v>
      </c>
      <c r="AH22" s="4">
        <f>ROUND((csv!$HG22/10+calc!AH$1),1)</f>
        <v>-8.5</v>
      </c>
      <c r="AI22" s="4">
        <f>ROUND((csv!$HG22/10+calc!AI$1),1)</f>
        <v>-8.4</v>
      </c>
      <c r="AJ22" s="4">
        <f>ROUND((csv!$HG22/10+calc!AJ$1),1)</f>
        <v>-8.3000000000000007</v>
      </c>
      <c r="AK22" s="4">
        <f>ROUND((csv!$HG22/10+calc!AK$1),1)</f>
        <v>-8.1999999999999993</v>
      </c>
      <c r="AL22" s="4">
        <f>ROUND((csv!$HG22/10+calc!AL$1),1)</f>
        <v>-8.1</v>
      </c>
      <c r="AM22" s="4">
        <f>ROUND((csv!$HG22/10+calc!AM$1),1)</f>
        <v>-8</v>
      </c>
      <c r="AN22" s="4">
        <f>ROUND((csv!$HG22/10+calc!AN$1),1)</f>
        <v>-7.9</v>
      </c>
      <c r="AO22" s="4">
        <f>ROUND((csv!$HG22/10+calc!AO$1),1)</f>
        <v>-7.8</v>
      </c>
      <c r="AP22" s="4">
        <f>ROUND((csv!$HG22/10+calc!AP$1),1)</f>
        <v>-7.7</v>
      </c>
      <c r="AQ22" s="4">
        <f>ROUND((csv!$HG22/10+calc!AQ$1),1)</f>
        <v>-7.6</v>
      </c>
      <c r="AR22" s="4">
        <f>ROUND((csv!$HG22/10+calc!AR$1),1)</f>
        <v>-7.5</v>
      </c>
      <c r="AS22" s="4">
        <f>ROUND((csv!$HG22/10+calc!AS$1),1)</f>
        <v>-7.4</v>
      </c>
      <c r="AT22" s="4">
        <f>ROUND((csv!$HG22/10+calc!AT$1),1)</f>
        <v>-7.3</v>
      </c>
      <c r="AU22" s="4">
        <f>ROUND((csv!$HG22/10+calc!AU$1),1)</f>
        <v>-7.2</v>
      </c>
      <c r="AV22" s="4">
        <f>ROUND((csv!$HG22/10+calc!AV$1),1)</f>
        <v>-7.1</v>
      </c>
      <c r="AW22" s="4">
        <f>ROUND((csv!$HG22/10+calc!AW$1),1)</f>
        <v>-7</v>
      </c>
      <c r="AX22" s="4">
        <f>ROUND((csv!$HG22/10+calc!AX$1),1)</f>
        <v>-6.9</v>
      </c>
      <c r="AY22" s="4">
        <f>ROUND((csv!$HG22/10+calc!AY$1),1)</f>
        <v>-6.8</v>
      </c>
      <c r="AZ22" s="4">
        <f>ROUND((csv!$HG22/10+calc!AZ$1),1)</f>
        <v>-6.7</v>
      </c>
      <c r="BA22" s="4">
        <f>ROUND((csv!$HG22/10+calc!BA$1),1)</f>
        <v>-6.6</v>
      </c>
      <c r="BB22" s="4">
        <f>ROUND((csv!$HG22/10+calc!BB$1),1)</f>
        <v>-6.5</v>
      </c>
      <c r="BC22" s="4">
        <f>ROUND((csv!$HG22/10+calc!BC$1),1)</f>
        <v>-6.4</v>
      </c>
      <c r="BD22" s="4">
        <f>ROUND((csv!$HG22/10+calc!BD$1),1)</f>
        <v>-6.3</v>
      </c>
      <c r="BE22" s="4">
        <f>ROUND((csv!$HG22/10+calc!BE$1),1)</f>
        <v>-6.2</v>
      </c>
      <c r="BF22" s="4">
        <f>ROUND((csv!$HG22/10+calc!BF$1),1)</f>
        <v>-6.1</v>
      </c>
      <c r="BG22" s="4">
        <f>ROUND((csv!$HG22/10+calc!BG$1),1)</f>
        <v>-6</v>
      </c>
      <c r="BH22" s="4">
        <f>ROUND((csv!$HG22/10+calc!BH$1),1)</f>
        <v>-5.9</v>
      </c>
      <c r="BI22" s="4">
        <f>ROUND((csv!$HG22/10+calc!BI$1),1)</f>
        <v>-5.8</v>
      </c>
      <c r="BJ22" s="4">
        <f>ROUND((csv!$HG22/10+calc!BJ$1),1)</f>
        <v>-5.7</v>
      </c>
      <c r="BK22" s="4">
        <f>ROUND((csv!$HG22/10+calc!BK$1),1)</f>
        <v>-5.6</v>
      </c>
      <c r="BL22" s="4">
        <f>ROUND((csv!$HG22/10+calc!BL$1),1)</f>
        <v>-5.5</v>
      </c>
      <c r="BM22" s="4">
        <f>ROUND((csv!$HG22/10+calc!BM$1),1)</f>
        <v>-5.4</v>
      </c>
      <c r="BN22" s="4">
        <f>ROUND((csv!$HG22/10+calc!BN$1),1)</f>
        <v>-5.3</v>
      </c>
      <c r="BO22" s="4">
        <f>ROUND((csv!$HG22/10+calc!BO$1),1)</f>
        <v>-5.2</v>
      </c>
      <c r="BP22" s="4">
        <f>ROUND((csv!$HG22/10+calc!BP$1),1)</f>
        <v>-5.0999999999999996</v>
      </c>
      <c r="BQ22" s="4">
        <f>ROUND((csv!$HG22/10+calc!BQ$1),1)</f>
        <v>-5</v>
      </c>
      <c r="BR22" s="4">
        <f>ROUND((csv!$HG22/10+calc!BR$1),1)</f>
        <v>-4.9000000000000004</v>
      </c>
      <c r="BS22" s="4">
        <f>ROUND((csv!$HG22/10+calc!BS$1),1)</f>
        <v>-4.8</v>
      </c>
      <c r="BT22" s="4">
        <f>ROUND((csv!$HG22/10+calc!BT$1),1)</f>
        <v>-4.7</v>
      </c>
      <c r="BU22" s="4">
        <f>ROUND((csv!$HG22/10+calc!BU$1),1)</f>
        <v>-4.5999999999999996</v>
      </c>
      <c r="BV22" s="4">
        <f>ROUND((csv!$HG22/10+calc!BV$1),1)</f>
        <v>-4.5</v>
      </c>
      <c r="BW22" s="4">
        <f>ROUND((csv!$HG22/10+calc!BW$1),1)</f>
        <v>-4.4000000000000004</v>
      </c>
      <c r="BX22" s="4">
        <f>ROUND((csv!$HG22/10+calc!BX$1),1)</f>
        <v>-4.3</v>
      </c>
      <c r="BY22" s="4">
        <f>ROUND((csv!$HG22/10+calc!BY$1),1)</f>
        <v>-4.2</v>
      </c>
      <c r="BZ22" s="4">
        <f>ROUND((csv!$HG22/10+calc!BZ$1),1)</f>
        <v>-4.0999999999999996</v>
      </c>
      <c r="CA22" s="4">
        <f>ROUND((csv!$HG22/10+calc!CA$1),1)</f>
        <v>-4</v>
      </c>
      <c r="CB22" s="4">
        <f>ROUND((csv!$HG22/10+calc!CB$1),1)</f>
        <v>-3.9</v>
      </c>
      <c r="CC22" s="4">
        <f>ROUND((csv!$HG22/10+calc!CC$1),1)</f>
        <v>-3.8</v>
      </c>
      <c r="CD22" s="4">
        <f>ROUND((csv!$HG22/10+calc!CD$1),1)</f>
        <v>-3.7</v>
      </c>
      <c r="CE22" s="4">
        <f>ROUND((csv!$HG22/10+calc!CE$1),1)</f>
        <v>-3.6</v>
      </c>
      <c r="CF22" s="4">
        <f>ROUND((csv!$HG22/10+calc!CF$1),1)</f>
        <v>-3.5</v>
      </c>
      <c r="CG22" s="4">
        <f>ROUND((csv!$HG22/10+calc!CG$1),1)</f>
        <v>-3.4</v>
      </c>
      <c r="CH22" s="4">
        <f>ROUND((csv!$HG22/10+calc!CH$1),1)</f>
        <v>-3.3</v>
      </c>
      <c r="CI22" s="4">
        <f>ROUND((csv!$HG22/10+calc!CI$1),1)</f>
        <v>-3.2</v>
      </c>
      <c r="CJ22" s="4">
        <f>ROUND((csv!$HG22/10+calc!CJ$1),1)</f>
        <v>-3.1</v>
      </c>
      <c r="CK22" s="4">
        <f>ROUND((csv!$HG22/10+calc!CK$1),1)</f>
        <v>-3</v>
      </c>
      <c r="CL22" s="4">
        <f>ROUND((csv!$HG22/10+calc!CL$1),1)</f>
        <v>-2.9</v>
      </c>
      <c r="CM22" s="4">
        <f>ROUND((csv!$HG22/10+calc!CM$1),1)</f>
        <v>-2.8</v>
      </c>
      <c r="CN22" s="4">
        <f>ROUND((csv!$HG22/10+calc!CN$1),1)</f>
        <v>-2.7</v>
      </c>
      <c r="CO22" s="4">
        <f>ROUND((csv!$HG22/10+calc!CO$1),1)</f>
        <v>-2.6</v>
      </c>
      <c r="CP22" s="4">
        <f>ROUND((csv!$HG22/10+calc!CP$1),1)</f>
        <v>-2.5</v>
      </c>
      <c r="CQ22" s="4">
        <f>ROUND((csv!$HG22/10+calc!CQ$1),1)</f>
        <v>-2.4</v>
      </c>
      <c r="CR22" s="4">
        <f>ROUND((csv!$HG22/10+calc!CR$1),1)</f>
        <v>-2.2999999999999998</v>
      </c>
      <c r="CS22" s="4">
        <f>ROUND((csv!$HG22/10+calc!CS$1),1)</f>
        <v>-2.2000000000000002</v>
      </c>
      <c r="CT22" s="4">
        <f>ROUND((csv!$HG22/10+calc!CT$1),1)</f>
        <v>-2.1</v>
      </c>
      <c r="CU22" s="4">
        <f>ROUND((csv!$HG22/10+calc!CU$1),1)</f>
        <v>-2</v>
      </c>
      <c r="CV22" s="4">
        <f>ROUND((csv!$HG22/10+calc!CV$1),1)</f>
        <v>-1.9</v>
      </c>
      <c r="CW22" s="4">
        <f>ROUND((csv!$HG22/10+calc!CW$1),1)</f>
        <v>-1.8</v>
      </c>
      <c r="CX22" s="4">
        <f>ROUND((csv!$HG22/10+calc!CX$1),1)</f>
        <v>-1.7</v>
      </c>
      <c r="CY22" s="4">
        <f>ROUND((csv!$HG22/10+calc!CY$1),1)</f>
        <v>-1.6</v>
      </c>
      <c r="CZ22" s="4">
        <f>ROUND((csv!$HG22/10+calc!CZ$1),1)</f>
        <v>-1.5</v>
      </c>
      <c r="DA22" s="4">
        <f>ROUND((csv!$HG22/10+calc!DA$1),1)</f>
        <v>-1.4</v>
      </c>
      <c r="DB22" s="4">
        <f>ROUND((csv!$HG22/10+calc!DB$1),1)</f>
        <v>-1.3</v>
      </c>
      <c r="DC22" s="4">
        <f>ROUND((csv!$HG22/10+calc!DC$1),1)</f>
        <v>-1.2</v>
      </c>
      <c r="DD22" s="4">
        <f>ROUND((csv!$HG22/10+calc!DD$1),1)</f>
        <v>-1.1000000000000001</v>
      </c>
      <c r="DE22" s="4">
        <f>ROUND((csv!$HG22/10+calc!DE$1),1)</f>
        <v>-1</v>
      </c>
      <c r="DF22" s="4">
        <f>ROUND((csv!$HG22/10+calc!DF$1),1)</f>
        <v>-0.9</v>
      </c>
      <c r="DG22" s="4">
        <f>ROUND((csv!$HG22/10+calc!DG$1),1)</f>
        <v>-0.8</v>
      </c>
      <c r="DH22" s="4">
        <f>ROUND((csv!$HG22/10+calc!DH$1),1)</f>
        <v>-0.7</v>
      </c>
      <c r="DI22" s="4">
        <f>ROUND((csv!$HG22/10+calc!DI$1),1)</f>
        <v>-0.6</v>
      </c>
      <c r="DJ22" s="4">
        <f>ROUND((csv!$HG22/10+calc!DJ$1),1)</f>
        <v>-0.5</v>
      </c>
      <c r="DK22" s="4">
        <f>ROUND((csv!$HG22/10+calc!DK$1),1)</f>
        <v>-0.4</v>
      </c>
      <c r="DL22" s="4">
        <f>ROUND((csv!$HG22/10+calc!DL$1),1)</f>
        <v>-0.3</v>
      </c>
      <c r="DM22" s="4">
        <f>ROUND((csv!$HG22/10+calc!DM$1),1)</f>
        <v>-0.2</v>
      </c>
      <c r="DN22" s="4">
        <f>ROUND((csv!$HG22/10+calc!DN$1),1)</f>
        <v>-0.1</v>
      </c>
      <c r="DO22" s="4">
        <f>ROUND((csv!$HG22/10+calc!DO$1),1)</f>
        <v>0</v>
      </c>
      <c r="DP22" s="4">
        <f>ROUND((csv!$HG22/10+calc!DP$1),1)</f>
        <v>0.1</v>
      </c>
      <c r="DQ22" s="4">
        <f>ROUND((csv!$HG22/10+calc!DQ$1),1)</f>
        <v>0.2</v>
      </c>
      <c r="DR22" s="4">
        <f>ROUND((csv!$HG22/10+calc!DR$1),1)</f>
        <v>0.3</v>
      </c>
      <c r="DS22" s="4">
        <f>ROUND((csv!$HG22/10+calc!DS$1),1)</f>
        <v>0.4</v>
      </c>
      <c r="DT22" s="4">
        <f>ROUND((csv!$HG22/10+calc!DT$1),1)</f>
        <v>0.5</v>
      </c>
      <c r="DU22" s="4">
        <f>ROUND((csv!$HG22/10+calc!DU$1),1)</f>
        <v>0.6</v>
      </c>
      <c r="DV22" s="4">
        <f>ROUND((csv!$HG22/10+calc!DV$1),1)</f>
        <v>0.7</v>
      </c>
      <c r="DW22" s="4">
        <f>ROUND((csv!$HG22/10+calc!DW$1),1)</f>
        <v>0.8</v>
      </c>
      <c r="DX22" s="4">
        <f>ROUND((csv!$HG22/10+calc!DX$1),1)</f>
        <v>0.9</v>
      </c>
      <c r="DY22" s="4">
        <f>ROUND((csv!$HG22/10+calc!DY$1),1)</f>
        <v>1</v>
      </c>
      <c r="DZ22" s="4">
        <f>ROUND((csv!$HG22/10+calc!DZ$1),1)</f>
        <v>1.1000000000000001</v>
      </c>
      <c r="EA22" s="4">
        <f>ROUND((csv!$HG22/10+calc!EA$1),1)</f>
        <v>1.2</v>
      </c>
      <c r="EB22" s="4">
        <f>ROUND((csv!$HG22/10+calc!EB$1),1)</f>
        <v>1.3</v>
      </c>
      <c r="EC22" s="4">
        <f>ROUND((csv!$HG22/10+calc!EC$1),1)</f>
        <v>1.4</v>
      </c>
      <c r="ED22" s="4">
        <f>ROUND((csv!$HG22/10+calc!ED$1),1)</f>
        <v>1.5</v>
      </c>
      <c r="EE22" s="4">
        <f>ROUND((csv!$HG22/10+calc!EE$1),1)</f>
        <v>1.6</v>
      </c>
      <c r="EF22" s="4">
        <f>ROUND((csv!$HG22/10+calc!EF$1),1)</f>
        <v>1.7</v>
      </c>
      <c r="EG22" s="4">
        <f>ROUND((csv!$HG22/10+calc!EG$1),1)</f>
        <v>1.8</v>
      </c>
      <c r="EH22" s="4">
        <f>ROUND((csv!$HG22/10+calc!EH$1),1)</f>
        <v>1.9</v>
      </c>
      <c r="EI22" s="4">
        <f>ROUND((csv!$HG22/10+calc!EI$1),1)</f>
        <v>2</v>
      </c>
      <c r="EJ22" s="4">
        <f>ROUND((csv!$HG22/10+calc!EJ$1),1)</f>
        <v>2.1</v>
      </c>
      <c r="EK22" s="4">
        <f>ROUND((csv!$HG22/10+calc!EK$1),1)</f>
        <v>2.2000000000000002</v>
      </c>
      <c r="EL22" s="4">
        <f>ROUND((csv!$HG22/10+calc!EL$1),1)</f>
        <v>2.2999999999999998</v>
      </c>
      <c r="EM22" s="4">
        <f>ROUND((csv!$HG22/10+calc!EM$1),1)</f>
        <v>2.4</v>
      </c>
      <c r="EN22" s="4">
        <f>ROUND((csv!$HG22/10+calc!EN$1),1)</f>
        <v>2.5</v>
      </c>
      <c r="EO22" s="4">
        <f>ROUND((csv!$HG22/10+calc!EO$1),1)</f>
        <v>2.6</v>
      </c>
      <c r="EP22" s="4">
        <f>ROUND((csv!$HG22/10+calc!EP$1),1)</f>
        <v>2.7</v>
      </c>
      <c r="EQ22" s="4">
        <f>ROUND((csv!$HG22/10+calc!EQ$1),1)</f>
        <v>2.8</v>
      </c>
      <c r="ER22" s="4">
        <f>ROUND((csv!$HG22/10+calc!ER$1),1)</f>
        <v>2.9</v>
      </c>
      <c r="ES22" s="4">
        <f>ROUND((csv!$HG22/10+calc!ES$1),1)</f>
        <v>3</v>
      </c>
      <c r="ET22" s="4">
        <f>ROUND((csv!$HG22/10+calc!ET$1),1)</f>
        <v>3.1</v>
      </c>
      <c r="EU22" s="4">
        <f>ROUND((csv!$HG22/10+calc!EU$1),1)</f>
        <v>3.2</v>
      </c>
      <c r="EV22" s="4">
        <f>ROUND((csv!$HG22/10+calc!EV$1),1)</f>
        <v>3.3</v>
      </c>
      <c r="EW22" s="4">
        <f>ROUND((csv!$HG22/10+calc!EW$1),1)</f>
        <v>3.4</v>
      </c>
      <c r="EX22" s="4">
        <f>ROUND((csv!$HG22/10+calc!EX$1),1)</f>
        <v>3.5</v>
      </c>
      <c r="EY22" s="4">
        <f>ROUND((csv!$HG22/10+calc!EY$1),1)</f>
        <v>3.6</v>
      </c>
      <c r="EZ22" s="4">
        <f>ROUND((csv!$HG22/10+calc!EZ$1),1)</f>
        <v>3.7</v>
      </c>
      <c r="FA22" s="4">
        <f>ROUND((csv!$HG22/10+calc!FA$1),1)</f>
        <v>3.8</v>
      </c>
      <c r="FB22" s="4">
        <f>ROUND((csv!$HG22/10+calc!FB$1),1)</f>
        <v>3.9</v>
      </c>
      <c r="FC22" s="4">
        <f>ROUND((csv!$HG22/10+calc!FC$1),1)</f>
        <v>4</v>
      </c>
      <c r="FD22" s="4">
        <f>ROUND((csv!$HG22/10+calc!FD$1),1)</f>
        <v>4.0999999999999996</v>
      </c>
      <c r="FE22" s="4">
        <f>ROUND((csv!$HG22/10+calc!FE$1),1)</f>
        <v>4.2</v>
      </c>
      <c r="FF22" s="4">
        <f>ROUND((csv!$HG22/10+calc!FF$1),1)</f>
        <v>4.3</v>
      </c>
      <c r="FG22" s="4">
        <f>ROUND((csv!$HG22/10+calc!FG$1),1)</f>
        <v>4.4000000000000004</v>
      </c>
      <c r="FH22" s="4">
        <f>ROUND((csv!$HG22/10+calc!FH$1),1)</f>
        <v>4.5</v>
      </c>
      <c r="FI22" s="4">
        <f>ROUND((csv!$HG22/10+calc!FI$1),1)</f>
        <v>4.5999999999999996</v>
      </c>
      <c r="FJ22" s="4">
        <f>ROUND((csv!$HG22/10+calc!FJ$1),1)</f>
        <v>4.7</v>
      </c>
      <c r="FK22" s="4">
        <f>ROUND((csv!$HG22/10+calc!FK$1),1)</f>
        <v>4.8</v>
      </c>
      <c r="FL22" s="4">
        <f>ROUND((csv!$HG22/10+calc!FL$1),1)</f>
        <v>4.9000000000000004</v>
      </c>
      <c r="FM22" s="4">
        <f>ROUND((csv!$HG22/10+calc!FM$1),1)</f>
        <v>5</v>
      </c>
      <c r="FN22" s="4">
        <f>ROUND((csv!$HG22/10+calc!FN$1),1)</f>
        <v>5.0999999999999996</v>
      </c>
      <c r="FO22" s="4">
        <f>ROUND((csv!$HG22/10+calc!FO$1),1)</f>
        <v>5.2</v>
      </c>
      <c r="FP22" s="4">
        <f>ROUND((csv!$HG22/10+calc!FP$1),1)</f>
        <v>5.3</v>
      </c>
      <c r="FQ22" s="4">
        <f>ROUND((csv!$HG22/10+calc!FQ$1),1)</f>
        <v>5.4</v>
      </c>
      <c r="FR22" s="4">
        <f>ROUND((csv!$HG22/10+calc!FR$1),1)</f>
        <v>5.5</v>
      </c>
      <c r="FS22" s="4">
        <f>ROUND((csv!$HG22/10+calc!FS$1),1)</f>
        <v>5.6</v>
      </c>
      <c r="FT22" s="4">
        <f>ROUND((csv!$HG22/10+calc!FT$1),1)</f>
        <v>5.7</v>
      </c>
      <c r="FU22" s="4">
        <f>ROUND((csv!$HG22/10+calc!FU$1),1)</f>
        <v>5.8</v>
      </c>
      <c r="FV22" s="4">
        <f>ROUND((csv!$HG22/10+calc!FV$1),1)</f>
        <v>5.9</v>
      </c>
      <c r="FW22" s="4">
        <f>ROUND((csv!$HG22/10+calc!FW$1),1)</f>
        <v>6</v>
      </c>
      <c r="FX22" s="4">
        <f>ROUND((csv!$HG22/10+calc!FX$1),1)</f>
        <v>6.1</v>
      </c>
      <c r="FY22" s="4">
        <f>ROUND((csv!$HG22/10+calc!FY$1),1)</f>
        <v>6.2</v>
      </c>
      <c r="FZ22" s="4">
        <f>ROUND((csv!$HG22/10+calc!FZ$1),1)</f>
        <v>6.3</v>
      </c>
      <c r="GA22" s="4">
        <f>ROUND((csv!$HG22/10+calc!GA$1),1)</f>
        <v>6.4</v>
      </c>
      <c r="GB22" s="4">
        <f>ROUND((csv!$HG22/10+calc!GB$1),1)</f>
        <v>6.5</v>
      </c>
      <c r="GC22" s="4">
        <f>ROUND((csv!$HG22/10+calc!GC$1),1)</f>
        <v>6.6</v>
      </c>
      <c r="GD22" s="4">
        <f>ROUND((csv!$HG22/10+calc!GD$1),1)</f>
        <v>6.7</v>
      </c>
      <c r="GE22" s="4">
        <f>ROUND((csv!$HG22/10+calc!GE$1),1)</f>
        <v>6.8</v>
      </c>
      <c r="GF22" s="4">
        <f>ROUND((csv!$HG22/10+calc!GF$1),1)</f>
        <v>6.9</v>
      </c>
      <c r="GG22" s="4">
        <f>ROUND((csv!$HG22/10+calc!GG$1),1)</f>
        <v>7</v>
      </c>
      <c r="GH22" s="4">
        <f>ROUND((csv!$HG22/10+calc!GH$1),1)</f>
        <v>7.1</v>
      </c>
      <c r="GI22" s="4">
        <f>ROUND((csv!$HG22/10+calc!GI$1),1)</f>
        <v>7.2</v>
      </c>
      <c r="GJ22" s="4">
        <f>ROUND((csv!$HG22/10+calc!GJ$1),1)</f>
        <v>7.3</v>
      </c>
      <c r="GK22" s="4">
        <f>ROUND((csv!$HG22/10+calc!GK$1),1)</f>
        <v>7.4</v>
      </c>
      <c r="GL22" s="4">
        <f>ROUND((csv!$HG22/10+calc!GL$1),1)</f>
        <v>7.5</v>
      </c>
      <c r="GM22" s="4">
        <f>ROUND((csv!$HG22/10+calc!GM$1),1)</f>
        <v>7.6</v>
      </c>
      <c r="GN22" s="4">
        <f>ROUND((csv!$HG22/10+calc!GN$1),1)</f>
        <v>7.7</v>
      </c>
      <c r="GO22" s="4">
        <f>ROUND((csv!$HG22/10+calc!GO$1),1)</f>
        <v>7.8</v>
      </c>
      <c r="GP22" s="4">
        <f>ROUND((csv!$HG22/10+calc!GP$1),1)</f>
        <v>7.9</v>
      </c>
      <c r="GQ22" s="4">
        <f>ROUND((csv!$HG22/10+calc!GQ$1),1)</f>
        <v>8</v>
      </c>
      <c r="GR22" s="4">
        <f>ROUND((csv!$HG22/10+calc!GR$1),1)</f>
        <v>8.1</v>
      </c>
      <c r="GS22" s="4">
        <f>ROUND((csv!$HG22/10+calc!GS$1),1)</f>
        <v>8.1999999999999993</v>
      </c>
      <c r="GT22" s="4">
        <f>ROUND((csv!$HG22/10+calc!GT$1),1)</f>
        <v>8.3000000000000007</v>
      </c>
      <c r="GU22" s="4">
        <f>ROUND((csv!$HG22/10+calc!GU$1),1)</f>
        <v>8.4</v>
      </c>
      <c r="GV22" s="4">
        <f>ROUND((csv!$HG22/10+calc!GV$1),1)</f>
        <v>8.5</v>
      </c>
      <c r="GW22" s="4">
        <f>ROUND((csv!$HG22/10+calc!GW$1),1)</f>
        <v>8.6</v>
      </c>
      <c r="GX22" s="4">
        <f>ROUND((csv!$HG22/10+calc!GX$1),1)</f>
        <v>8.6999999999999993</v>
      </c>
      <c r="GY22" s="4">
        <f>ROUND((csv!$HG22/10+calc!GY$1),1)</f>
        <v>8.8000000000000007</v>
      </c>
      <c r="GZ22" s="4">
        <f>ROUND((csv!$HG22/10+calc!GZ$1),1)</f>
        <v>8.9</v>
      </c>
      <c r="HA22" s="4">
        <f>ROUND((csv!$HG22/10+calc!HA$1),1)</f>
        <v>9</v>
      </c>
      <c r="HB22" s="4">
        <f>ROUND((csv!$HG22/10+calc!HB$1),1)</f>
        <v>9.1</v>
      </c>
      <c r="HC22" s="4">
        <f>ROUND((csv!$HG22/10+calc!HC$1),1)</f>
        <v>9.1999999999999993</v>
      </c>
      <c r="HD22" s="4">
        <f>ROUND((csv!$HG22/10+calc!HD$1),1)</f>
        <v>9.3000000000000007</v>
      </c>
      <c r="HE22" s="4">
        <f>ROUND((csv!$HG22/10+calc!HE$1),1)</f>
        <v>9.4</v>
      </c>
      <c r="HF22" s="4">
        <f>ROUND((csv!$HG22/10+calc!HF$1),1)</f>
        <v>9.5</v>
      </c>
      <c r="HG22" s="4">
        <f>ROUND((csv!$HG22/10+calc!HG$1),1)</f>
        <v>9.6</v>
      </c>
      <c r="HH22" s="4">
        <f>ROUND((csv!$HG22/10+calc!HH$1),1)</f>
        <v>9.6999999999999993</v>
      </c>
      <c r="HI22" s="4">
        <f>ROUND((csv!$HG22/10+calc!HI$1),1)</f>
        <v>9.8000000000000007</v>
      </c>
      <c r="HJ22" s="4">
        <f>ROUND((csv!$HG22/10+calc!HJ$1),1)</f>
        <v>9.9</v>
      </c>
      <c r="HK22" s="4">
        <f>ROUND((csv!$HG22/10+calc!HK$1),1)</f>
        <v>10</v>
      </c>
      <c r="HM22" s="2">
        <f>csv!A22*10000+csv!B22*100+csv!C22</f>
        <v>0</v>
      </c>
      <c r="HN22" s="5">
        <f>IF(ISERROR(LOOKUP(HN$1,$S22:$HK22,csv!$L22:$HD22)),NA(),LOOKUP(HN$1,$S22:$HK22,csv!$L22:$HD22))</f>
        <v>0</v>
      </c>
      <c r="HO22" s="5">
        <f>IF(ISERROR(LOOKUP(HO$1,$S22:$HK22,csv!$L22:$HD22)),NA(),LOOKUP(HO$1,$S22:$HK22,csv!$L22:$HD22))</f>
        <v>0</v>
      </c>
      <c r="HP22" s="5">
        <f>IF(ISERROR(LOOKUP(HP$1,$S22:$HK22,csv!$L22:$HD22)),NA(),LOOKUP(HP$1,$S22:$HK22,csv!$L22:$HD22))</f>
        <v>0</v>
      </c>
      <c r="HQ22" s="5">
        <f>IF(ISERROR(LOOKUP(HQ$1,$S22:$HK22,csv!$L22:$HD22)),NA(),LOOKUP(HQ$1,$S22:$HK22,csv!$L22:$HD22))</f>
        <v>0</v>
      </c>
      <c r="HR22" s="5">
        <f>IF(ISERROR(LOOKUP(HR$1,$S22:$HK22,csv!$L22:$HD22)),NA(),LOOKUP(HR$1,$S22:$HK22,csv!$L22:$HD22))</f>
        <v>0</v>
      </c>
      <c r="HS22" s="5">
        <f>IF(ISERROR(LOOKUP(HS$1,$S22:$HK22,csv!$L22:$HD22)),NA(),LOOKUP(HS$1,$S22:$HK22,csv!$L22:$HD22))</f>
        <v>0</v>
      </c>
      <c r="HT22" s="5">
        <f>IF(ISERROR(LOOKUP(HT$1,$S22:$HK22,csv!$L22:$HD22)),NA(),LOOKUP(HT$1,$S22:$HK22,csv!$L22:$HD22))</f>
        <v>0</v>
      </c>
      <c r="HU22" s="5">
        <f>IF(ISERROR(LOOKUP(HU$1,$S22:$HK22,csv!$L22:$HD22)),NA(),LOOKUP(HU$1,$S22:$HK22,csv!$L22:$HD22))</f>
        <v>0</v>
      </c>
      <c r="HV22" s="5">
        <f>IF(ISERROR(LOOKUP(HV$1,$S22:$HK22,csv!$L22:$HD22)),NA(),LOOKUP(HV$1,$S22:$HK22,csv!$L22:$HD22))</f>
        <v>0</v>
      </c>
      <c r="HW22" s="5">
        <f>IF(ISERROR(LOOKUP(HW$1,$S22:$HK22,csv!$L22:$HD22)),NA(),LOOKUP(HW$1,$S22:$HK22,csv!$L22:$HD22))</f>
        <v>0</v>
      </c>
      <c r="HX22" s="5">
        <f>IF(ISERROR(LOOKUP(HX$1,$S22:$HK22,csv!$L22:$HD22)),NA(),LOOKUP(HX$1,$S22:$HK22,csv!$L22:$HD22))</f>
        <v>0</v>
      </c>
      <c r="HY22" s="5">
        <f>IF(ISERROR(LOOKUP(HY$1,$S22:$HK22,csv!$L22:$HD22)),NA(),LOOKUP(HY$1,$S22:$HK22,csv!$L22:$HD22))</f>
        <v>0</v>
      </c>
      <c r="HZ22" s="5">
        <f>IF(ISERROR(LOOKUP(HZ$1,$S22:$HK22,csv!$L22:$HD22)),NA(),LOOKUP(HZ$1,$S22:$HK22,csv!$L22:$HD22))</f>
        <v>0</v>
      </c>
      <c r="IA22" s="5">
        <f>IF(ISERROR(LOOKUP(IA$1,$S22:$HK22,csv!$L22:$HD22)),NA(),LOOKUP(IA$1,$S22:$HK22,csv!$L22:$HD22))</f>
        <v>0</v>
      </c>
      <c r="IB22" s="5">
        <f>IF(ISERROR(LOOKUP(IB$1,$S22:$HK22,csv!$L22:$HD22)),NA(),LOOKUP(IB$1,$S22:$HK22,csv!$L22:$HD22))</f>
        <v>0</v>
      </c>
      <c r="IC22" s="5">
        <f>IF(ISERROR(LOOKUP(IC$1,$S22:$HK22,csv!$L22:$HD22)),NA(),LOOKUP(IC$1,$S22:$HK22,csv!$L22:$HD22))</f>
        <v>0</v>
      </c>
      <c r="ID22" s="5">
        <f>IF(ISERROR(LOOKUP(ID$1,$S22:$HK22,csv!$L22:$HD22)),NA(),LOOKUP(ID$1,$S22:$HK22,csv!$L22:$HD22))</f>
        <v>0</v>
      </c>
      <c r="IE22" s="5">
        <f>IF(ISERROR(LOOKUP(IE$1,$S22:$HK22,csv!$L22:$HD22)),NA(),LOOKUP(IE$1,$S22:$HK22,csv!$L22:$HD22))</f>
        <v>0</v>
      </c>
      <c r="IF22" s="5">
        <f>IF(ISERROR(LOOKUP(IF$1,$S22:$HK22,csv!$L22:$HD22)),NA(),LOOKUP(IF$1,$S22:$HK22,csv!$L22:$HD22))</f>
        <v>0</v>
      </c>
      <c r="IG22" s="5">
        <f>IF(ISERROR(LOOKUP(IG$1,$S22:$HK22,csv!$L22:$HD22)),NA(),LOOKUP(IG$1,$S22:$HK22,csv!$L22:$HD22))</f>
        <v>0</v>
      </c>
      <c r="IH22" s="5">
        <f>IF(ISERROR(LOOKUP(IH$1,$S22:$HK22,csv!$L22:$HD22)),NA(),LOOKUP(IH$1,$S22:$HK22,csv!$L22:$HD22))</f>
        <v>0</v>
      </c>
      <c r="II22" s="5">
        <f>IF(ISERROR(LOOKUP(II$1,$S22:$HK22,csv!$L22:$HD22)),NA(),LOOKUP(II$1,$S22:$HK22,csv!$L22:$HD22))</f>
        <v>0</v>
      </c>
      <c r="IJ22" s="5">
        <f>IF(ISERROR(LOOKUP(IJ$1,$S22:$HK22,csv!$L22:$HD22)),NA(),LOOKUP(IJ$1,$S22:$HK22,csv!$L22:$HD22))</f>
        <v>0</v>
      </c>
      <c r="IK22" s="5">
        <f>IF(ISERROR(LOOKUP(IK$1,$S22:$HK22,csv!$L22:$HD22)),NA(),LOOKUP(IK$1,$S22:$HK22,csv!$L22:$HD22))</f>
        <v>0</v>
      </c>
      <c r="IL22" s="5">
        <f>IF(ISERROR(LOOKUP(IL$1,$S22:$HK22,csv!$L22:$HD22)),NA(),LOOKUP(IL$1,$S22:$HK22,csv!$L22:$HD22))</f>
        <v>0</v>
      </c>
      <c r="IM22" s="5">
        <f>IF(ISERROR(LOOKUP(IM$1,$S22:$HK22,csv!$L22:$HD22)),NA(),LOOKUP(IM$1,$S22:$HK22,csv!$L22:$HD22))</f>
        <v>0</v>
      </c>
      <c r="IN22" s="5">
        <f>IF(ISERROR(LOOKUP(IN$1,$S22:$HK22,csv!$L22:$HD22)),NA(),LOOKUP(IN$1,$S22:$HK22,csv!$L22:$HD22))</f>
        <v>0</v>
      </c>
      <c r="IO22" s="5">
        <f>IF(ISERROR(LOOKUP(IO$1,$S22:$HK22,csv!$L22:$HD22)),NA(),LOOKUP(IO$1,$S22:$HK22,csv!$L22:$HD22))</f>
        <v>0</v>
      </c>
      <c r="IP22" s="5">
        <f>IF(ISERROR(LOOKUP(IP$1,$S22:$HK22,csv!$L22:$HD22)),NA(),LOOKUP(IP$1,$S22:$HK22,csv!$L22:$HD22))</f>
        <v>0</v>
      </c>
      <c r="IQ22" s="5">
        <f>IF(ISERROR(LOOKUP(IQ$1,$S22:$HK22,csv!$L22:$HD22)),NA(),LOOKUP(IQ$1,$S22:$HK22,csv!$L22:$HD22))</f>
        <v>0</v>
      </c>
      <c r="IR22" s="5">
        <f>IF(ISERROR(LOOKUP(IR$1,$S22:$HK22,csv!$L22:$HD22)),NA(),LOOKUP(IR$1,$S22:$HK22,csv!$L22:$HD22))</f>
        <v>0</v>
      </c>
      <c r="IS22" s="5">
        <f>IF(ISERROR(LOOKUP(IS$1,$S22:$HK22,csv!$L22:$HD22)),NA(),LOOKUP(IS$1,$S22:$HK22,csv!$L22:$HD22))</f>
        <v>0</v>
      </c>
      <c r="IT22" s="5">
        <f>IF(ISERROR(LOOKUP(IT$1,$S22:$HK22,csv!$L22:$HD22)),NA(),LOOKUP(IT$1,$S22:$HK22,csv!$L22:$HD22))</f>
        <v>0</v>
      </c>
      <c r="IU22" s="5">
        <f>IF(ISERROR(LOOKUP(IU$1,$S22:$HK22,csv!$L22:$HD22)),NA(),LOOKUP(IU$1,$S22:$HK22,csv!$L22:$HD22))</f>
        <v>0</v>
      </c>
      <c r="IV22" s="5">
        <f>IF(ISERROR(LOOKUP(IV$1,$S22:$HK22,csv!$L22:$HD22)),NA(),LOOKUP(IV$1,$S22:$HK22,csv!$L22:$HD22))</f>
        <v>0</v>
      </c>
      <c r="IW22" s="5">
        <f>IF(ISERROR(LOOKUP(IW$1,$S22:$HK22,csv!$L22:$HD22)),NA(),LOOKUP(IW$1,$S22:$HK22,csv!$L22:$HD22))</f>
        <v>0</v>
      </c>
      <c r="IX22" s="5">
        <f>IF(ISERROR(LOOKUP(IX$1,$S22:$HK22,csv!$L22:$HD22)),NA(),LOOKUP(IX$1,$S22:$HK22,csv!$L22:$HD22))</f>
        <v>0</v>
      </c>
      <c r="IY22" s="5">
        <f>IF(ISERROR(LOOKUP(IY$1,$S22:$HK22,csv!$L22:$HD22)),NA(),LOOKUP(IY$1,$S22:$HK22,csv!$L22:$HD22))</f>
        <v>0</v>
      </c>
      <c r="IZ22" s="5">
        <f>IF(ISERROR(LOOKUP(IZ$1,$S22:$HK22,csv!$L22:$HD22)),NA(),LOOKUP(IZ$1,$S22:$HK22,csv!$L22:$HD22))</f>
        <v>0</v>
      </c>
      <c r="JA22" s="5">
        <f>IF(ISERROR(LOOKUP(JA$1,$S22:$HK22,csv!$L22:$HD22)),NA(),LOOKUP(JA$1,$S22:$HK22,csv!$L22:$HD22))</f>
        <v>0</v>
      </c>
      <c r="JB22" s="5">
        <f>IF(ISERROR(LOOKUP(JB$1,$S22:$HK22,csv!$L22:$HD22)),NA(),LOOKUP(JB$1,$S22:$HK22,csv!$L22:$HD22))</f>
        <v>0</v>
      </c>
      <c r="JC22" s="5">
        <f>IF(ISERROR(LOOKUP(JC$1,$S22:$HK22,csv!$L22:$HD22)),NA(),LOOKUP(JC$1,$S22:$HK22,csv!$L22:$HD22))</f>
        <v>0</v>
      </c>
      <c r="JD22" s="5">
        <f>IF(ISERROR(LOOKUP(JD$1,$S22:$HK22,csv!$L22:$HD22)),NA(),LOOKUP(JD$1,$S22:$HK22,csv!$L22:$HD22))</f>
        <v>0</v>
      </c>
      <c r="JE22" s="5">
        <f>IF(ISERROR(LOOKUP(JE$1,$S22:$HK22,csv!$L22:$HD22)),NA(),LOOKUP(JE$1,$S22:$HK22,csv!$L22:$HD22))</f>
        <v>0</v>
      </c>
      <c r="JF22" s="5">
        <f>IF(ISERROR(LOOKUP(JF$1,$S22:$HK22,csv!$L22:$HD22)),NA(),LOOKUP(JF$1,$S22:$HK22,csv!$L22:$HD22))</f>
        <v>0</v>
      </c>
      <c r="JG22" s="5">
        <f>IF(ISERROR(LOOKUP(JG$1,$S22:$HK22,csv!$L22:$HD22)),NA(),LOOKUP(JG$1,$S22:$HK22,csv!$L22:$HD22))</f>
        <v>0</v>
      </c>
      <c r="JH22" s="5">
        <f>IF(ISERROR(LOOKUP(JH$1,$S22:$HK22,csv!$L22:$HD22)),NA(),LOOKUP(JH$1,$S22:$HK22,csv!$L22:$HD22))</f>
        <v>0</v>
      </c>
      <c r="JI22" s="5">
        <f>IF(ISERROR(LOOKUP(JI$1,$S22:$HK22,csv!$L22:$HD22)),NA(),LOOKUP(JI$1,$S22:$HK22,csv!$L22:$HD22))</f>
        <v>0</v>
      </c>
      <c r="JJ22" s="5">
        <f>IF(ISERROR(LOOKUP(JJ$1,$S22:$HK22,csv!$L22:$HD22)),NA(),LOOKUP(JJ$1,$S22:$HK22,csv!$L22:$HD22))</f>
        <v>0</v>
      </c>
      <c r="JK22" s="5">
        <f>IF(ISERROR(LOOKUP(JK$1,$S22:$HK22,csv!$L22:$HD22)),NA(),LOOKUP(JK$1,$S22:$HK22,csv!$L22:$HD22))</f>
        <v>0</v>
      </c>
      <c r="JL22" s="5">
        <f>IF(ISERROR(LOOKUP(JL$1,$S22:$HK22,csv!$L22:$HD22)),NA(),LOOKUP(JL$1,$S22:$HK22,csv!$L22:$HD22))</f>
        <v>0</v>
      </c>
      <c r="JM22" s="5">
        <f>IF(ISERROR(LOOKUP(JM$1,$S22:$HK22,csv!$L22:$HD22)),NA(),LOOKUP(JM$1,$S22:$HK22,csv!$L22:$HD22))</f>
        <v>0</v>
      </c>
      <c r="JN22" s="5">
        <f>IF(ISERROR(LOOKUP(JN$1,$S22:$HK22,csv!$L22:$HD22)),NA(),LOOKUP(JN$1,$S22:$HK22,csv!$L22:$HD22))</f>
        <v>0</v>
      </c>
      <c r="JO22" s="5">
        <f>IF(ISERROR(LOOKUP(JO$1,$S22:$HK22,csv!$L22:$HD22)),NA(),LOOKUP(JO$1,$S22:$HK22,csv!$L22:$HD22))</f>
        <v>0</v>
      </c>
      <c r="JP22" s="5">
        <f>IF(ISERROR(LOOKUP(JP$1,$S22:$HK22,csv!$L22:$HD22)),NA(),LOOKUP(JP$1,$S22:$HK22,csv!$L22:$HD22))</f>
        <v>0</v>
      </c>
      <c r="JQ22" s="5">
        <f>IF(ISERROR(LOOKUP(JQ$1,$S22:$HK22,csv!$L22:$HD22)),NA(),LOOKUP(JQ$1,$S22:$HK22,csv!$L22:$HD22))</f>
        <v>0</v>
      </c>
      <c r="JR22" s="5">
        <f>IF(ISERROR(LOOKUP(JR$1,$S22:$HK22,csv!$L22:$HD22)),NA(),LOOKUP(JR$1,$S22:$HK22,csv!$L22:$HD22))</f>
        <v>0</v>
      </c>
      <c r="JS22" s="5">
        <f>IF(ISERROR(LOOKUP(JS$1,$S22:$HK22,csv!$L22:$HD22)),NA(),LOOKUP(JS$1,$S22:$HK22,csv!$L22:$HD22))</f>
        <v>0</v>
      </c>
      <c r="JT22" s="5">
        <f>IF(ISERROR(LOOKUP(JT$1,$S22:$HK22,csv!$L22:$HD22)),NA(),LOOKUP(JT$1,$S22:$HK22,csv!$L22:$HD22))</f>
        <v>0</v>
      </c>
      <c r="JU22" s="5">
        <f>IF(ISERROR(LOOKUP(JU$1,$S22:$HK22,csv!$L22:$HD22)),NA(),LOOKUP(JU$1,$S22:$HK22,csv!$L22:$HD22))</f>
        <v>0</v>
      </c>
      <c r="JV22" s="5">
        <f>IF(ISERROR(LOOKUP(JV$1,$S22:$HK22,csv!$L22:$HD22)),NA(),LOOKUP(JV$1,$S22:$HK22,csv!$L22:$HD22))</f>
        <v>0</v>
      </c>
      <c r="JW22" s="5">
        <f>IF(ISERROR(LOOKUP(JW$1,$S22:$HK22,csv!$L22:$HD22)),NA(),LOOKUP(JW$1,$S22:$HK22,csv!$L22:$HD22))</f>
        <v>0</v>
      </c>
      <c r="JX22" s="5">
        <f>IF(ISERROR(LOOKUP(JX$1,$S22:$HK22,csv!$L22:$HD22)),NA(),LOOKUP(JX$1,$S22:$HK22,csv!$L22:$HD22))</f>
        <v>0</v>
      </c>
      <c r="JY22" s="5">
        <f>IF(ISERROR(LOOKUP(JY$1,$S22:$HK22,csv!$L22:$HD22)),NA(),LOOKUP(JY$1,$S22:$HK22,csv!$L22:$HD22))</f>
        <v>0</v>
      </c>
      <c r="JZ22" s="5">
        <f>IF(ISERROR(LOOKUP(JZ$1,$S22:$HK22,csv!$L22:$HD22)),NA(),LOOKUP(JZ$1,$S22:$HK22,csv!$L22:$HD22))</f>
        <v>0</v>
      </c>
      <c r="KA22" s="5">
        <f>IF(ISERROR(LOOKUP(KA$1,$S22:$HK22,csv!$L22:$HD22)),NA(),LOOKUP(KA$1,$S22:$HK22,csv!$L22:$HD22))</f>
        <v>0</v>
      </c>
      <c r="KB22" s="5">
        <f>IF(ISERROR(LOOKUP(KB$1,$S22:$HK22,csv!$L22:$HD22)),NA(),LOOKUP(KB$1,$S22:$HK22,csv!$L22:$HD22))</f>
        <v>0</v>
      </c>
      <c r="KC22" s="5">
        <f>IF(ISERROR(LOOKUP(KC$1,$S22:$HK22,csv!$L22:$HD22)),NA(),LOOKUP(KC$1,$S22:$HK22,csv!$L22:$HD22))</f>
        <v>0</v>
      </c>
      <c r="KD22" s="5">
        <f>IF(ISERROR(LOOKUP(KD$1,$S22:$HK22,csv!$L22:$HD22)),NA(),LOOKUP(KD$1,$S22:$HK22,csv!$L22:$HD22))</f>
        <v>0</v>
      </c>
      <c r="KE22" s="5">
        <f>IF(ISERROR(LOOKUP(KE$1,$S22:$HK22,csv!$L22:$HD22)),NA(),LOOKUP(KE$1,$S22:$HK22,csv!$L22:$HD22))</f>
        <v>0</v>
      </c>
      <c r="KF22" s="5">
        <f>IF(ISERROR(LOOKUP(KF$1,$S22:$HK22,csv!$L22:$HD22)),NA(),LOOKUP(KF$1,$S22:$HK22,csv!$L22:$HD22))</f>
        <v>0</v>
      </c>
      <c r="KG22" s="5">
        <f>IF(ISERROR(LOOKUP(KG$1,$S22:$HK22,csv!$L22:$HD22)),NA(),LOOKUP(KG$1,$S22:$HK22,csv!$L22:$HD22))</f>
        <v>0</v>
      </c>
      <c r="KH22" s="5">
        <f>IF(ISERROR(LOOKUP(KH$1,$S22:$HK22,csv!$L22:$HD22)),NA(),LOOKUP(KH$1,$S22:$HK22,csv!$L22:$HD22))</f>
        <v>0</v>
      </c>
      <c r="KI22" s="5">
        <f>IF(ISERROR(LOOKUP(KI$1,$S22:$HK22,csv!$L22:$HD22)),NA(),LOOKUP(KI$1,$S22:$HK22,csv!$L22:$HD22))</f>
        <v>0</v>
      </c>
      <c r="KJ22" s="5">
        <f>IF(ISERROR(LOOKUP(KJ$1,$S22:$HK22,csv!$L22:$HD22)),NA(),LOOKUP(KJ$1,$S22:$HK22,csv!$L22:$HD22))</f>
        <v>0</v>
      </c>
      <c r="KK22" s="5">
        <f>IF(ISERROR(LOOKUP(KK$1,$S22:$HK22,csv!$L22:$HD22)),NA(),LOOKUP(KK$1,$S22:$HK22,csv!$L22:$HD22))</f>
        <v>0</v>
      </c>
      <c r="KL22" s="5">
        <f>IF(ISERROR(LOOKUP(KL$1,$S22:$HK22,csv!$L22:$HD22)),NA(),LOOKUP(KL$1,$S22:$HK22,csv!$L22:$HD22))</f>
        <v>0</v>
      </c>
      <c r="KM22" s="5">
        <f>IF(ISERROR(LOOKUP(KM$1,$S22:$HK22,csv!$L22:$HD22)),NA(),LOOKUP(KM$1,$S22:$HK22,csv!$L22:$HD22))</f>
        <v>0</v>
      </c>
      <c r="KN22" s="5">
        <f>IF(ISERROR(LOOKUP(KN$1,$S22:$HK22,csv!$L22:$HD22)),NA(),LOOKUP(KN$1,$S22:$HK22,csv!$L22:$HD22))</f>
        <v>0</v>
      </c>
      <c r="KO22" s="5">
        <f>IF(ISERROR(LOOKUP(KO$1,$S22:$HK22,csv!$L22:$HD22)),NA(),LOOKUP(KO$1,$S22:$HK22,csv!$L22:$HD22))</f>
        <v>0</v>
      </c>
      <c r="KP22" s="5">
        <f>IF(ISERROR(LOOKUP(KP$1,$S22:$HK22,csv!$L22:$HD22)),NA(),LOOKUP(KP$1,$S22:$HK22,csv!$L22:$HD22))</f>
        <v>0</v>
      </c>
      <c r="KQ22" s="5">
        <f>IF(ISERROR(LOOKUP(KQ$1,$S22:$HK22,csv!$L22:$HD22)),NA(),LOOKUP(KQ$1,$S22:$HK22,csv!$L22:$HD22))</f>
        <v>0</v>
      </c>
      <c r="KR22" s="5">
        <f>IF(ISERROR(LOOKUP(KR$1,$S22:$HK22,csv!$L22:$HD22)),NA(),LOOKUP(KR$1,$S22:$HK22,csv!$L22:$HD22))</f>
        <v>0</v>
      </c>
      <c r="KS22" s="5">
        <f>IF(ISERROR(LOOKUP(KS$1,$S22:$HK22,csv!$L22:$HD22)),NA(),LOOKUP(KS$1,$S22:$HK22,csv!$L22:$HD22))</f>
        <v>0</v>
      </c>
      <c r="KT22" s="5">
        <f>IF(ISERROR(LOOKUP(KT$1,$S22:$HK22,csv!$L22:$HD22)),NA(),LOOKUP(KT$1,$S22:$HK22,csv!$L22:$HD22))</f>
        <v>0</v>
      </c>
      <c r="KU22" s="5">
        <f>IF(ISERROR(LOOKUP(KU$1,$S22:$HK22,csv!$L22:$HD22)),NA(),LOOKUP(KU$1,$S22:$HK22,csv!$L22:$HD22))</f>
        <v>0</v>
      </c>
      <c r="KV22" s="5">
        <f>IF(ISERROR(LOOKUP(KV$1,$S22:$HK22,csv!$L22:$HD22)),NA(),LOOKUP(KV$1,$S22:$HK22,csv!$L22:$HD22))</f>
        <v>0</v>
      </c>
      <c r="KW22" s="5">
        <f>IF(ISERROR(LOOKUP(KW$1,$S22:$HK22,csv!$L22:$HD22)),NA(),LOOKUP(KW$1,$S22:$HK22,csv!$L22:$HD22))</f>
        <v>0</v>
      </c>
      <c r="KX22" s="5">
        <f>IF(ISERROR(LOOKUP(KX$1,$S22:$HK22,csv!$L22:$HD22)),NA(),LOOKUP(KX$1,$S22:$HK22,csv!$L22:$HD22))</f>
        <v>0</v>
      </c>
      <c r="KY22" s="5">
        <f>IF(ISERROR(LOOKUP(KY$1,$S22:$HK22,csv!$L22:$HD22)),NA(),LOOKUP(KY$1,$S22:$HK22,csv!$L22:$HD22))</f>
        <v>0</v>
      </c>
      <c r="KZ22" s="5">
        <f>IF(ISERROR(LOOKUP(KZ$1,$S22:$HK22,csv!$L22:$HD22)),NA(),LOOKUP(KZ$1,$S22:$HK22,csv!$L22:$HD22))</f>
        <v>0</v>
      </c>
      <c r="LA22" s="5">
        <f>IF(ISERROR(LOOKUP(LA$1,$S22:$HK22,csv!$L22:$HD22)),NA(),LOOKUP(LA$1,$S22:$HK22,csv!$L22:$HD22))</f>
        <v>0</v>
      </c>
      <c r="LB22" s="5">
        <f>IF(ISERROR(LOOKUP(LB$1,$S22:$HK22,csv!$L22:$HD22)),NA(),LOOKUP(LB$1,$S22:$HK22,csv!$L22:$HD22))</f>
        <v>0</v>
      </c>
      <c r="LC22" s="5">
        <f>IF(ISERROR(LOOKUP(LC$1,$S22:$HK22,csv!$L22:$HD22)),NA(),LOOKUP(LC$1,$S22:$HK22,csv!$L22:$HD22))</f>
        <v>0</v>
      </c>
      <c r="LD22" s="5">
        <f>IF(ISERROR(LOOKUP(LD$1,$S22:$HK22,csv!$L22:$HD22)),NA(),LOOKUP(LD$1,$S22:$HK22,csv!$L22:$HD22))</f>
        <v>0</v>
      </c>
      <c r="LE22" s="5">
        <f>IF(ISERROR(LOOKUP(LE$1,$S22:$HK22,csv!$L22:$HD22)),NA(),LOOKUP(LE$1,$S22:$HK22,csv!$L22:$HD22))</f>
        <v>0</v>
      </c>
      <c r="LF22" s="5">
        <f>IF(ISERROR(LOOKUP(LF$1,$S22:$HK22,csv!$L22:$HD22)),NA(),LOOKUP(LF$1,$S22:$HK22,csv!$L22:$HD22))</f>
        <v>0</v>
      </c>
      <c r="LG22" s="5">
        <f>IF(ISERROR(LOOKUP(LG$1,$S22:$HK22,csv!$L22:$HD22)),NA(),LOOKUP(LG$1,$S22:$HK22,csv!$L22:$HD22))</f>
        <v>0</v>
      </c>
      <c r="LH22" s="5">
        <f>IF(ISERROR(LOOKUP(LH$1,$S22:$HK22,csv!$L22:$HD22)),NA(),LOOKUP(LH$1,$S22:$HK22,csv!$L22:$HD22))</f>
        <v>0</v>
      </c>
      <c r="LI22" s="5">
        <f>IF(ISERROR(LOOKUP(LI$1,$S22:$HK22,csv!$L22:$HD22)),NA(),LOOKUP(LI$1,$S22:$HK22,csv!$L22:$HD22))</f>
        <v>0</v>
      </c>
      <c r="LJ22" s="5">
        <f>IF(ISERROR(LOOKUP(LJ$1,$S22:$HK22,csv!$L22:$HD22)),NA(),LOOKUP(LJ$1,$S22:$HK22,csv!$L22:$HD22))</f>
        <v>0</v>
      </c>
      <c r="LK22" s="5">
        <f>IF(ISERROR(LOOKUP(LK$1,$S22:$HK22,csv!$L22:$HD22)),NA(),LOOKUP(LK$1,$S22:$HK22,csv!$L22:$HD22))</f>
        <v>0</v>
      </c>
      <c r="LL22" s="5">
        <f>IF(ISERROR(LOOKUP(LL$1,$S22:$HK22,csv!$L22:$HD22)),NA(),LOOKUP(LL$1,$S22:$HK22,csv!$L22:$HD22))</f>
        <v>0</v>
      </c>
      <c r="LM22" s="5">
        <f>IF(ISERROR(LOOKUP(LM$1,$S22:$HK22,csv!$L22:$HD22)),NA(),LOOKUP(LM$1,$S22:$HK22,csv!$L22:$HD22))</f>
        <v>0</v>
      </c>
      <c r="LN22" s="5">
        <f>IF(ISERROR(LOOKUP(LN$1,$S22:$HK22,csv!$L22:$HD22)),NA(),LOOKUP(LN$1,$S22:$HK22,csv!$L22:$HD22))</f>
        <v>0</v>
      </c>
      <c r="LO22" s="5">
        <f>IF(ISERROR(LOOKUP(LO$1,$S22:$HK22,csv!$L22:$HD22)),NA(),LOOKUP(LO$1,$S22:$HK22,csv!$L22:$HD22))</f>
        <v>0</v>
      </c>
      <c r="LP22" s="5">
        <f>IF(ISERROR(LOOKUP(LP$1,$S22:$HK22,csv!$L22:$HD22)),NA(),LOOKUP(LP$1,$S22:$HK22,csv!$L22:$HD22))</f>
        <v>0</v>
      </c>
      <c r="LQ22" s="5">
        <f>IF(ISERROR(LOOKUP(LQ$1,$S22:$HK22,csv!$L22:$HD22)),NA(),LOOKUP(LQ$1,$S22:$HK22,csv!$L22:$HD22))</f>
        <v>0</v>
      </c>
      <c r="LR22" s="5">
        <f>IF(ISERROR(LOOKUP(LR$1,$S22:$HK22,csv!$L22:$HD22)),NA(),LOOKUP(LR$1,$S22:$HK22,csv!$L22:$HD22))</f>
        <v>0</v>
      </c>
      <c r="LS22" s="5">
        <f>IF(ISERROR(LOOKUP(LS$1,$S22:$HK22,csv!$L22:$HD22)),NA(),LOOKUP(LS$1,$S22:$HK22,csv!$L22:$HD22))</f>
        <v>0</v>
      </c>
      <c r="LT22" s="5">
        <f>IF(ISERROR(LOOKUP(LT$1,$S22:$HK22,csv!$L22:$HD22)),NA(),LOOKUP(LT$1,$S22:$HK22,csv!$L22:$HD22))</f>
        <v>0</v>
      </c>
      <c r="LU22" s="5">
        <f>IF(ISERROR(LOOKUP(LU$1,$S22:$HK22,csv!$L22:$HD22)),NA(),LOOKUP(LU$1,$S22:$HK22,csv!$L22:$HD22))</f>
        <v>0</v>
      </c>
      <c r="LV22" s="5">
        <f>IF(ISERROR(LOOKUP(LV$1,$S22:$HK22,csv!$L22:$HD22)),NA(),LOOKUP(LV$1,$S22:$HK22,csv!$L22:$HD22))</f>
        <v>0</v>
      </c>
      <c r="LW22" s="5">
        <f>IF(ISERROR(LOOKUP(LW$1,$S22:$HK22,csv!$L22:$HD22)),NA(),LOOKUP(LW$1,$S22:$HK22,csv!$L22:$HD22))</f>
        <v>0</v>
      </c>
      <c r="LX22" s="5">
        <f>IF(ISERROR(LOOKUP(LX$1,$S22:$HK22,csv!$L22:$HD22)),NA(),LOOKUP(LX$1,$S22:$HK22,csv!$L22:$HD22))</f>
        <v>0</v>
      </c>
      <c r="LY22" s="5">
        <f>IF(ISERROR(LOOKUP(LY$1,$S22:$HK22,csv!$L22:$HD22)),NA(),LOOKUP(LY$1,$S22:$HK22,csv!$L22:$HD22))</f>
        <v>0</v>
      </c>
      <c r="LZ22" s="5">
        <f>IF(ISERROR(LOOKUP(LZ$1,$S22:$HK22,csv!$L22:$HD22)),NA(),LOOKUP(LZ$1,$S22:$HK22,csv!$L22:$HD22))</f>
        <v>0</v>
      </c>
      <c r="MA22" s="5">
        <f>IF(ISERROR(LOOKUP(MA$1,$S22:$HK22,csv!$L22:$HD22)),NA(),LOOKUP(MA$1,$S22:$HK22,csv!$L22:$HD22))</f>
        <v>0</v>
      </c>
      <c r="MB22" s="5">
        <f>IF(ISERROR(LOOKUP(MB$1,$S22:$HK22,csv!$L22:$HD22)),NA(),LOOKUP(MB$1,$S22:$HK22,csv!$L22:$HD22))</f>
        <v>0</v>
      </c>
      <c r="MC22" s="5">
        <f>IF(ISERROR(LOOKUP(MC$1,$S22:$HK22,csv!$L22:$HD22)),NA(),LOOKUP(MC$1,$S22:$HK22,csv!$L22:$HD22))</f>
        <v>0</v>
      </c>
      <c r="MD22" s="5">
        <f>IF(ISERROR(LOOKUP(MD$1,$S22:$HK22,csv!$L22:$HD22)),NA(),LOOKUP(MD$1,$S22:$HK22,csv!$L22:$HD22))</f>
        <v>0</v>
      </c>
      <c r="ME22" s="5">
        <f>IF(ISERROR(LOOKUP(ME$1,$S22:$HK22,csv!$L22:$HD22)),NA(),LOOKUP(ME$1,$S22:$HK22,csv!$L22:$HD22))</f>
        <v>0</v>
      </c>
      <c r="MF22" s="5">
        <f>IF(ISERROR(LOOKUP(MF$1,$S22:$HK22,csv!$L22:$HD22)),NA(),LOOKUP(MF$1,$S22:$HK22,csv!$L22:$HD22))</f>
        <v>0</v>
      </c>
      <c r="MG22" s="5">
        <f>IF(ISERROR(LOOKUP(MG$1,$S22:$HK22,csv!$L22:$HD22)),NA(),LOOKUP(MG$1,$S22:$HK22,csv!$L22:$HD22))</f>
        <v>0</v>
      </c>
      <c r="MH22" s="5">
        <f>IF(ISERROR(LOOKUP(MH$1,$S22:$HK22,csv!$L22:$HD22)),NA(),LOOKUP(MH$1,$S22:$HK22,csv!$L22:$HD22))</f>
        <v>0</v>
      </c>
      <c r="MI22" s="5">
        <f>IF(ISERROR(LOOKUP(MI$1,$S22:$HK22,csv!$L22:$HD22)),NA(),LOOKUP(MI$1,$S22:$HK22,csv!$L22:$HD22))</f>
        <v>0</v>
      </c>
      <c r="MJ22" s="5">
        <f>IF(ISERROR(LOOKUP(MJ$1,$S22:$HK22,csv!$L22:$HD22)),NA(),LOOKUP(MJ$1,$S22:$HK22,csv!$L22:$HD22))</f>
        <v>0</v>
      </c>
      <c r="MK22" s="5">
        <f>IF(ISERROR(LOOKUP(MK$1,$S22:$HK22,csv!$L22:$HD22)),NA(),LOOKUP(MK$1,$S22:$HK22,csv!$L22:$HD22))</f>
        <v>0</v>
      </c>
      <c r="ML22" s="5">
        <f>IF(ISERROR(LOOKUP(ML$1,$S22:$HK22,csv!$L22:$HD22)),NA(),LOOKUP(ML$1,$S22:$HK22,csv!$L22:$HD22))</f>
        <v>0</v>
      </c>
      <c r="MM22" s="5">
        <f>IF(ISERROR(LOOKUP(MM$1,$S22:$HK22,csv!$L22:$HD22)),NA(),LOOKUP(MM$1,$S22:$HK22,csv!$L22:$HD22))</f>
        <v>0</v>
      </c>
      <c r="MN22" s="5">
        <f>IF(ISERROR(LOOKUP(MN$1,$S22:$HK22,csv!$L22:$HD22)),NA(),LOOKUP(MN$1,$S22:$HK22,csv!$L22:$HD22))</f>
        <v>0</v>
      </c>
      <c r="MO22" s="5">
        <f>IF(ISERROR(LOOKUP(MO$1,$S22:$HK22,csv!$L22:$HD22)),NA(),LOOKUP(MO$1,$S22:$HK22,csv!$L22:$HD22))</f>
        <v>0</v>
      </c>
      <c r="MP22" s="5">
        <f>IF(ISERROR(LOOKUP(MP$1,$S22:$HK22,csv!$L22:$HD22)),NA(),LOOKUP(MP$1,$S22:$HK22,csv!$L22:$HD22))</f>
        <v>0</v>
      </c>
      <c r="MQ22" s="5">
        <f>IF(ISERROR(LOOKUP(MQ$1,$S22:$HK22,csv!$L22:$HD22)),NA(),LOOKUP(MQ$1,$S22:$HK22,csv!$L22:$HD22))</f>
        <v>0</v>
      </c>
      <c r="MR22" s="5">
        <f>IF(ISERROR(LOOKUP(MR$1,$S22:$HK22,csv!$L22:$HD22)),NA(),LOOKUP(MR$1,$S22:$HK22,csv!$L22:$HD22))</f>
        <v>0</v>
      </c>
      <c r="MS22" s="5">
        <f>IF(ISERROR(LOOKUP(MS$1,$S22:$HK22,csv!$L22:$HD22)),NA(),LOOKUP(MS$1,$S22:$HK22,csv!$L22:$HD22))</f>
        <v>0</v>
      </c>
      <c r="MT22" s="5">
        <f>IF(ISERROR(LOOKUP(MT$1,$S22:$HK22,csv!$L22:$HD22)),NA(),LOOKUP(MT$1,$S22:$HK22,csv!$L22:$HD22))</f>
        <v>0</v>
      </c>
      <c r="MU22" s="5">
        <f>IF(ISERROR(LOOKUP(MU$1,$S22:$HK22,csv!$L22:$HD22)),NA(),LOOKUP(MU$1,$S22:$HK22,csv!$L22:$HD22))</f>
        <v>0</v>
      </c>
      <c r="MV22" s="5">
        <f>IF(ISERROR(LOOKUP(MV$1,$S22:$HK22,csv!$L22:$HD22)),NA(),LOOKUP(MV$1,$S22:$HK22,csv!$L22:$HD22))</f>
        <v>0</v>
      </c>
      <c r="MW22" s="5">
        <f>IF(ISERROR(LOOKUP(MW$1,$S22:$HK22,csv!$L22:$HD22)),NA(),LOOKUP(MW$1,$S22:$HK22,csv!$L22:$HD22))</f>
        <v>0</v>
      </c>
      <c r="MX22" s="5">
        <f>IF(ISERROR(LOOKUP(MX$1,$S22:$HK22,csv!$L22:$HD22)),NA(),LOOKUP(MX$1,$S22:$HK22,csv!$L22:$HD22))</f>
        <v>0</v>
      </c>
      <c r="MY22" s="5">
        <f>IF(ISERROR(LOOKUP(MY$1,$S22:$HK22,csv!$L22:$HD22)),NA(),LOOKUP(MY$1,$S22:$HK22,csv!$L22:$HD22))</f>
        <v>0</v>
      </c>
      <c r="MZ22" s="5">
        <f>IF(ISERROR(LOOKUP(MZ$1,$S22:$HK22,csv!$L22:$HD22)),NA(),LOOKUP(MZ$1,$S22:$HK22,csv!$L22:$HD22))</f>
        <v>0</v>
      </c>
      <c r="NA22" s="5">
        <f>IF(ISERROR(LOOKUP(NA$1,$S22:$HK22,csv!$L22:$HD22)),NA(),LOOKUP(NA$1,$S22:$HK22,csv!$L22:$HD22))</f>
        <v>0</v>
      </c>
      <c r="NB22" s="5">
        <f>IF(ISERROR(LOOKUP(NB$1,$S22:$HK22,csv!$L22:$HD22)),NA(),LOOKUP(NB$1,$S22:$HK22,csv!$L22:$HD22))</f>
        <v>0</v>
      </c>
      <c r="NC22" s="5">
        <f>IF(ISERROR(LOOKUP(NC$1,$S22:$HK22,csv!$L22:$HD22)),NA(),LOOKUP(NC$1,$S22:$HK22,csv!$L22:$HD22))</f>
        <v>0</v>
      </c>
      <c r="ND22" s="5">
        <f>IF(ISERROR(LOOKUP(ND$1,$S22:$HK22,csv!$L22:$HD22)),NA(),LOOKUP(ND$1,$S22:$HK22,csv!$L22:$HD22))</f>
        <v>0</v>
      </c>
      <c r="NE22" s="5">
        <f>IF(ISERROR(LOOKUP(NE$1,$S22:$HK22,csv!$L22:$HD22)),NA(),LOOKUP(NE$1,$S22:$HK22,csv!$L22:$HD22))</f>
        <v>0</v>
      </c>
      <c r="NF22" s="5">
        <f>IF(ISERROR(LOOKUP(NF$1,$S22:$HK22,csv!$L22:$HD22)),NA(),LOOKUP(NF$1,$S22:$HK22,csv!$L22:$HD22))</f>
        <v>0</v>
      </c>
      <c r="NG22" s="5">
        <f>IF(ISERROR(LOOKUP(NG$1,$S22:$HK22,csv!$L22:$HD22)),NA(),LOOKUP(NG$1,$S22:$HK22,csv!$L22:$HD22))</f>
        <v>0</v>
      </c>
      <c r="NH22" s="5">
        <f>IF(ISERROR(LOOKUP(NH$1,$S22:$HK22,csv!$L22:$HD22)),NA(),LOOKUP(NH$1,$S22:$HK22,csv!$L22:$HD22))</f>
        <v>0</v>
      </c>
      <c r="NI22" s="5">
        <f>IF(ISERROR(LOOKUP(NI$1,$S22:$HK22,csv!$L22:$HD22)),NA(),LOOKUP(NI$1,$S22:$HK22,csv!$L22:$HD22))</f>
        <v>0</v>
      </c>
      <c r="NJ22" s="5">
        <f>IF(ISERROR(LOOKUP(NJ$1,$S22:$HK22,csv!$L22:$HD22)),NA(),LOOKUP(NJ$1,$S22:$HK22,csv!$L22:$HD22))</f>
        <v>0</v>
      </c>
      <c r="NK22" s="5">
        <f>IF(ISERROR(LOOKUP(NK$1,$S22:$HK22,csv!$L22:$HD22)),NA(),LOOKUP(NK$1,$S22:$HK22,csv!$L22:$HD22))</f>
        <v>0</v>
      </c>
      <c r="NL22" s="5">
        <f>IF(ISERROR(LOOKUP(NL$1,$S22:$HK22,csv!$L22:$HD22)),NA(),LOOKUP(NL$1,$S22:$HK22,csv!$L22:$HD22))</f>
        <v>0</v>
      </c>
      <c r="NM22" s="5">
        <f>IF(ISERROR(LOOKUP(NM$1,$S22:$HK22,csv!$L22:$HD22)),NA(),LOOKUP(NM$1,$S22:$HK22,csv!$L22:$HD22))</f>
        <v>0</v>
      </c>
      <c r="NN22" s="5">
        <f>IF(ISERROR(LOOKUP(NN$1,$S22:$HK22,csv!$L22:$HD22)),NA(),LOOKUP(NN$1,$S22:$HK22,csv!$L22:$HD22))</f>
        <v>0</v>
      </c>
      <c r="NO22" s="5">
        <f>IF(ISERROR(LOOKUP(NO$1,$S22:$HK22,csv!$L22:$HD22)),NA(),LOOKUP(NO$1,$S22:$HK22,csv!$L22:$HD22))</f>
        <v>0</v>
      </c>
      <c r="NP22" s="5">
        <f>IF(ISERROR(LOOKUP(NP$1,$S22:$HK22,csv!$L22:$HD22)),NA(),LOOKUP(NP$1,$S22:$HK22,csv!$L22:$HD22))</f>
        <v>0</v>
      </c>
      <c r="NQ22" s="5">
        <f>IF(ISERROR(LOOKUP(NQ$1,$S22:$HK22,csv!$L22:$HD22)),NA(),LOOKUP(NQ$1,$S22:$HK22,csv!$L22:$HD22))</f>
        <v>0</v>
      </c>
      <c r="NR22" s="5">
        <f>IF(ISERROR(LOOKUP(NR$1,$S22:$HK22,csv!$L22:$HD22)),NA(),LOOKUP(NR$1,$S22:$HK22,csv!$L22:$HD22))</f>
        <v>0</v>
      </c>
      <c r="NS22" s="5">
        <f>IF(ISERROR(LOOKUP(NS$1,$S22:$HK22,csv!$L22:$HD22)),NA(),LOOKUP(NS$1,$S22:$HK22,csv!$L22:$HD22))</f>
        <v>0</v>
      </c>
      <c r="NT22" s="5">
        <f>IF(ISERROR(LOOKUP(NT$1,$S22:$HK22,csv!$L22:$HD22)),NA(),LOOKUP(NT$1,$S22:$HK22,csv!$L22:$HD22))</f>
        <v>0</v>
      </c>
      <c r="NU22" s="5">
        <f>IF(ISERROR(LOOKUP(NU$1,$S22:$HK22,csv!$L22:$HD22)),NA(),LOOKUP(NU$1,$S22:$HK22,csv!$L22:$HD22))</f>
        <v>0</v>
      </c>
      <c r="NV22" s="5">
        <f>IF(ISERROR(LOOKUP(NV$1,$S22:$HK22,csv!$L22:$HD22)),NA(),LOOKUP(NV$1,$S22:$HK22,csv!$L22:$HD22))</f>
        <v>0</v>
      </c>
      <c r="NW22" s="5">
        <f>IF(ISERROR(LOOKUP(NW$1,$S22:$HK22,csv!$L22:$HD22)),NA(),LOOKUP(NW$1,$S22:$HK22,csv!$L22:$HD22))</f>
        <v>0</v>
      </c>
      <c r="NX22" s="5">
        <f>IF(ISERROR(LOOKUP(NX$1,$S22:$HK22,csv!$L22:$HD22)),NA(),LOOKUP(NX$1,$S22:$HK22,csv!$L22:$HD22))</f>
        <v>0</v>
      </c>
      <c r="NY22" s="5">
        <f>IF(ISERROR(LOOKUP(NY$1,$S22:$HK22,csv!$L22:$HD22)),NA(),LOOKUP(NY$1,$S22:$HK22,csv!$L22:$HD22))</f>
        <v>0</v>
      </c>
      <c r="NZ22" s="5">
        <f>IF(ISERROR(LOOKUP(NZ$1,$S22:$HK22,csv!$L22:$HD22)),NA(),LOOKUP(NZ$1,$S22:$HK22,csv!$L22:$HD22))</f>
        <v>0</v>
      </c>
      <c r="OA22" s="5">
        <f>IF(ISERROR(LOOKUP(OA$1,$S22:$HK22,csv!$L22:$HD22)),NA(),LOOKUP(OA$1,$S22:$HK22,csv!$L22:$HD22))</f>
        <v>0</v>
      </c>
      <c r="OB22" s="5">
        <f>IF(ISERROR(LOOKUP(OB$1,$S22:$HK22,csv!$L22:$HD22)),NA(),LOOKUP(OB$1,$S22:$HK22,csv!$L22:$HD22))</f>
        <v>0</v>
      </c>
      <c r="OC22" s="5">
        <f>IF(ISERROR(LOOKUP(OC$1,$S22:$HK22,csv!$L22:$HD22)),NA(),LOOKUP(OC$1,$S22:$HK22,csv!$L22:$HD22))</f>
        <v>0</v>
      </c>
      <c r="OD22" s="5">
        <f>IF(ISERROR(LOOKUP(OD$1,$S22:$HK22,csv!$L22:$HD22)),NA(),LOOKUP(OD$1,$S22:$HK22,csv!$L22:$HD22))</f>
        <v>0</v>
      </c>
      <c r="OE22" s="5">
        <f>IF(ISERROR(LOOKUP(OE$1,$S22:$HK22,csv!$L22:$HD22)),NA(),LOOKUP(OE$1,$S22:$HK22,csv!$L22:$HD22))</f>
        <v>0</v>
      </c>
      <c r="OF22" s="5">
        <f>IF(ISERROR(LOOKUP(OF$1,$S22:$HK22,csv!$L22:$HD22)),NA(),LOOKUP(OF$1,$S22:$HK22,csv!$L22:$HD22))</f>
        <v>0</v>
      </c>
      <c r="OG22" s="5">
        <f>IF(ISERROR(LOOKUP(OG$1,$S22:$HK22,csv!$L22:$HD22)),NA(),LOOKUP(OG$1,$S22:$HK22,csv!$L22:$HD22))</f>
        <v>0</v>
      </c>
      <c r="OH22" s="5">
        <f>IF(ISERROR(LOOKUP(OH$1,$S22:$HK22,csv!$L22:$HD22)),NA(),LOOKUP(OH$1,$S22:$HK22,csv!$L22:$HD22))</f>
        <v>0</v>
      </c>
      <c r="OI22" s="5">
        <f>IF(ISERROR(LOOKUP(OI$1,$S22:$HK22,csv!$L22:$HD22)),NA(),LOOKUP(OI$1,$S22:$HK22,csv!$L22:$HD22))</f>
        <v>0</v>
      </c>
      <c r="OJ22" s="5">
        <f>IF(ISERROR(LOOKUP(OJ$1,$S22:$HK22,csv!$L22:$HD22)),NA(),LOOKUP(OJ$1,$S22:$HK22,csv!$L22:$HD22))</f>
        <v>0</v>
      </c>
      <c r="OK22" s="5">
        <f>IF(ISERROR(LOOKUP(OK$1,$S22:$HK22,csv!$L22:$HD22)),NA(),LOOKUP(OK$1,$S22:$HK22,csv!$L22:$HD22))</f>
        <v>0</v>
      </c>
      <c r="OL22" s="5">
        <f>IF(ISERROR(LOOKUP(OL$1,$S22:$HK22,csv!$L22:$HD22)),NA(),LOOKUP(OL$1,$S22:$HK22,csv!$L22:$HD22))</f>
        <v>0</v>
      </c>
      <c r="OM22" s="5">
        <f>IF(ISERROR(LOOKUP(OM$1,$S22:$HK22,csv!$L22:$HD22)),NA(),LOOKUP(OM$1,$S22:$HK22,csv!$L22:$HD22))</f>
        <v>0</v>
      </c>
      <c r="ON22" s="5">
        <f>IF(ISERROR(LOOKUP(ON$1,$S22:$HK22,csv!$L22:$HD22)),NA(),LOOKUP(ON$1,$S22:$HK22,csv!$L22:$HD22))</f>
        <v>0</v>
      </c>
      <c r="OO22" s="5">
        <f>IF(ISERROR(LOOKUP(OO$1,$S22:$HK22,csv!$L22:$HD22)),NA(),LOOKUP(OO$1,$S22:$HK22,csv!$L22:$HD22))</f>
        <v>0</v>
      </c>
      <c r="OP22" s="5">
        <f>IF(ISERROR(LOOKUP(OP$1,$S22:$HK22,csv!$L22:$HD22)),NA(),LOOKUP(OP$1,$S22:$HK22,csv!$L22:$HD22))</f>
        <v>0</v>
      </c>
      <c r="OQ22" s="5">
        <f>IF(ISERROR(LOOKUP(OQ$1,$S22:$HK22,csv!$L22:$HD22)),NA(),LOOKUP(OQ$1,$S22:$HK22,csv!$L22:$HD22))</f>
        <v>0</v>
      </c>
      <c r="OR22" s="5">
        <f>IF(ISERROR(LOOKUP(OR$1,$S22:$HK22,csv!$L22:$HD22)),NA(),LOOKUP(OR$1,$S22:$HK22,csv!$L22:$HD22))</f>
        <v>0</v>
      </c>
      <c r="OS22" s="5">
        <f>IF(ISERROR(LOOKUP(OS$1,$S22:$HK22,csv!$L22:$HD22)),NA(),LOOKUP(OS$1,$S22:$HK22,csv!$L22:$HD22))</f>
        <v>0</v>
      </c>
      <c r="OT22" s="5">
        <f>IF(ISERROR(LOOKUP(OT$1,$S22:$HK22,csv!$L22:$HD22)),NA(),LOOKUP(OT$1,$S22:$HK22,csv!$L22:$HD22))</f>
        <v>0</v>
      </c>
      <c r="OU22" s="5">
        <f>IF(ISERROR(LOOKUP(OU$1,$S22:$HK22,csv!$L22:$HD22)),NA(),LOOKUP(OU$1,$S22:$HK22,csv!$L22:$HD22))</f>
        <v>0</v>
      </c>
      <c r="OV22" s="5">
        <f>IF(ISERROR(LOOKUP(OV$1,$S22:$HK22,csv!$L22:$HD22)),NA(),LOOKUP(OV$1,$S22:$HK22,csv!$L22:$HD22))</f>
        <v>0</v>
      </c>
      <c r="OW22" s="5">
        <f>IF(ISERROR(LOOKUP(OW$1,$S22:$HK22,csv!$L22:$HD22)),NA(),LOOKUP(OW$1,$S22:$HK22,csv!$L22:$HD22))</f>
        <v>0</v>
      </c>
      <c r="OX22" s="5">
        <f>IF(ISERROR(LOOKUP(OX$1,$S22:$HK22,csv!$L22:$HD22)),NA(),LOOKUP(OX$1,$S22:$HK22,csv!$L22:$HD22))</f>
        <v>0</v>
      </c>
      <c r="OY22" s="5">
        <f>IF(ISERROR(LOOKUP(OY$1,$S22:$HK22,csv!$L22:$HD22)),NA(),LOOKUP(OY$1,$S22:$HK22,csv!$L22:$HD22))</f>
        <v>0</v>
      </c>
      <c r="OZ22" s="5">
        <f>IF(ISERROR(LOOKUP(OZ$1,$S22:$HK22,csv!$L22:$HD22)),NA(),LOOKUP(OZ$1,$S22:$HK22,csv!$L22:$HD22))</f>
        <v>0</v>
      </c>
      <c r="PA22" s="5">
        <f>IF(ISERROR(LOOKUP(PA$1,$S22:$HK22,csv!$L22:$HD22)),NA(),LOOKUP(PA$1,$S22:$HK22,csv!$L22:$HD22))</f>
        <v>0</v>
      </c>
      <c r="PB22" s="5">
        <f>IF(ISERROR(LOOKUP(PB$1,$S22:$HK22,csv!$L22:$HD22)),NA(),LOOKUP(PB$1,$S22:$HK22,csv!$L22:$HD22))</f>
        <v>0</v>
      </c>
      <c r="PC22" s="5">
        <f>IF(ISERROR(LOOKUP(PC$1,$S22:$HK22,csv!$L22:$HD22)),NA(),LOOKUP(PC$1,$S22:$HK22,csv!$L22:$HD22))</f>
        <v>0</v>
      </c>
      <c r="PD22" s="5">
        <f>IF(ISERROR(LOOKUP(PD$1,$S22:$HK22,csv!$L22:$HD22)),NA(),LOOKUP(PD$1,$S22:$HK22,csv!$L22:$HD22))</f>
        <v>0</v>
      </c>
      <c r="PE22" s="5">
        <f>IF(ISERROR(LOOKUP(PE$1,$S22:$HK22,csv!$L22:$HD22)),NA(),LOOKUP(PE$1,$S22:$HK22,csv!$L22:$HD22))</f>
        <v>0</v>
      </c>
      <c r="PF22" s="5">
        <f>IF(ISERROR(LOOKUP(PF$1,$S22:$HK22,csv!$L22:$HD22)),NA(),LOOKUP(PF$1,$S22:$HK22,csv!$L22:$HD22))</f>
        <v>0</v>
      </c>
      <c r="PG22" s="5">
        <f>IF(ISERROR(LOOKUP(PG$1,$S22:$HK22,csv!$L22:$HD22)),NA(),LOOKUP(PG$1,$S22:$HK22,csv!$L22:$HD22))</f>
        <v>0</v>
      </c>
      <c r="PH22" s="5">
        <f>IF(ISERROR(LOOKUP(PH$1,$S22:$HK22,csv!$L22:$HD22)),NA(),LOOKUP(PH$1,$S22:$HK22,csv!$L22:$HD22))</f>
        <v>0</v>
      </c>
      <c r="PI22" s="5">
        <f>IF(ISERROR(LOOKUP(PI$1,$S22:$HK22,csv!$L22:$HD22)),NA(),LOOKUP(PI$1,$S22:$HK22,csv!$L22:$HD22))</f>
        <v>0</v>
      </c>
      <c r="PJ22" s="5">
        <f>IF(ISERROR(LOOKUP(PJ$1,$S22:$HK22,csv!$L22:$HD22)),NA(),LOOKUP(PJ$1,$S22:$HK22,csv!$L22:$HD22))</f>
        <v>0</v>
      </c>
      <c r="PK22" s="5">
        <f>IF(ISERROR(LOOKUP(PK$1,$S22:$HK22,csv!$L22:$HD22)),NA(),LOOKUP(PK$1,$S22:$HK22,csv!$L22:$HD22))</f>
        <v>0</v>
      </c>
      <c r="PL22" s="5">
        <f>IF(ISERROR(LOOKUP(PL$1,$S22:$HK22,csv!$L22:$HD22)),NA(),LOOKUP(PL$1,$S22:$HK22,csv!$L22:$HD22))</f>
        <v>0</v>
      </c>
      <c r="PM22" s="5">
        <f>IF(ISERROR(LOOKUP(PM$1,$S22:$HK22,csv!$L22:$HD22)),NA(),LOOKUP(PM$1,$S22:$HK22,csv!$L22:$HD22))</f>
        <v>0</v>
      </c>
      <c r="PN22" s="5">
        <f>IF(ISERROR(LOOKUP(PN$1,$S22:$HK22,csv!$L22:$HD22)),NA(),LOOKUP(PN$1,$S22:$HK22,csv!$L22:$HD22))</f>
        <v>0</v>
      </c>
      <c r="PO22" s="5">
        <f>IF(ISERROR(LOOKUP(PO$1,$S22:$HK22,csv!$L22:$HD22)),NA(),LOOKUP(PO$1,$S22:$HK22,csv!$L22:$HD22))</f>
        <v>0</v>
      </c>
      <c r="PP22" s="5">
        <f>IF(ISERROR(LOOKUP(PP$1,$S22:$HK22,csv!$L22:$HD22)),NA(),LOOKUP(PP$1,$S22:$HK22,csv!$L22:$HD22))</f>
        <v>0</v>
      </c>
      <c r="PQ22" s="5">
        <f>IF(ISERROR(LOOKUP(PQ$1,$S22:$HK22,csv!$L22:$HD22)),NA(),LOOKUP(PQ$1,$S22:$HK22,csv!$L22:$HD22))</f>
        <v>0</v>
      </c>
      <c r="PR22" s="5">
        <f>IF(ISERROR(LOOKUP(PR$1,$S22:$HK22,csv!$L22:$HD22)),NA(),LOOKUP(PR$1,$S22:$HK22,csv!$L22:$HD22))</f>
        <v>0</v>
      </c>
      <c r="PS22" s="5">
        <f>IF(ISERROR(LOOKUP(PS$1,$S22:$HK22,csv!$L22:$HD22)),NA(),LOOKUP(PS$1,$S22:$HK22,csv!$L22:$HD22))</f>
        <v>0</v>
      </c>
      <c r="PT22" s="5">
        <f>IF(ISERROR(LOOKUP(PT$1,$S22:$HK22,csv!$L22:$HD22)),NA(),LOOKUP(PT$1,$S22:$HK22,csv!$L22:$HD22))</f>
        <v>0</v>
      </c>
      <c r="PU22" s="5">
        <f>IF(ISERROR(LOOKUP(PU$1,$S22:$HK22,csv!$L22:$HD22)),NA(),LOOKUP(PU$1,$S22:$HK22,csv!$L22:$HD22))</f>
        <v>0</v>
      </c>
      <c r="PV22" s="5">
        <f>IF(ISERROR(LOOKUP(PV$1,$S22:$HK22,csv!$L22:$HD22)),NA(),LOOKUP(PV$1,$S22:$HK22,csv!$L22:$HD22))</f>
        <v>0</v>
      </c>
      <c r="PW22" s="5">
        <f>IF(ISERROR(LOOKUP(PW$1,$S22:$HK22,csv!$L22:$HD22)),NA(),LOOKUP(PW$1,$S22:$HK22,csv!$L22:$HD22))</f>
        <v>0</v>
      </c>
      <c r="PX22" s="5">
        <f>IF(ISERROR(LOOKUP(PX$1,$S22:$HK22,csv!$L22:$HD22)),NA(),LOOKUP(PX$1,$S22:$HK22,csv!$L22:$HD22))</f>
        <v>0</v>
      </c>
      <c r="PY22" s="5">
        <f>IF(ISERROR(LOOKUP(PY$1,$S22:$HK22,csv!$L22:$HD22)),NA(),LOOKUP(PY$1,$S22:$HK22,csv!$L22:$HD22))</f>
        <v>0</v>
      </c>
      <c r="PZ22" s="5">
        <f>IF(ISERROR(LOOKUP(PZ$1,$S22:$HK22,csv!$L22:$HD22)),NA(),LOOKUP(PZ$1,$S22:$HK22,csv!$L22:$HD22))</f>
        <v>0</v>
      </c>
      <c r="QA22" s="5">
        <f>IF(ISERROR(LOOKUP(QA$1,$S22:$HK22,csv!$L22:$HD22)),NA(),LOOKUP(QA$1,$S22:$HK22,csv!$L22:$HD22))</f>
        <v>0</v>
      </c>
      <c r="QB22" s="5">
        <f>IF(ISERROR(LOOKUP(QB$1,$S22:$HK22,csv!$L22:$HD22)),NA(),LOOKUP(QB$1,$S22:$HK22,csv!$L22:$HD22))</f>
        <v>0</v>
      </c>
      <c r="QC22" s="5">
        <f>IF(ISERROR(LOOKUP(QC$1,$S22:$HK22,csv!$L22:$HD22)),NA(),LOOKUP(QC$1,$S22:$HK22,csv!$L22:$HD22))</f>
        <v>0</v>
      </c>
      <c r="QD22" s="5">
        <f>IF(ISERROR(LOOKUP(QD$1,$S22:$HK22,csv!$L22:$HD22)),NA(),LOOKUP(QD$1,$S22:$HK22,csv!$L22:$HD22))</f>
        <v>0</v>
      </c>
      <c r="QE22" s="5">
        <f>IF(ISERROR(LOOKUP(QE$1,$S22:$HK22,csv!$L22:$HD22)),NA(),LOOKUP(QE$1,$S22:$HK22,csv!$L22:$HD22))</f>
        <v>0</v>
      </c>
      <c r="QF22" s="5">
        <f>IF(ISERROR(LOOKUP(QF$1,$S22:$HK22,csv!$L22:$HD22)),NA(),LOOKUP(QF$1,$S22:$HK22,csv!$L22:$HD22))</f>
        <v>0</v>
      </c>
      <c r="QG22" s="5">
        <f>IF(ISERROR(LOOKUP(QG$1,$S22:$HK22,csv!$L22:$HD22)),NA(),LOOKUP(QG$1,$S22:$HK22,csv!$L22:$HD22))</f>
        <v>0</v>
      </c>
      <c r="QH22" s="5">
        <f>IF(ISERROR(LOOKUP(QH$1,$S22:$HK22,csv!$L22:$HD22)),NA(),LOOKUP(QH$1,$S22:$HK22,csv!$L22:$HD22))</f>
        <v>0</v>
      </c>
      <c r="QI22" s="5">
        <f>IF(ISERROR(LOOKUP(QI$1,$S22:$HK22,csv!$L22:$HD22)),NA(),LOOKUP(QI$1,$S22:$HK22,csv!$L22:$HD22))</f>
        <v>0</v>
      </c>
      <c r="QJ22" s="5">
        <f>IF(ISERROR(LOOKUP(QJ$1,$S22:$HK22,csv!$L22:$HD22)),NA(),LOOKUP(QJ$1,$S22:$HK22,csv!$L22:$HD22))</f>
        <v>0</v>
      </c>
      <c r="QK22" s="5">
        <f>IF(ISERROR(LOOKUP(QK$1,$S22:$HK22,csv!$L22:$HD22)),NA(),LOOKUP(QK$1,$S22:$HK22,csv!$L22:$HD22))</f>
        <v>0</v>
      </c>
      <c r="QL22" s="5">
        <f>IF(ISERROR(LOOKUP(QL$1,$S22:$HK22,csv!$L22:$HD22)),NA(),LOOKUP(QL$1,$S22:$HK22,csv!$L22:$HD22))</f>
        <v>0</v>
      </c>
      <c r="QM22" s="5">
        <f>IF(ISERROR(LOOKUP(QM$1,$S22:$HK22,csv!$L22:$HD22)),NA(),LOOKUP(QM$1,$S22:$HK22,csv!$L22:$HD22))</f>
        <v>0</v>
      </c>
      <c r="QN22" s="5">
        <f>IF(ISERROR(LOOKUP(QN$1,$S22:$HK22,csv!$L22:$HD22)),NA(),LOOKUP(QN$1,$S22:$HK22,csv!$L22:$HD22))</f>
        <v>0</v>
      </c>
      <c r="QO22" s="5">
        <f>IF(ISERROR(LOOKUP(QO$1,$S22:$HK22,csv!$L22:$HD22)),NA(),LOOKUP(QO$1,$S22:$HK22,csv!$L22:$HD22))</f>
        <v>0</v>
      </c>
      <c r="QP22" s="5">
        <f>IF(ISERROR(LOOKUP(QP$1,$S22:$HK22,csv!$L22:$HD22)),NA(),LOOKUP(QP$1,$S22:$HK22,csv!$L22:$HD22))</f>
        <v>0</v>
      </c>
      <c r="QQ22" s="5">
        <f>IF(ISERROR(LOOKUP(QQ$1,$S22:$HK22,csv!$L22:$HD22)),NA(),LOOKUP(QQ$1,$S22:$HK22,csv!$L22:$HD22))</f>
        <v>0</v>
      </c>
      <c r="QR22" s="5">
        <f>IF(ISERROR(LOOKUP(QR$1,$S22:$HK22,csv!$L22:$HD22)),NA(),LOOKUP(QR$1,$S22:$HK22,csv!$L22:$HD22))</f>
        <v>0</v>
      </c>
      <c r="QS22" s="5">
        <f>IF(ISERROR(LOOKUP(QS$1,$S22:$HK22,csv!$L22:$HD22)),NA(),LOOKUP(QS$1,$S22:$HK22,csv!$L22:$HD22))</f>
        <v>0</v>
      </c>
      <c r="QT22" s="5">
        <f>IF(ISERROR(LOOKUP(QT$1,$S22:$HK22,csv!$L22:$HD22)),NA(),LOOKUP(QT$1,$S22:$HK22,csv!$L22:$HD22))</f>
        <v>0</v>
      </c>
      <c r="QU22" s="5">
        <f>IF(ISERROR(LOOKUP(QU$1,$S22:$HK22,csv!$L22:$HD22)),NA(),LOOKUP(QU$1,$S22:$HK22,csv!$L22:$HD22))</f>
        <v>0</v>
      </c>
      <c r="QV22" s="5">
        <f>IF(ISERROR(LOOKUP(QV$1,$S22:$HK22,csv!$L22:$HD22)),NA(),LOOKUP(QV$1,$S22:$HK22,csv!$L22:$HD22))</f>
        <v>0</v>
      </c>
      <c r="QW22" s="5">
        <f>IF(ISERROR(LOOKUP(QW$1,$S22:$HK22,csv!$L22:$HD22)),NA(),LOOKUP(QW$1,$S22:$HK22,csv!$L22:$HD22))</f>
        <v>0</v>
      </c>
      <c r="QX22" s="5">
        <f>IF(ISERROR(LOOKUP(QX$1,$S22:$HK22,csv!$L22:$HD22)),NA(),LOOKUP(QX$1,$S22:$HK22,csv!$L22:$HD22))</f>
        <v>0</v>
      </c>
      <c r="QY22" s="5">
        <f>IF(ISERROR(LOOKUP(QY$1,$S22:$HK22,csv!$L22:$HD22)),NA(),LOOKUP(QY$1,$S22:$HK22,csv!$L22:$HD22))</f>
        <v>0</v>
      </c>
      <c r="QZ22" s="5">
        <f>IF(ISERROR(LOOKUP(QZ$1,$S22:$HK22,csv!$L22:$HD22)),NA(),LOOKUP(QZ$1,$S22:$HK22,csv!$L22:$HD22))</f>
        <v>0</v>
      </c>
      <c r="RA22" s="5">
        <f>IF(ISERROR(LOOKUP(RA$1,$S22:$HK22,csv!$L22:$HD22)),NA(),LOOKUP(RA$1,$S22:$HK22,csv!$L22:$HD22))</f>
        <v>0</v>
      </c>
      <c r="RB22" s="5">
        <f>IF(ISERROR(LOOKUP(RB$1,$S22:$HK22,csv!$L22:$HD22)),NA(),LOOKUP(RB$1,$S22:$HK22,csv!$L22:$HD22))</f>
        <v>0</v>
      </c>
      <c r="RC22" s="5">
        <f>IF(ISERROR(LOOKUP(RC$1,$S22:$HK22,csv!$L22:$HD22)),NA(),LOOKUP(RC$1,$S22:$HK22,csv!$L22:$HD22))</f>
        <v>0</v>
      </c>
      <c r="RD22" s="5">
        <f>IF(ISERROR(LOOKUP(RD$1,$S22:$HK22,csv!$L22:$HD22)),NA(),LOOKUP(RD$1,$S22:$HK22,csv!$L22:$HD22))</f>
        <v>0</v>
      </c>
      <c r="RE22" s="5">
        <f>IF(ISERROR(LOOKUP(RE$1,$S22:$HK22,csv!$L22:$HD22)),NA(),LOOKUP(RE$1,$S22:$HK22,csv!$L22:$HD22))</f>
        <v>0</v>
      </c>
      <c r="RF22" s="5">
        <f>IF(ISERROR(LOOKUP(RF$1,$S22:$HK22,csv!$L22:$HD22)),NA(),LOOKUP(RF$1,$S22:$HK22,csv!$L22:$HD22))</f>
        <v>0</v>
      </c>
      <c r="RG22" s="5">
        <f>IF(ISERROR(LOOKUP(RG$1,$S22:$HK22,csv!$L22:$HD22)),NA(),LOOKUP(RG$1,$S22:$HK22,csv!$L22:$HD22))</f>
        <v>0</v>
      </c>
      <c r="RH22" s="5">
        <f>IF(ISERROR(LOOKUP(RH$1,$S22:$HK22,csv!$L22:$HD22)),NA(),LOOKUP(RH$1,$S22:$HK22,csv!$L22:$HD22))</f>
        <v>0</v>
      </c>
      <c r="RI22" s="5">
        <f>IF(ISERROR(LOOKUP(RI$1,$S22:$HK22,csv!$L22:$HD22)),NA(),LOOKUP(RI$1,$S22:$HK22,csv!$L22:$HD22))</f>
        <v>0</v>
      </c>
      <c r="RJ22" s="5">
        <f>IF(ISERROR(LOOKUP(RJ$1,$S22:$HK22,csv!$L22:$HD22)),NA(),LOOKUP(RJ$1,$S22:$HK22,csv!$L22:$HD22))</f>
        <v>0</v>
      </c>
      <c r="RK22" s="5">
        <f>IF(ISERROR(LOOKUP(RK$1,$S22:$HK22,csv!$L22:$HD22)),NA(),LOOKUP(RK$1,$S22:$HK22,csv!$L22:$HD22))</f>
        <v>0</v>
      </c>
      <c r="RL22" s="5">
        <f>IF(ISERROR(LOOKUP(RL$1,$S22:$HK22,csv!$L22:$HD22)),NA(),LOOKUP(RL$1,$S22:$HK22,csv!$L22:$HD22))</f>
        <v>0</v>
      </c>
      <c r="RM22" s="5">
        <f>IF(ISERROR(LOOKUP(RM$1,$S22:$HK22,csv!$L22:$HD22)),NA(),LOOKUP(RM$1,$S22:$HK22,csv!$L22:$HD22))</f>
        <v>0</v>
      </c>
      <c r="RN22" s="5">
        <f>IF(ISERROR(LOOKUP(RN$1,$S22:$HK22,csv!$L22:$HD22)),NA(),LOOKUP(RN$1,$S22:$HK22,csv!$L22:$HD22))</f>
        <v>0</v>
      </c>
      <c r="RO22" s="5">
        <f>IF(ISERROR(LOOKUP(RO$1,$S22:$HK22,csv!$L22:$HD22)),NA(),LOOKUP(RO$1,$S22:$HK22,csv!$L22:$HD22))</f>
        <v>0</v>
      </c>
      <c r="RP22" s="5">
        <f>IF(ISERROR(LOOKUP(RP$1,$S22:$HK22,csv!$L22:$HD22)),NA(),LOOKUP(RP$1,$S22:$HK22,csv!$L22:$HD22))</f>
        <v>0</v>
      </c>
      <c r="RQ22" s="5">
        <f>IF(ISERROR(LOOKUP(RQ$1,$S22:$HK22,csv!$L22:$HD22)),NA(),LOOKUP(RQ$1,$S22:$HK22,csv!$L22:$HD22))</f>
        <v>0</v>
      </c>
      <c r="RR22" s="5">
        <f>IF(ISERROR(LOOKUP(RR$1,$S22:$HK22,csv!$L22:$HD22)),NA(),LOOKUP(RR$1,$S22:$HK22,csv!$L22:$HD22))</f>
        <v>0</v>
      </c>
      <c r="RS22" s="5">
        <f>IF(ISERROR(LOOKUP(RS$1,$S22:$HK22,csv!$L22:$HD22)),NA(),LOOKUP(RS$1,$S22:$HK22,csv!$L22:$HD22))</f>
        <v>0</v>
      </c>
      <c r="RT22" s="5">
        <f>IF(ISERROR(LOOKUP(RT$1,$S22:$HK22,csv!$L22:$HD22)),NA(),LOOKUP(RT$1,$S22:$HK22,csv!$L22:$HD22))</f>
        <v>0</v>
      </c>
      <c r="RU22" s="5">
        <f>IF(ISERROR(LOOKUP(RU$1,$S22:$HK22,csv!$L22:$HD22)),NA(),LOOKUP(RU$1,$S22:$HK22,csv!$L22:$HD22))</f>
        <v>0</v>
      </c>
      <c r="RV22" s="5">
        <f>IF(ISERROR(LOOKUP(RV$1,$S22:$HK22,csv!$L22:$HD22)),NA(),LOOKUP(RV$1,$S22:$HK22,csv!$L22:$HD22))</f>
        <v>0</v>
      </c>
      <c r="RW22" s="5">
        <f>IF(ISERROR(LOOKUP(RW$1,$S22:$HK22,csv!$L22:$HD22)),NA(),LOOKUP(RW$1,$S22:$HK22,csv!$L22:$HD22))</f>
        <v>0</v>
      </c>
      <c r="RX22" s="5">
        <f>IF(ISERROR(LOOKUP(RX$1,$S22:$HK22,csv!$L22:$HD22)),NA(),LOOKUP(RX$1,$S22:$HK22,csv!$L22:$HD22))</f>
        <v>0</v>
      </c>
      <c r="RY22" s="5">
        <f>IF(ISERROR(LOOKUP(RY$1,$S22:$HK22,csv!$L22:$HD22)),NA(),LOOKUP(RY$1,$S22:$HK22,csv!$L22:$HD22))</f>
        <v>0</v>
      </c>
      <c r="RZ22" s="5">
        <f>IF(ISERROR(LOOKUP(RZ$1,$S22:$HK22,csv!$L22:$HD22)),NA(),LOOKUP(RZ$1,$S22:$HK22,csv!$L22:$HD22))</f>
        <v>0</v>
      </c>
      <c r="SA22" s="5">
        <f>IF(ISERROR(LOOKUP(SA$1,$S22:$HK22,csv!$L22:$HD22)),NA(),LOOKUP(SA$1,$S22:$HK22,csv!$L22:$HD22))</f>
        <v>0</v>
      </c>
      <c r="SB22" s="5">
        <f>IF(ISERROR(LOOKUP(SB$1,$S22:$HK22,csv!$L22:$HD22)),NA(),LOOKUP(SB$1,$S22:$HK22,csv!$L22:$HD22))</f>
        <v>0</v>
      </c>
      <c r="SC22" s="5">
        <f>IF(ISERROR(LOOKUP(SC$1,$S22:$HK22,csv!$L22:$HD22)),NA(),LOOKUP(SC$1,$S22:$HK22,csv!$L22:$HD22))</f>
        <v>0</v>
      </c>
      <c r="SD22" s="5">
        <f>IF(ISERROR(LOOKUP(SD$1,$S22:$HK22,csv!$L22:$HD22)),NA(),LOOKUP(SD$1,$S22:$HK22,csv!$L22:$HD22))</f>
        <v>0</v>
      </c>
      <c r="SE22" s="5">
        <f>IF(ISERROR(LOOKUP(SE$1,$S22:$HK22,csv!$L22:$HD22)),NA(),LOOKUP(SE$1,$S22:$HK22,csv!$L22:$HD22))</f>
        <v>0</v>
      </c>
      <c r="SF22" s="5">
        <f>IF(ISERROR(LOOKUP(SF$1,$S22:$HK22,csv!$L22:$HD22)),NA(),LOOKUP(SF$1,$S22:$HK22,csv!$L22:$HD22))</f>
        <v>0</v>
      </c>
      <c r="SG22" s="5">
        <f>IF(ISERROR(LOOKUP(SG$1,$S22:$HK22,csv!$L22:$HD22)),NA(),LOOKUP(SG$1,$S22:$HK22,csv!$L22:$HD22))</f>
        <v>0</v>
      </c>
      <c r="SH22" s="5">
        <f>IF(ISERROR(LOOKUP(SH$1,$S22:$HK22,csv!$L22:$HD22)),NA(),LOOKUP(SH$1,$S22:$HK22,csv!$L22:$HD22))</f>
        <v>0</v>
      </c>
      <c r="SI22" s="5">
        <f>IF(ISERROR(LOOKUP(SI$1,$S22:$HK22,csv!$L22:$HD22)),NA(),LOOKUP(SI$1,$S22:$HK22,csv!$L22:$HD22))</f>
        <v>0</v>
      </c>
      <c r="SJ22" s="5">
        <f>IF(ISERROR(LOOKUP(SJ$1,$S22:$HK22,csv!$L22:$HD22)),NA(),LOOKUP(SJ$1,$S22:$HK22,csv!$L22:$HD22))</f>
        <v>0</v>
      </c>
      <c r="SK22" s="5">
        <f>IF(ISERROR(LOOKUP(SK$1,$S22:$HK22,csv!$L22:$HD22)),NA(),LOOKUP(SK$1,$S22:$HK22,csv!$L22:$HD22))</f>
        <v>0</v>
      </c>
      <c r="SL22" s="5">
        <f>IF(ISERROR(LOOKUP(SL$1,$S22:$HK22,csv!$L22:$HD22)),NA(),LOOKUP(SL$1,$S22:$HK22,csv!$L22:$HD22))</f>
        <v>0</v>
      </c>
      <c r="SM22" s="5">
        <f>IF(ISERROR(LOOKUP(SM$1,$S22:$HK22,csv!$L22:$HD22)),NA(),LOOKUP(SM$1,$S22:$HK22,csv!$L22:$HD22))</f>
        <v>0</v>
      </c>
      <c r="SN22" s="5">
        <f>IF(ISERROR(LOOKUP(SN$1,$S22:$HK22,csv!$L22:$HD22)),NA(),LOOKUP(SN$1,$S22:$HK22,csv!$L22:$HD22))</f>
        <v>0</v>
      </c>
      <c r="SO22" s="5">
        <f>IF(ISERROR(LOOKUP(SO$1,$S22:$HK22,csv!$L22:$HD22)),NA(),LOOKUP(SO$1,$S22:$HK22,csv!$L22:$HD22))</f>
        <v>0</v>
      </c>
      <c r="SP22" s="5">
        <f>IF(ISERROR(LOOKUP(SP$1,$S22:$HK22,csv!$L22:$HD22)),NA(),LOOKUP(SP$1,$S22:$HK22,csv!$L22:$HD22))</f>
        <v>0</v>
      </c>
      <c r="SQ22" s="5">
        <f>IF(ISERROR(LOOKUP(SQ$1,$S22:$HK22,csv!$L22:$HD22)),NA(),LOOKUP(SQ$1,$S22:$HK22,csv!$L22:$HD22))</f>
        <v>0</v>
      </c>
      <c r="SR22" s="5">
        <f>IF(ISERROR(LOOKUP(SR$1,$S22:$HK22,csv!$L22:$HD22)),NA(),LOOKUP(SR$1,$S22:$HK22,csv!$L22:$HD22))</f>
        <v>0</v>
      </c>
      <c r="SS22" s="5">
        <f>IF(ISERROR(LOOKUP(SS$1,$S22:$HK22,csv!$L22:$HD22)),NA(),LOOKUP(SS$1,$S22:$HK22,csv!$L22:$HD22))</f>
        <v>0</v>
      </c>
      <c r="ST22" s="5">
        <f>IF(ISERROR(LOOKUP(ST$1,$S22:$HK22,csv!$L22:$HD22)),NA(),LOOKUP(ST$1,$S22:$HK22,csv!$L22:$HD22))</f>
        <v>0</v>
      </c>
      <c r="SU22" s="5">
        <f>IF(ISERROR(LOOKUP(SU$1,$S22:$HK22,csv!$L22:$HD22)),NA(),LOOKUP(SU$1,$S22:$HK22,csv!$L22:$HD22))</f>
        <v>0</v>
      </c>
      <c r="SV22" s="5">
        <f>IF(ISERROR(LOOKUP(SV$1,$S22:$HK22,csv!$L22:$HD22)),NA(),LOOKUP(SV$1,$S22:$HK22,csv!$L22:$HD22))</f>
        <v>0</v>
      </c>
      <c r="SW22" s="5">
        <f>IF(ISERROR(LOOKUP(SW$1,$S22:$HK22,csv!$L22:$HD22)),NA(),LOOKUP(SW$1,$S22:$HK22,csv!$L22:$HD22))</f>
        <v>0</v>
      </c>
      <c r="SX22" s="5">
        <f>IF(ISERROR(LOOKUP(SX$1,$S22:$HK22,csv!$L22:$HD22)),NA(),LOOKUP(SX$1,$S22:$HK22,csv!$L22:$HD22))</f>
        <v>0</v>
      </c>
      <c r="SY22" s="5">
        <f>IF(ISERROR(LOOKUP(SY$1,$S22:$HK22,csv!$L22:$HD22)),NA(),LOOKUP(SY$1,$S22:$HK22,csv!$L22:$HD22))</f>
        <v>0</v>
      </c>
      <c r="SZ22" s="5">
        <f>IF(ISERROR(LOOKUP(SZ$1,$S22:$HK22,csv!$L22:$HD22)),NA(),LOOKUP(SZ$1,$S22:$HK22,csv!$L22:$HD22))</f>
        <v>0</v>
      </c>
      <c r="TA22" s="5">
        <f>IF(ISERROR(LOOKUP(TA$1,$S22:$HK22,csv!$L22:$HD22)),NA(),LOOKUP(TA$1,$S22:$HK22,csv!$L22:$HD22))</f>
        <v>0</v>
      </c>
      <c r="TB22" s="5">
        <f>IF(ISERROR(LOOKUP(TB$1,$S22:$HK22,csv!$L22:$HD22)),NA(),LOOKUP(TB$1,$S22:$HK22,csv!$L22:$HD22))</f>
        <v>0</v>
      </c>
      <c r="TD22">
        <f>csv!HG22/10</f>
        <v>0</v>
      </c>
    </row>
    <row r="23" spans="3:524" x14ac:dyDescent="0.15">
      <c r="S23" s="4">
        <f>ROUND((csv!$HG23/10+calc!S$1),1)</f>
        <v>-10</v>
      </c>
      <c r="T23" s="4">
        <f>ROUND((csv!$HG23/10+calc!T$1),1)</f>
        <v>-9.9</v>
      </c>
      <c r="U23" s="4">
        <f>ROUND((csv!$HG23/10+calc!U$1),1)</f>
        <v>-9.8000000000000007</v>
      </c>
      <c r="V23" s="4">
        <f>ROUND((csv!$HG23/10+calc!V$1),1)</f>
        <v>-9.6999999999999993</v>
      </c>
      <c r="W23" s="4">
        <f>ROUND((csv!$HG23/10+calc!W$1),1)</f>
        <v>-9.6</v>
      </c>
      <c r="X23" s="4">
        <f>ROUND((csv!$HG23/10+calc!X$1),1)</f>
        <v>-9.5</v>
      </c>
      <c r="Y23" s="4">
        <f>ROUND((csv!$HG23/10+calc!Y$1),1)</f>
        <v>-9.4</v>
      </c>
      <c r="Z23" s="4">
        <f>ROUND((csv!$HG23/10+calc!Z$1),1)</f>
        <v>-9.3000000000000007</v>
      </c>
      <c r="AA23" s="4">
        <f>ROUND((csv!$HG23/10+calc!AA$1),1)</f>
        <v>-9.1999999999999993</v>
      </c>
      <c r="AB23" s="4">
        <f>ROUND((csv!$HG23/10+calc!AB$1),1)</f>
        <v>-9.1</v>
      </c>
      <c r="AC23" s="4">
        <f>ROUND((csv!$HG23/10+calc!AC$1),1)</f>
        <v>-9</v>
      </c>
      <c r="AD23" s="4">
        <f>ROUND((csv!$HG23/10+calc!AD$1),1)</f>
        <v>-8.9</v>
      </c>
      <c r="AE23" s="4">
        <f>ROUND((csv!$HG23/10+calc!AE$1),1)</f>
        <v>-8.8000000000000007</v>
      </c>
      <c r="AF23" s="4">
        <f>ROUND((csv!$HG23/10+calc!AF$1),1)</f>
        <v>-8.6999999999999993</v>
      </c>
      <c r="AG23" s="4">
        <f>ROUND((csv!$HG23/10+calc!AG$1),1)</f>
        <v>-8.6</v>
      </c>
      <c r="AH23" s="4">
        <f>ROUND((csv!$HG23/10+calc!AH$1),1)</f>
        <v>-8.5</v>
      </c>
      <c r="AI23" s="4">
        <f>ROUND((csv!$HG23/10+calc!AI$1),1)</f>
        <v>-8.4</v>
      </c>
      <c r="AJ23" s="4">
        <f>ROUND((csv!$HG23/10+calc!AJ$1),1)</f>
        <v>-8.3000000000000007</v>
      </c>
      <c r="AK23" s="4">
        <f>ROUND((csv!$HG23/10+calc!AK$1),1)</f>
        <v>-8.1999999999999993</v>
      </c>
      <c r="AL23" s="4">
        <f>ROUND((csv!$HG23/10+calc!AL$1),1)</f>
        <v>-8.1</v>
      </c>
      <c r="AM23" s="4">
        <f>ROUND((csv!$HG23/10+calc!AM$1),1)</f>
        <v>-8</v>
      </c>
      <c r="AN23" s="4">
        <f>ROUND((csv!$HG23/10+calc!AN$1),1)</f>
        <v>-7.9</v>
      </c>
      <c r="AO23" s="4">
        <f>ROUND((csv!$HG23/10+calc!AO$1),1)</f>
        <v>-7.8</v>
      </c>
      <c r="AP23" s="4">
        <f>ROUND((csv!$HG23/10+calc!AP$1),1)</f>
        <v>-7.7</v>
      </c>
      <c r="AQ23" s="4">
        <f>ROUND((csv!$HG23/10+calc!AQ$1),1)</f>
        <v>-7.6</v>
      </c>
      <c r="AR23" s="4">
        <f>ROUND((csv!$HG23/10+calc!AR$1),1)</f>
        <v>-7.5</v>
      </c>
      <c r="AS23" s="4">
        <f>ROUND((csv!$HG23/10+calc!AS$1),1)</f>
        <v>-7.4</v>
      </c>
      <c r="AT23" s="4">
        <f>ROUND((csv!$HG23/10+calc!AT$1),1)</f>
        <v>-7.3</v>
      </c>
      <c r="AU23" s="4">
        <f>ROUND((csv!$HG23/10+calc!AU$1),1)</f>
        <v>-7.2</v>
      </c>
      <c r="AV23" s="4">
        <f>ROUND((csv!$HG23/10+calc!AV$1),1)</f>
        <v>-7.1</v>
      </c>
      <c r="AW23" s="4">
        <f>ROUND((csv!$HG23/10+calc!AW$1),1)</f>
        <v>-7</v>
      </c>
      <c r="AX23" s="4">
        <f>ROUND((csv!$HG23/10+calc!AX$1),1)</f>
        <v>-6.9</v>
      </c>
      <c r="AY23" s="4">
        <f>ROUND((csv!$HG23/10+calc!AY$1),1)</f>
        <v>-6.8</v>
      </c>
      <c r="AZ23" s="4">
        <f>ROUND((csv!$HG23/10+calc!AZ$1),1)</f>
        <v>-6.7</v>
      </c>
      <c r="BA23" s="4">
        <f>ROUND((csv!$HG23/10+calc!BA$1),1)</f>
        <v>-6.6</v>
      </c>
      <c r="BB23" s="4">
        <f>ROUND((csv!$HG23/10+calc!BB$1),1)</f>
        <v>-6.5</v>
      </c>
      <c r="BC23" s="4">
        <f>ROUND((csv!$HG23/10+calc!BC$1),1)</f>
        <v>-6.4</v>
      </c>
      <c r="BD23" s="4">
        <f>ROUND((csv!$HG23/10+calc!BD$1),1)</f>
        <v>-6.3</v>
      </c>
      <c r="BE23" s="4">
        <f>ROUND((csv!$HG23/10+calc!BE$1),1)</f>
        <v>-6.2</v>
      </c>
      <c r="BF23" s="4">
        <f>ROUND((csv!$HG23/10+calc!BF$1),1)</f>
        <v>-6.1</v>
      </c>
      <c r="BG23" s="4">
        <f>ROUND((csv!$HG23/10+calc!BG$1),1)</f>
        <v>-6</v>
      </c>
      <c r="BH23" s="4">
        <f>ROUND((csv!$HG23/10+calc!BH$1),1)</f>
        <v>-5.9</v>
      </c>
      <c r="BI23" s="4">
        <f>ROUND((csv!$HG23/10+calc!BI$1),1)</f>
        <v>-5.8</v>
      </c>
      <c r="BJ23" s="4">
        <f>ROUND((csv!$HG23/10+calc!BJ$1),1)</f>
        <v>-5.7</v>
      </c>
      <c r="BK23" s="4">
        <f>ROUND((csv!$HG23/10+calc!BK$1),1)</f>
        <v>-5.6</v>
      </c>
      <c r="BL23" s="4">
        <f>ROUND((csv!$HG23/10+calc!BL$1),1)</f>
        <v>-5.5</v>
      </c>
      <c r="BM23" s="4">
        <f>ROUND((csv!$HG23/10+calc!BM$1),1)</f>
        <v>-5.4</v>
      </c>
      <c r="BN23" s="4">
        <f>ROUND((csv!$HG23/10+calc!BN$1),1)</f>
        <v>-5.3</v>
      </c>
      <c r="BO23" s="4">
        <f>ROUND((csv!$HG23/10+calc!BO$1),1)</f>
        <v>-5.2</v>
      </c>
      <c r="BP23" s="4">
        <f>ROUND((csv!$HG23/10+calc!BP$1),1)</f>
        <v>-5.0999999999999996</v>
      </c>
      <c r="BQ23" s="4">
        <f>ROUND((csv!$HG23/10+calc!BQ$1),1)</f>
        <v>-5</v>
      </c>
      <c r="BR23" s="4">
        <f>ROUND((csv!$HG23/10+calc!BR$1),1)</f>
        <v>-4.9000000000000004</v>
      </c>
      <c r="BS23" s="4">
        <f>ROUND((csv!$HG23/10+calc!BS$1),1)</f>
        <v>-4.8</v>
      </c>
      <c r="BT23" s="4">
        <f>ROUND((csv!$HG23/10+calc!BT$1),1)</f>
        <v>-4.7</v>
      </c>
      <c r="BU23" s="4">
        <f>ROUND((csv!$HG23/10+calc!BU$1),1)</f>
        <v>-4.5999999999999996</v>
      </c>
      <c r="BV23" s="4">
        <f>ROUND((csv!$HG23/10+calc!BV$1),1)</f>
        <v>-4.5</v>
      </c>
      <c r="BW23" s="4">
        <f>ROUND((csv!$HG23/10+calc!BW$1),1)</f>
        <v>-4.4000000000000004</v>
      </c>
      <c r="BX23" s="4">
        <f>ROUND((csv!$HG23/10+calc!BX$1),1)</f>
        <v>-4.3</v>
      </c>
      <c r="BY23" s="4">
        <f>ROUND((csv!$HG23/10+calc!BY$1),1)</f>
        <v>-4.2</v>
      </c>
      <c r="BZ23" s="4">
        <f>ROUND((csv!$HG23/10+calc!BZ$1),1)</f>
        <v>-4.0999999999999996</v>
      </c>
      <c r="CA23" s="4">
        <f>ROUND((csv!$HG23/10+calc!CA$1),1)</f>
        <v>-4</v>
      </c>
      <c r="CB23" s="4">
        <f>ROUND((csv!$HG23/10+calc!CB$1),1)</f>
        <v>-3.9</v>
      </c>
      <c r="CC23" s="4">
        <f>ROUND((csv!$HG23/10+calc!CC$1),1)</f>
        <v>-3.8</v>
      </c>
      <c r="CD23" s="4">
        <f>ROUND((csv!$HG23/10+calc!CD$1),1)</f>
        <v>-3.7</v>
      </c>
      <c r="CE23" s="4">
        <f>ROUND((csv!$HG23/10+calc!CE$1),1)</f>
        <v>-3.6</v>
      </c>
      <c r="CF23" s="4">
        <f>ROUND((csv!$HG23/10+calc!CF$1),1)</f>
        <v>-3.5</v>
      </c>
      <c r="CG23" s="4">
        <f>ROUND((csv!$HG23/10+calc!CG$1),1)</f>
        <v>-3.4</v>
      </c>
      <c r="CH23" s="4">
        <f>ROUND((csv!$HG23/10+calc!CH$1),1)</f>
        <v>-3.3</v>
      </c>
      <c r="CI23" s="4">
        <f>ROUND((csv!$HG23/10+calc!CI$1),1)</f>
        <v>-3.2</v>
      </c>
      <c r="CJ23" s="4">
        <f>ROUND((csv!$HG23/10+calc!CJ$1),1)</f>
        <v>-3.1</v>
      </c>
      <c r="CK23" s="4">
        <f>ROUND((csv!$HG23/10+calc!CK$1),1)</f>
        <v>-3</v>
      </c>
      <c r="CL23" s="4">
        <f>ROUND((csv!$HG23/10+calc!CL$1),1)</f>
        <v>-2.9</v>
      </c>
      <c r="CM23" s="4">
        <f>ROUND((csv!$HG23/10+calc!CM$1),1)</f>
        <v>-2.8</v>
      </c>
      <c r="CN23" s="4">
        <f>ROUND((csv!$HG23/10+calc!CN$1),1)</f>
        <v>-2.7</v>
      </c>
      <c r="CO23" s="4">
        <f>ROUND((csv!$HG23/10+calc!CO$1),1)</f>
        <v>-2.6</v>
      </c>
      <c r="CP23" s="4">
        <f>ROUND((csv!$HG23/10+calc!CP$1),1)</f>
        <v>-2.5</v>
      </c>
      <c r="CQ23" s="4">
        <f>ROUND((csv!$HG23/10+calc!CQ$1),1)</f>
        <v>-2.4</v>
      </c>
      <c r="CR23" s="4">
        <f>ROUND((csv!$HG23/10+calc!CR$1),1)</f>
        <v>-2.2999999999999998</v>
      </c>
      <c r="CS23" s="4">
        <f>ROUND((csv!$HG23/10+calc!CS$1),1)</f>
        <v>-2.2000000000000002</v>
      </c>
      <c r="CT23" s="4">
        <f>ROUND((csv!$HG23/10+calc!CT$1),1)</f>
        <v>-2.1</v>
      </c>
      <c r="CU23" s="4">
        <f>ROUND((csv!$HG23/10+calc!CU$1),1)</f>
        <v>-2</v>
      </c>
      <c r="CV23" s="4">
        <f>ROUND((csv!$HG23/10+calc!CV$1),1)</f>
        <v>-1.9</v>
      </c>
      <c r="CW23" s="4">
        <f>ROUND((csv!$HG23/10+calc!CW$1),1)</f>
        <v>-1.8</v>
      </c>
      <c r="CX23" s="4">
        <f>ROUND((csv!$HG23/10+calc!CX$1),1)</f>
        <v>-1.7</v>
      </c>
      <c r="CY23" s="4">
        <f>ROUND((csv!$HG23/10+calc!CY$1),1)</f>
        <v>-1.6</v>
      </c>
      <c r="CZ23" s="4">
        <f>ROUND((csv!$HG23/10+calc!CZ$1),1)</f>
        <v>-1.5</v>
      </c>
      <c r="DA23" s="4">
        <f>ROUND((csv!$HG23/10+calc!DA$1),1)</f>
        <v>-1.4</v>
      </c>
      <c r="DB23" s="4">
        <f>ROUND((csv!$HG23/10+calc!DB$1),1)</f>
        <v>-1.3</v>
      </c>
      <c r="DC23" s="4">
        <f>ROUND((csv!$HG23/10+calc!DC$1),1)</f>
        <v>-1.2</v>
      </c>
      <c r="DD23" s="4">
        <f>ROUND((csv!$HG23/10+calc!DD$1),1)</f>
        <v>-1.1000000000000001</v>
      </c>
      <c r="DE23" s="4">
        <f>ROUND((csv!$HG23/10+calc!DE$1),1)</f>
        <v>-1</v>
      </c>
      <c r="DF23" s="4">
        <f>ROUND((csv!$HG23/10+calc!DF$1),1)</f>
        <v>-0.9</v>
      </c>
      <c r="DG23" s="4">
        <f>ROUND((csv!$HG23/10+calc!DG$1),1)</f>
        <v>-0.8</v>
      </c>
      <c r="DH23" s="4">
        <f>ROUND((csv!$HG23/10+calc!DH$1),1)</f>
        <v>-0.7</v>
      </c>
      <c r="DI23" s="4">
        <f>ROUND((csv!$HG23/10+calc!DI$1),1)</f>
        <v>-0.6</v>
      </c>
      <c r="DJ23" s="4">
        <f>ROUND((csv!$HG23/10+calc!DJ$1),1)</f>
        <v>-0.5</v>
      </c>
      <c r="DK23" s="4">
        <f>ROUND((csv!$HG23/10+calc!DK$1),1)</f>
        <v>-0.4</v>
      </c>
      <c r="DL23" s="4">
        <f>ROUND((csv!$HG23/10+calc!DL$1),1)</f>
        <v>-0.3</v>
      </c>
      <c r="DM23" s="4">
        <f>ROUND((csv!$HG23/10+calc!DM$1),1)</f>
        <v>-0.2</v>
      </c>
      <c r="DN23" s="4">
        <f>ROUND((csv!$HG23/10+calc!DN$1),1)</f>
        <v>-0.1</v>
      </c>
      <c r="DO23" s="4">
        <f>ROUND((csv!$HG23/10+calc!DO$1),1)</f>
        <v>0</v>
      </c>
      <c r="DP23" s="4">
        <f>ROUND((csv!$HG23/10+calc!DP$1),1)</f>
        <v>0.1</v>
      </c>
      <c r="DQ23" s="4">
        <f>ROUND((csv!$HG23/10+calc!DQ$1),1)</f>
        <v>0.2</v>
      </c>
      <c r="DR23" s="4">
        <f>ROUND((csv!$HG23/10+calc!DR$1),1)</f>
        <v>0.3</v>
      </c>
      <c r="DS23" s="4">
        <f>ROUND((csv!$HG23/10+calc!DS$1),1)</f>
        <v>0.4</v>
      </c>
      <c r="DT23" s="4">
        <f>ROUND((csv!$HG23/10+calc!DT$1),1)</f>
        <v>0.5</v>
      </c>
      <c r="DU23" s="4">
        <f>ROUND((csv!$HG23/10+calc!DU$1),1)</f>
        <v>0.6</v>
      </c>
      <c r="DV23" s="4">
        <f>ROUND((csv!$HG23/10+calc!DV$1),1)</f>
        <v>0.7</v>
      </c>
      <c r="DW23" s="4">
        <f>ROUND((csv!$HG23/10+calc!DW$1),1)</f>
        <v>0.8</v>
      </c>
      <c r="DX23" s="4">
        <f>ROUND((csv!$HG23/10+calc!DX$1),1)</f>
        <v>0.9</v>
      </c>
      <c r="DY23" s="4">
        <f>ROUND((csv!$HG23/10+calc!DY$1),1)</f>
        <v>1</v>
      </c>
      <c r="DZ23" s="4">
        <f>ROUND((csv!$HG23/10+calc!DZ$1),1)</f>
        <v>1.1000000000000001</v>
      </c>
      <c r="EA23" s="4">
        <f>ROUND((csv!$HG23/10+calc!EA$1),1)</f>
        <v>1.2</v>
      </c>
      <c r="EB23" s="4">
        <f>ROUND((csv!$HG23/10+calc!EB$1),1)</f>
        <v>1.3</v>
      </c>
      <c r="EC23" s="4">
        <f>ROUND((csv!$HG23/10+calc!EC$1),1)</f>
        <v>1.4</v>
      </c>
      <c r="ED23" s="4">
        <f>ROUND((csv!$HG23/10+calc!ED$1),1)</f>
        <v>1.5</v>
      </c>
      <c r="EE23" s="4">
        <f>ROUND((csv!$HG23/10+calc!EE$1),1)</f>
        <v>1.6</v>
      </c>
      <c r="EF23" s="4">
        <f>ROUND((csv!$HG23/10+calc!EF$1),1)</f>
        <v>1.7</v>
      </c>
      <c r="EG23" s="4">
        <f>ROUND((csv!$HG23/10+calc!EG$1),1)</f>
        <v>1.8</v>
      </c>
      <c r="EH23" s="4">
        <f>ROUND((csv!$HG23/10+calc!EH$1),1)</f>
        <v>1.9</v>
      </c>
      <c r="EI23" s="4">
        <f>ROUND((csv!$HG23/10+calc!EI$1),1)</f>
        <v>2</v>
      </c>
      <c r="EJ23" s="4">
        <f>ROUND((csv!$HG23/10+calc!EJ$1),1)</f>
        <v>2.1</v>
      </c>
      <c r="EK23" s="4">
        <f>ROUND((csv!$HG23/10+calc!EK$1),1)</f>
        <v>2.2000000000000002</v>
      </c>
      <c r="EL23" s="4">
        <f>ROUND((csv!$HG23/10+calc!EL$1),1)</f>
        <v>2.2999999999999998</v>
      </c>
      <c r="EM23" s="4">
        <f>ROUND((csv!$HG23/10+calc!EM$1),1)</f>
        <v>2.4</v>
      </c>
      <c r="EN23" s="4">
        <f>ROUND((csv!$HG23/10+calc!EN$1),1)</f>
        <v>2.5</v>
      </c>
      <c r="EO23" s="4">
        <f>ROUND((csv!$HG23/10+calc!EO$1),1)</f>
        <v>2.6</v>
      </c>
      <c r="EP23" s="4">
        <f>ROUND((csv!$HG23/10+calc!EP$1),1)</f>
        <v>2.7</v>
      </c>
      <c r="EQ23" s="4">
        <f>ROUND((csv!$HG23/10+calc!EQ$1),1)</f>
        <v>2.8</v>
      </c>
      <c r="ER23" s="4">
        <f>ROUND((csv!$HG23/10+calc!ER$1),1)</f>
        <v>2.9</v>
      </c>
      <c r="ES23" s="4">
        <f>ROUND((csv!$HG23/10+calc!ES$1),1)</f>
        <v>3</v>
      </c>
      <c r="ET23" s="4">
        <f>ROUND((csv!$HG23/10+calc!ET$1),1)</f>
        <v>3.1</v>
      </c>
      <c r="EU23" s="4">
        <f>ROUND((csv!$HG23/10+calc!EU$1),1)</f>
        <v>3.2</v>
      </c>
      <c r="EV23" s="4">
        <f>ROUND((csv!$HG23/10+calc!EV$1),1)</f>
        <v>3.3</v>
      </c>
      <c r="EW23" s="4">
        <f>ROUND((csv!$HG23/10+calc!EW$1),1)</f>
        <v>3.4</v>
      </c>
      <c r="EX23" s="4">
        <f>ROUND((csv!$HG23/10+calc!EX$1),1)</f>
        <v>3.5</v>
      </c>
      <c r="EY23" s="4">
        <f>ROUND((csv!$HG23/10+calc!EY$1),1)</f>
        <v>3.6</v>
      </c>
      <c r="EZ23" s="4">
        <f>ROUND((csv!$HG23/10+calc!EZ$1),1)</f>
        <v>3.7</v>
      </c>
      <c r="FA23" s="4">
        <f>ROUND((csv!$HG23/10+calc!FA$1),1)</f>
        <v>3.8</v>
      </c>
      <c r="FB23" s="4">
        <f>ROUND((csv!$HG23/10+calc!FB$1),1)</f>
        <v>3.9</v>
      </c>
      <c r="FC23" s="4">
        <f>ROUND((csv!$HG23/10+calc!FC$1),1)</f>
        <v>4</v>
      </c>
      <c r="FD23" s="4">
        <f>ROUND((csv!$HG23/10+calc!FD$1),1)</f>
        <v>4.0999999999999996</v>
      </c>
      <c r="FE23" s="4">
        <f>ROUND((csv!$HG23/10+calc!FE$1),1)</f>
        <v>4.2</v>
      </c>
      <c r="FF23" s="4">
        <f>ROUND((csv!$HG23/10+calc!FF$1),1)</f>
        <v>4.3</v>
      </c>
      <c r="FG23" s="4">
        <f>ROUND((csv!$HG23/10+calc!FG$1),1)</f>
        <v>4.4000000000000004</v>
      </c>
      <c r="FH23" s="4">
        <f>ROUND((csv!$HG23/10+calc!FH$1),1)</f>
        <v>4.5</v>
      </c>
      <c r="FI23" s="4">
        <f>ROUND((csv!$HG23/10+calc!FI$1),1)</f>
        <v>4.5999999999999996</v>
      </c>
      <c r="FJ23" s="4">
        <f>ROUND((csv!$HG23/10+calc!FJ$1),1)</f>
        <v>4.7</v>
      </c>
      <c r="FK23" s="4">
        <f>ROUND((csv!$HG23/10+calc!FK$1),1)</f>
        <v>4.8</v>
      </c>
      <c r="FL23" s="4">
        <f>ROUND((csv!$HG23/10+calc!FL$1),1)</f>
        <v>4.9000000000000004</v>
      </c>
      <c r="FM23" s="4">
        <f>ROUND((csv!$HG23/10+calc!FM$1),1)</f>
        <v>5</v>
      </c>
      <c r="FN23" s="4">
        <f>ROUND((csv!$HG23/10+calc!FN$1),1)</f>
        <v>5.0999999999999996</v>
      </c>
      <c r="FO23" s="4">
        <f>ROUND((csv!$HG23/10+calc!FO$1),1)</f>
        <v>5.2</v>
      </c>
      <c r="FP23" s="4">
        <f>ROUND((csv!$HG23/10+calc!FP$1),1)</f>
        <v>5.3</v>
      </c>
      <c r="FQ23" s="4">
        <f>ROUND((csv!$HG23/10+calc!FQ$1),1)</f>
        <v>5.4</v>
      </c>
      <c r="FR23" s="4">
        <f>ROUND((csv!$HG23/10+calc!FR$1),1)</f>
        <v>5.5</v>
      </c>
      <c r="FS23" s="4">
        <f>ROUND((csv!$HG23/10+calc!FS$1),1)</f>
        <v>5.6</v>
      </c>
      <c r="FT23" s="4">
        <f>ROUND((csv!$HG23/10+calc!FT$1),1)</f>
        <v>5.7</v>
      </c>
      <c r="FU23" s="4">
        <f>ROUND((csv!$HG23/10+calc!FU$1),1)</f>
        <v>5.8</v>
      </c>
      <c r="FV23" s="4">
        <f>ROUND((csv!$HG23/10+calc!FV$1),1)</f>
        <v>5.9</v>
      </c>
      <c r="FW23" s="4">
        <f>ROUND((csv!$HG23/10+calc!FW$1),1)</f>
        <v>6</v>
      </c>
      <c r="FX23" s="4">
        <f>ROUND((csv!$HG23/10+calc!FX$1),1)</f>
        <v>6.1</v>
      </c>
      <c r="FY23" s="4">
        <f>ROUND((csv!$HG23/10+calc!FY$1),1)</f>
        <v>6.2</v>
      </c>
      <c r="FZ23" s="4">
        <f>ROUND((csv!$HG23/10+calc!FZ$1),1)</f>
        <v>6.3</v>
      </c>
      <c r="GA23" s="4">
        <f>ROUND((csv!$HG23/10+calc!GA$1),1)</f>
        <v>6.4</v>
      </c>
      <c r="GB23" s="4">
        <f>ROUND((csv!$HG23/10+calc!GB$1),1)</f>
        <v>6.5</v>
      </c>
      <c r="GC23" s="4">
        <f>ROUND((csv!$HG23/10+calc!GC$1),1)</f>
        <v>6.6</v>
      </c>
      <c r="GD23" s="4">
        <f>ROUND((csv!$HG23/10+calc!GD$1),1)</f>
        <v>6.7</v>
      </c>
      <c r="GE23" s="4">
        <f>ROUND((csv!$HG23/10+calc!GE$1),1)</f>
        <v>6.8</v>
      </c>
      <c r="GF23" s="4">
        <f>ROUND((csv!$HG23/10+calc!GF$1),1)</f>
        <v>6.9</v>
      </c>
      <c r="GG23" s="4">
        <f>ROUND((csv!$HG23/10+calc!GG$1),1)</f>
        <v>7</v>
      </c>
      <c r="GH23" s="4">
        <f>ROUND((csv!$HG23/10+calc!GH$1),1)</f>
        <v>7.1</v>
      </c>
      <c r="GI23" s="4">
        <f>ROUND((csv!$HG23/10+calc!GI$1),1)</f>
        <v>7.2</v>
      </c>
      <c r="GJ23" s="4">
        <f>ROUND((csv!$HG23/10+calc!GJ$1),1)</f>
        <v>7.3</v>
      </c>
      <c r="GK23" s="4">
        <f>ROUND((csv!$HG23/10+calc!GK$1),1)</f>
        <v>7.4</v>
      </c>
      <c r="GL23" s="4">
        <f>ROUND((csv!$HG23/10+calc!GL$1),1)</f>
        <v>7.5</v>
      </c>
      <c r="GM23" s="4">
        <f>ROUND((csv!$HG23/10+calc!GM$1),1)</f>
        <v>7.6</v>
      </c>
      <c r="GN23" s="4">
        <f>ROUND((csv!$HG23/10+calc!GN$1),1)</f>
        <v>7.7</v>
      </c>
      <c r="GO23" s="4">
        <f>ROUND((csv!$HG23/10+calc!GO$1),1)</f>
        <v>7.8</v>
      </c>
      <c r="GP23" s="4">
        <f>ROUND((csv!$HG23/10+calc!GP$1),1)</f>
        <v>7.9</v>
      </c>
      <c r="GQ23" s="4">
        <f>ROUND((csv!$HG23/10+calc!GQ$1),1)</f>
        <v>8</v>
      </c>
      <c r="GR23" s="4">
        <f>ROUND((csv!$HG23/10+calc!GR$1),1)</f>
        <v>8.1</v>
      </c>
      <c r="GS23" s="4">
        <f>ROUND((csv!$HG23/10+calc!GS$1),1)</f>
        <v>8.1999999999999993</v>
      </c>
      <c r="GT23" s="4">
        <f>ROUND((csv!$HG23/10+calc!GT$1),1)</f>
        <v>8.3000000000000007</v>
      </c>
      <c r="GU23" s="4">
        <f>ROUND((csv!$HG23/10+calc!GU$1),1)</f>
        <v>8.4</v>
      </c>
      <c r="GV23" s="4">
        <f>ROUND((csv!$HG23/10+calc!GV$1),1)</f>
        <v>8.5</v>
      </c>
      <c r="GW23" s="4">
        <f>ROUND((csv!$HG23/10+calc!GW$1),1)</f>
        <v>8.6</v>
      </c>
      <c r="GX23" s="4">
        <f>ROUND((csv!$HG23/10+calc!GX$1),1)</f>
        <v>8.6999999999999993</v>
      </c>
      <c r="GY23" s="4">
        <f>ROUND((csv!$HG23/10+calc!GY$1),1)</f>
        <v>8.8000000000000007</v>
      </c>
      <c r="GZ23" s="4">
        <f>ROUND((csv!$HG23/10+calc!GZ$1),1)</f>
        <v>8.9</v>
      </c>
      <c r="HA23" s="4">
        <f>ROUND((csv!$HG23/10+calc!HA$1),1)</f>
        <v>9</v>
      </c>
      <c r="HB23" s="4">
        <f>ROUND((csv!$HG23/10+calc!HB$1),1)</f>
        <v>9.1</v>
      </c>
      <c r="HC23" s="4">
        <f>ROUND((csv!$HG23/10+calc!HC$1),1)</f>
        <v>9.1999999999999993</v>
      </c>
      <c r="HD23" s="4">
        <f>ROUND((csv!$HG23/10+calc!HD$1),1)</f>
        <v>9.3000000000000007</v>
      </c>
      <c r="HE23" s="4">
        <f>ROUND((csv!$HG23/10+calc!HE$1),1)</f>
        <v>9.4</v>
      </c>
      <c r="HF23" s="4">
        <f>ROUND((csv!$HG23/10+calc!HF$1),1)</f>
        <v>9.5</v>
      </c>
      <c r="HG23" s="4">
        <f>ROUND((csv!$HG23/10+calc!HG$1),1)</f>
        <v>9.6</v>
      </c>
      <c r="HH23" s="4">
        <f>ROUND((csv!$HG23/10+calc!HH$1),1)</f>
        <v>9.6999999999999993</v>
      </c>
      <c r="HI23" s="4">
        <f>ROUND((csv!$HG23/10+calc!HI$1),1)</f>
        <v>9.8000000000000007</v>
      </c>
      <c r="HJ23" s="4">
        <f>ROUND((csv!$HG23/10+calc!HJ$1),1)</f>
        <v>9.9</v>
      </c>
      <c r="HK23" s="4">
        <f>ROUND((csv!$HG23/10+calc!HK$1),1)</f>
        <v>10</v>
      </c>
      <c r="HM23" s="2">
        <f>csv!A23*10000+csv!B23*100+csv!C23</f>
        <v>0</v>
      </c>
      <c r="HN23" s="5">
        <f>IF(ISERROR(LOOKUP(HN$1,$S23:$HK23,csv!$L23:$HD23)),NA(),LOOKUP(HN$1,$S23:$HK23,csv!$L23:$HD23))</f>
        <v>0</v>
      </c>
      <c r="HO23" s="5">
        <f>IF(ISERROR(LOOKUP(HO$1,$S23:$HK23,csv!$L23:$HD23)),NA(),LOOKUP(HO$1,$S23:$HK23,csv!$L23:$HD23))</f>
        <v>0</v>
      </c>
      <c r="HP23" s="5">
        <f>IF(ISERROR(LOOKUP(HP$1,$S23:$HK23,csv!$L23:$HD23)),NA(),LOOKUP(HP$1,$S23:$HK23,csv!$L23:$HD23))</f>
        <v>0</v>
      </c>
      <c r="HQ23" s="5">
        <f>IF(ISERROR(LOOKUP(HQ$1,$S23:$HK23,csv!$L23:$HD23)),NA(),LOOKUP(HQ$1,$S23:$HK23,csv!$L23:$HD23))</f>
        <v>0</v>
      </c>
      <c r="HR23" s="5">
        <f>IF(ISERROR(LOOKUP(HR$1,$S23:$HK23,csv!$L23:$HD23)),NA(),LOOKUP(HR$1,$S23:$HK23,csv!$L23:$HD23))</f>
        <v>0</v>
      </c>
      <c r="HS23" s="5">
        <f>IF(ISERROR(LOOKUP(HS$1,$S23:$HK23,csv!$L23:$HD23)),NA(),LOOKUP(HS$1,$S23:$HK23,csv!$L23:$HD23))</f>
        <v>0</v>
      </c>
      <c r="HT23" s="5">
        <f>IF(ISERROR(LOOKUP(HT$1,$S23:$HK23,csv!$L23:$HD23)),NA(),LOOKUP(HT$1,$S23:$HK23,csv!$L23:$HD23))</f>
        <v>0</v>
      </c>
      <c r="HU23" s="5">
        <f>IF(ISERROR(LOOKUP(HU$1,$S23:$HK23,csv!$L23:$HD23)),NA(),LOOKUP(HU$1,$S23:$HK23,csv!$L23:$HD23))</f>
        <v>0</v>
      </c>
      <c r="HV23" s="5">
        <f>IF(ISERROR(LOOKUP(HV$1,$S23:$HK23,csv!$L23:$HD23)),NA(),LOOKUP(HV$1,$S23:$HK23,csv!$L23:$HD23))</f>
        <v>0</v>
      </c>
      <c r="HW23" s="5">
        <f>IF(ISERROR(LOOKUP(HW$1,$S23:$HK23,csv!$L23:$HD23)),NA(),LOOKUP(HW$1,$S23:$HK23,csv!$L23:$HD23))</f>
        <v>0</v>
      </c>
      <c r="HX23" s="5">
        <f>IF(ISERROR(LOOKUP(HX$1,$S23:$HK23,csv!$L23:$HD23)),NA(),LOOKUP(HX$1,$S23:$HK23,csv!$L23:$HD23))</f>
        <v>0</v>
      </c>
      <c r="HY23" s="5">
        <f>IF(ISERROR(LOOKUP(HY$1,$S23:$HK23,csv!$L23:$HD23)),NA(),LOOKUP(HY$1,$S23:$HK23,csv!$L23:$HD23))</f>
        <v>0</v>
      </c>
      <c r="HZ23" s="5">
        <f>IF(ISERROR(LOOKUP(HZ$1,$S23:$HK23,csv!$L23:$HD23)),NA(),LOOKUP(HZ$1,$S23:$HK23,csv!$L23:$HD23))</f>
        <v>0</v>
      </c>
      <c r="IA23" s="5">
        <f>IF(ISERROR(LOOKUP(IA$1,$S23:$HK23,csv!$L23:$HD23)),NA(),LOOKUP(IA$1,$S23:$HK23,csv!$L23:$HD23))</f>
        <v>0</v>
      </c>
      <c r="IB23" s="5">
        <f>IF(ISERROR(LOOKUP(IB$1,$S23:$HK23,csv!$L23:$HD23)),NA(),LOOKUP(IB$1,$S23:$HK23,csv!$L23:$HD23))</f>
        <v>0</v>
      </c>
      <c r="IC23" s="5">
        <f>IF(ISERROR(LOOKUP(IC$1,$S23:$HK23,csv!$L23:$HD23)),NA(),LOOKUP(IC$1,$S23:$HK23,csv!$L23:$HD23))</f>
        <v>0</v>
      </c>
      <c r="ID23" s="5">
        <f>IF(ISERROR(LOOKUP(ID$1,$S23:$HK23,csv!$L23:$HD23)),NA(),LOOKUP(ID$1,$S23:$HK23,csv!$L23:$HD23))</f>
        <v>0</v>
      </c>
      <c r="IE23" s="5">
        <f>IF(ISERROR(LOOKUP(IE$1,$S23:$HK23,csv!$L23:$HD23)),NA(),LOOKUP(IE$1,$S23:$HK23,csv!$L23:$HD23))</f>
        <v>0</v>
      </c>
      <c r="IF23" s="5">
        <f>IF(ISERROR(LOOKUP(IF$1,$S23:$HK23,csv!$L23:$HD23)),NA(),LOOKUP(IF$1,$S23:$HK23,csv!$L23:$HD23))</f>
        <v>0</v>
      </c>
      <c r="IG23" s="5">
        <f>IF(ISERROR(LOOKUP(IG$1,$S23:$HK23,csv!$L23:$HD23)),NA(),LOOKUP(IG$1,$S23:$HK23,csv!$L23:$HD23))</f>
        <v>0</v>
      </c>
      <c r="IH23" s="5">
        <f>IF(ISERROR(LOOKUP(IH$1,$S23:$HK23,csv!$L23:$HD23)),NA(),LOOKUP(IH$1,$S23:$HK23,csv!$L23:$HD23))</f>
        <v>0</v>
      </c>
      <c r="II23" s="5">
        <f>IF(ISERROR(LOOKUP(II$1,$S23:$HK23,csv!$L23:$HD23)),NA(),LOOKUP(II$1,$S23:$HK23,csv!$L23:$HD23))</f>
        <v>0</v>
      </c>
      <c r="IJ23" s="5">
        <f>IF(ISERROR(LOOKUP(IJ$1,$S23:$HK23,csv!$L23:$HD23)),NA(),LOOKUP(IJ$1,$S23:$HK23,csv!$L23:$HD23))</f>
        <v>0</v>
      </c>
      <c r="IK23" s="5">
        <f>IF(ISERROR(LOOKUP(IK$1,$S23:$HK23,csv!$L23:$HD23)),NA(),LOOKUP(IK$1,$S23:$HK23,csv!$L23:$HD23))</f>
        <v>0</v>
      </c>
      <c r="IL23" s="5">
        <f>IF(ISERROR(LOOKUP(IL$1,$S23:$HK23,csv!$L23:$HD23)),NA(),LOOKUP(IL$1,$S23:$HK23,csv!$L23:$HD23))</f>
        <v>0</v>
      </c>
      <c r="IM23" s="5">
        <f>IF(ISERROR(LOOKUP(IM$1,$S23:$HK23,csv!$L23:$HD23)),NA(),LOOKUP(IM$1,$S23:$HK23,csv!$L23:$HD23))</f>
        <v>0</v>
      </c>
      <c r="IN23" s="5">
        <f>IF(ISERROR(LOOKUP(IN$1,$S23:$HK23,csv!$L23:$HD23)),NA(),LOOKUP(IN$1,$S23:$HK23,csv!$L23:$HD23))</f>
        <v>0</v>
      </c>
      <c r="IO23" s="5">
        <f>IF(ISERROR(LOOKUP(IO$1,$S23:$HK23,csv!$L23:$HD23)),NA(),LOOKUP(IO$1,$S23:$HK23,csv!$L23:$HD23))</f>
        <v>0</v>
      </c>
      <c r="IP23" s="5">
        <f>IF(ISERROR(LOOKUP(IP$1,$S23:$HK23,csv!$L23:$HD23)),NA(),LOOKUP(IP$1,$S23:$HK23,csv!$L23:$HD23))</f>
        <v>0</v>
      </c>
      <c r="IQ23" s="5">
        <f>IF(ISERROR(LOOKUP(IQ$1,$S23:$HK23,csv!$L23:$HD23)),NA(),LOOKUP(IQ$1,$S23:$HK23,csv!$L23:$HD23))</f>
        <v>0</v>
      </c>
      <c r="IR23" s="5">
        <f>IF(ISERROR(LOOKUP(IR$1,$S23:$HK23,csv!$L23:$HD23)),NA(),LOOKUP(IR$1,$S23:$HK23,csv!$L23:$HD23))</f>
        <v>0</v>
      </c>
      <c r="IS23" s="5">
        <f>IF(ISERROR(LOOKUP(IS$1,$S23:$HK23,csv!$L23:$HD23)),NA(),LOOKUP(IS$1,$S23:$HK23,csv!$L23:$HD23))</f>
        <v>0</v>
      </c>
      <c r="IT23" s="5">
        <f>IF(ISERROR(LOOKUP(IT$1,$S23:$HK23,csv!$L23:$HD23)),NA(),LOOKUP(IT$1,$S23:$HK23,csv!$L23:$HD23))</f>
        <v>0</v>
      </c>
      <c r="IU23" s="5">
        <f>IF(ISERROR(LOOKUP(IU$1,$S23:$HK23,csv!$L23:$HD23)),NA(),LOOKUP(IU$1,$S23:$HK23,csv!$L23:$HD23))</f>
        <v>0</v>
      </c>
      <c r="IV23" s="5">
        <f>IF(ISERROR(LOOKUP(IV$1,$S23:$HK23,csv!$L23:$HD23)),NA(),LOOKUP(IV$1,$S23:$HK23,csv!$L23:$HD23))</f>
        <v>0</v>
      </c>
      <c r="IW23" s="5">
        <f>IF(ISERROR(LOOKUP(IW$1,$S23:$HK23,csv!$L23:$HD23)),NA(),LOOKUP(IW$1,$S23:$HK23,csv!$L23:$HD23))</f>
        <v>0</v>
      </c>
      <c r="IX23" s="5">
        <f>IF(ISERROR(LOOKUP(IX$1,$S23:$HK23,csv!$L23:$HD23)),NA(),LOOKUP(IX$1,$S23:$HK23,csv!$L23:$HD23))</f>
        <v>0</v>
      </c>
      <c r="IY23" s="5">
        <f>IF(ISERROR(LOOKUP(IY$1,$S23:$HK23,csv!$L23:$HD23)),NA(),LOOKUP(IY$1,$S23:$HK23,csv!$L23:$HD23))</f>
        <v>0</v>
      </c>
      <c r="IZ23" s="5">
        <f>IF(ISERROR(LOOKUP(IZ$1,$S23:$HK23,csv!$L23:$HD23)),NA(),LOOKUP(IZ$1,$S23:$HK23,csv!$L23:$HD23))</f>
        <v>0</v>
      </c>
      <c r="JA23" s="5">
        <f>IF(ISERROR(LOOKUP(JA$1,$S23:$HK23,csv!$L23:$HD23)),NA(),LOOKUP(JA$1,$S23:$HK23,csv!$L23:$HD23))</f>
        <v>0</v>
      </c>
      <c r="JB23" s="5">
        <f>IF(ISERROR(LOOKUP(JB$1,$S23:$HK23,csv!$L23:$HD23)),NA(),LOOKUP(JB$1,$S23:$HK23,csv!$L23:$HD23))</f>
        <v>0</v>
      </c>
      <c r="JC23" s="5">
        <f>IF(ISERROR(LOOKUP(JC$1,$S23:$HK23,csv!$L23:$HD23)),NA(),LOOKUP(JC$1,$S23:$HK23,csv!$L23:$HD23))</f>
        <v>0</v>
      </c>
      <c r="JD23" s="5">
        <f>IF(ISERROR(LOOKUP(JD$1,$S23:$HK23,csv!$L23:$HD23)),NA(),LOOKUP(JD$1,$S23:$HK23,csv!$L23:$HD23))</f>
        <v>0</v>
      </c>
      <c r="JE23" s="5">
        <f>IF(ISERROR(LOOKUP(JE$1,$S23:$HK23,csv!$L23:$HD23)),NA(),LOOKUP(JE$1,$S23:$HK23,csv!$L23:$HD23))</f>
        <v>0</v>
      </c>
      <c r="JF23" s="5">
        <f>IF(ISERROR(LOOKUP(JF$1,$S23:$HK23,csv!$L23:$HD23)),NA(),LOOKUP(JF$1,$S23:$HK23,csv!$L23:$HD23))</f>
        <v>0</v>
      </c>
      <c r="JG23" s="5">
        <f>IF(ISERROR(LOOKUP(JG$1,$S23:$HK23,csv!$L23:$HD23)),NA(),LOOKUP(JG$1,$S23:$HK23,csv!$L23:$HD23))</f>
        <v>0</v>
      </c>
      <c r="JH23" s="5">
        <f>IF(ISERROR(LOOKUP(JH$1,$S23:$HK23,csv!$L23:$HD23)),NA(),LOOKUP(JH$1,$S23:$HK23,csv!$L23:$HD23))</f>
        <v>0</v>
      </c>
      <c r="JI23" s="5">
        <f>IF(ISERROR(LOOKUP(JI$1,$S23:$HK23,csv!$L23:$HD23)),NA(),LOOKUP(JI$1,$S23:$HK23,csv!$L23:$HD23))</f>
        <v>0</v>
      </c>
      <c r="JJ23" s="5">
        <f>IF(ISERROR(LOOKUP(JJ$1,$S23:$HK23,csv!$L23:$HD23)),NA(),LOOKUP(JJ$1,$S23:$HK23,csv!$L23:$HD23))</f>
        <v>0</v>
      </c>
      <c r="JK23" s="5">
        <f>IF(ISERROR(LOOKUP(JK$1,$S23:$HK23,csv!$L23:$HD23)),NA(),LOOKUP(JK$1,$S23:$HK23,csv!$L23:$HD23))</f>
        <v>0</v>
      </c>
      <c r="JL23" s="5">
        <f>IF(ISERROR(LOOKUP(JL$1,$S23:$HK23,csv!$L23:$HD23)),NA(),LOOKUP(JL$1,$S23:$HK23,csv!$L23:$HD23))</f>
        <v>0</v>
      </c>
      <c r="JM23" s="5">
        <f>IF(ISERROR(LOOKUP(JM$1,$S23:$HK23,csv!$L23:$HD23)),NA(),LOOKUP(JM$1,$S23:$HK23,csv!$L23:$HD23))</f>
        <v>0</v>
      </c>
      <c r="JN23" s="5">
        <f>IF(ISERROR(LOOKUP(JN$1,$S23:$HK23,csv!$L23:$HD23)),NA(),LOOKUP(JN$1,$S23:$HK23,csv!$L23:$HD23))</f>
        <v>0</v>
      </c>
      <c r="JO23" s="5">
        <f>IF(ISERROR(LOOKUP(JO$1,$S23:$HK23,csv!$L23:$HD23)),NA(),LOOKUP(JO$1,$S23:$HK23,csv!$L23:$HD23))</f>
        <v>0</v>
      </c>
      <c r="JP23" s="5">
        <f>IF(ISERROR(LOOKUP(JP$1,$S23:$HK23,csv!$L23:$HD23)),NA(),LOOKUP(JP$1,$S23:$HK23,csv!$L23:$HD23))</f>
        <v>0</v>
      </c>
      <c r="JQ23" s="5">
        <f>IF(ISERROR(LOOKUP(JQ$1,$S23:$HK23,csv!$L23:$HD23)),NA(),LOOKUP(JQ$1,$S23:$HK23,csv!$L23:$HD23))</f>
        <v>0</v>
      </c>
      <c r="JR23" s="5">
        <f>IF(ISERROR(LOOKUP(JR$1,$S23:$HK23,csv!$L23:$HD23)),NA(),LOOKUP(JR$1,$S23:$HK23,csv!$L23:$HD23))</f>
        <v>0</v>
      </c>
      <c r="JS23" s="5">
        <f>IF(ISERROR(LOOKUP(JS$1,$S23:$HK23,csv!$L23:$HD23)),NA(),LOOKUP(JS$1,$S23:$HK23,csv!$L23:$HD23))</f>
        <v>0</v>
      </c>
      <c r="JT23" s="5">
        <f>IF(ISERROR(LOOKUP(JT$1,$S23:$HK23,csv!$L23:$HD23)),NA(),LOOKUP(JT$1,$S23:$HK23,csv!$L23:$HD23))</f>
        <v>0</v>
      </c>
      <c r="JU23" s="5">
        <f>IF(ISERROR(LOOKUP(JU$1,$S23:$HK23,csv!$L23:$HD23)),NA(),LOOKUP(JU$1,$S23:$HK23,csv!$L23:$HD23))</f>
        <v>0</v>
      </c>
      <c r="JV23" s="5">
        <f>IF(ISERROR(LOOKUP(JV$1,$S23:$HK23,csv!$L23:$HD23)),NA(),LOOKUP(JV$1,$S23:$HK23,csv!$L23:$HD23))</f>
        <v>0</v>
      </c>
      <c r="JW23" s="5">
        <f>IF(ISERROR(LOOKUP(JW$1,$S23:$HK23,csv!$L23:$HD23)),NA(),LOOKUP(JW$1,$S23:$HK23,csv!$L23:$HD23))</f>
        <v>0</v>
      </c>
      <c r="JX23" s="5">
        <f>IF(ISERROR(LOOKUP(JX$1,$S23:$HK23,csv!$L23:$HD23)),NA(),LOOKUP(JX$1,$S23:$HK23,csv!$L23:$HD23))</f>
        <v>0</v>
      </c>
      <c r="JY23" s="5">
        <f>IF(ISERROR(LOOKUP(JY$1,$S23:$HK23,csv!$L23:$HD23)),NA(),LOOKUP(JY$1,$S23:$HK23,csv!$L23:$HD23))</f>
        <v>0</v>
      </c>
      <c r="JZ23" s="5">
        <f>IF(ISERROR(LOOKUP(JZ$1,$S23:$HK23,csv!$L23:$HD23)),NA(),LOOKUP(JZ$1,$S23:$HK23,csv!$L23:$HD23))</f>
        <v>0</v>
      </c>
      <c r="KA23" s="5">
        <f>IF(ISERROR(LOOKUP(KA$1,$S23:$HK23,csv!$L23:$HD23)),NA(),LOOKUP(KA$1,$S23:$HK23,csv!$L23:$HD23))</f>
        <v>0</v>
      </c>
      <c r="KB23" s="5">
        <f>IF(ISERROR(LOOKUP(KB$1,$S23:$HK23,csv!$L23:$HD23)),NA(),LOOKUP(KB$1,$S23:$HK23,csv!$L23:$HD23))</f>
        <v>0</v>
      </c>
      <c r="KC23" s="5">
        <f>IF(ISERROR(LOOKUP(KC$1,$S23:$HK23,csv!$L23:$HD23)),NA(),LOOKUP(KC$1,$S23:$HK23,csv!$L23:$HD23))</f>
        <v>0</v>
      </c>
      <c r="KD23" s="5">
        <f>IF(ISERROR(LOOKUP(KD$1,$S23:$HK23,csv!$L23:$HD23)),NA(),LOOKUP(KD$1,$S23:$HK23,csv!$L23:$HD23))</f>
        <v>0</v>
      </c>
      <c r="KE23" s="5">
        <f>IF(ISERROR(LOOKUP(KE$1,$S23:$HK23,csv!$L23:$HD23)),NA(),LOOKUP(KE$1,$S23:$HK23,csv!$L23:$HD23))</f>
        <v>0</v>
      </c>
      <c r="KF23" s="5">
        <f>IF(ISERROR(LOOKUP(KF$1,$S23:$HK23,csv!$L23:$HD23)),NA(),LOOKUP(KF$1,$S23:$HK23,csv!$L23:$HD23))</f>
        <v>0</v>
      </c>
      <c r="KG23" s="5">
        <f>IF(ISERROR(LOOKUP(KG$1,$S23:$HK23,csv!$L23:$HD23)),NA(),LOOKUP(KG$1,$S23:$HK23,csv!$L23:$HD23))</f>
        <v>0</v>
      </c>
      <c r="KH23" s="5">
        <f>IF(ISERROR(LOOKUP(KH$1,$S23:$HK23,csv!$L23:$HD23)),NA(),LOOKUP(KH$1,$S23:$HK23,csv!$L23:$HD23))</f>
        <v>0</v>
      </c>
      <c r="KI23" s="5">
        <f>IF(ISERROR(LOOKUP(KI$1,$S23:$HK23,csv!$L23:$HD23)),NA(),LOOKUP(KI$1,$S23:$HK23,csv!$L23:$HD23))</f>
        <v>0</v>
      </c>
      <c r="KJ23" s="5">
        <f>IF(ISERROR(LOOKUP(KJ$1,$S23:$HK23,csv!$L23:$HD23)),NA(),LOOKUP(KJ$1,$S23:$HK23,csv!$L23:$HD23))</f>
        <v>0</v>
      </c>
      <c r="KK23" s="5">
        <f>IF(ISERROR(LOOKUP(KK$1,$S23:$HK23,csv!$L23:$HD23)),NA(),LOOKUP(KK$1,$S23:$HK23,csv!$L23:$HD23))</f>
        <v>0</v>
      </c>
      <c r="KL23" s="5">
        <f>IF(ISERROR(LOOKUP(KL$1,$S23:$HK23,csv!$L23:$HD23)),NA(),LOOKUP(KL$1,$S23:$HK23,csv!$L23:$HD23))</f>
        <v>0</v>
      </c>
      <c r="KM23" s="5">
        <f>IF(ISERROR(LOOKUP(KM$1,$S23:$HK23,csv!$L23:$HD23)),NA(),LOOKUP(KM$1,$S23:$HK23,csv!$L23:$HD23))</f>
        <v>0</v>
      </c>
      <c r="KN23" s="5">
        <f>IF(ISERROR(LOOKUP(KN$1,$S23:$HK23,csv!$L23:$HD23)),NA(),LOOKUP(KN$1,$S23:$HK23,csv!$L23:$HD23))</f>
        <v>0</v>
      </c>
      <c r="KO23" s="5">
        <f>IF(ISERROR(LOOKUP(KO$1,$S23:$HK23,csv!$L23:$HD23)),NA(),LOOKUP(KO$1,$S23:$HK23,csv!$L23:$HD23))</f>
        <v>0</v>
      </c>
      <c r="KP23" s="5">
        <f>IF(ISERROR(LOOKUP(KP$1,$S23:$HK23,csv!$L23:$HD23)),NA(),LOOKUP(KP$1,$S23:$HK23,csv!$L23:$HD23))</f>
        <v>0</v>
      </c>
      <c r="KQ23" s="5">
        <f>IF(ISERROR(LOOKUP(KQ$1,$S23:$HK23,csv!$L23:$HD23)),NA(),LOOKUP(KQ$1,$S23:$HK23,csv!$L23:$HD23))</f>
        <v>0</v>
      </c>
      <c r="KR23" s="5">
        <f>IF(ISERROR(LOOKUP(KR$1,$S23:$HK23,csv!$L23:$HD23)),NA(),LOOKUP(KR$1,$S23:$HK23,csv!$L23:$HD23))</f>
        <v>0</v>
      </c>
      <c r="KS23" s="5">
        <f>IF(ISERROR(LOOKUP(KS$1,$S23:$HK23,csv!$L23:$HD23)),NA(),LOOKUP(KS$1,$S23:$HK23,csv!$L23:$HD23))</f>
        <v>0</v>
      </c>
      <c r="KT23" s="5">
        <f>IF(ISERROR(LOOKUP(KT$1,$S23:$HK23,csv!$L23:$HD23)),NA(),LOOKUP(KT$1,$S23:$HK23,csv!$L23:$HD23))</f>
        <v>0</v>
      </c>
      <c r="KU23" s="5">
        <f>IF(ISERROR(LOOKUP(KU$1,$S23:$HK23,csv!$L23:$HD23)),NA(),LOOKUP(KU$1,$S23:$HK23,csv!$L23:$HD23))</f>
        <v>0</v>
      </c>
      <c r="KV23" s="5">
        <f>IF(ISERROR(LOOKUP(KV$1,$S23:$HK23,csv!$L23:$HD23)),NA(),LOOKUP(KV$1,$S23:$HK23,csv!$L23:$HD23))</f>
        <v>0</v>
      </c>
      <c r="KW23" s="5">
        <f>IF(ISERROR(LOOKUP(KW$1,$S23:$HK23,csv!$L23:$HD23)),NA(),LOOKUP(KW$1,$S23:$HK23,csv!$L23:$HD23))</f>
        <v>0</v>
      </c>
      <c r="KX23" s="5">
        <f>IF(ISERROR(LOOKUP(KX$1,$S23:$HK23,csv!$L23:$HD23)),NA(),LOOKUP(KX$1,$S23:$HK23,csv!$L23:$HD23))</f>
        <v>0</v>
      </c>
      <c r="KY23" s="5">
        <f>IF(ISERROR(LOOKUP(KY$1,$S23:$HK23,csv!$L23:$HD23)),NA(),LOOKUP(KY$1,$S23:$HK23,csv!$L23:$HD23))</f>
        <v>0</v>
      </c>
      <c r="KZ23" s="5">
        <f>IF(ISERROR(LOOKUP(KZ$1,$S23:$HK23,csv!$L23:$HD23)),NA(),LOOKUP(KZ$1,$S23:$HK23,csv!$L23:$HD23))</f>
        <v>0</v>
      </c>
      <c r="LA23" s="5">
        <f>IF(ISERROR(LOOKUP(LA$1,$S23:$HK23,csv!$L23:$HD23)),NA(),LOOKUP(LA$1,$S23:$HK23,csv!$L23:$HD23))</f>
        <v>0</v>
      </c>
      <c r="LB23" s="5">
        <f>IF(ISERROR(LOOKUP(LB$1,$S23:$HK23,csv!$L23:$HD23)),NA(),LOOKUP(LB$1,$S23:$HK23,csv!$L23:$HD23))</f>
        <v>0</v>
      </c>
      <c r="LC23" s="5">
        <f>IF(ISERROR(LOOKUP(LC$1,$S23:$HK23,csv!$L23:$HD23)),NA(),LOOKUP(LC$1,$S23:$HK23,csv!$L23:$HD23))</f>
        <v>0</v>
      </c>
      <c r="LD23" s="5">
        <f>IF(ISERROR(LOOKUP(LD$1,$S23:$HK23,csv!$L23:$HD23)),NA(),LOOKUP(LD$1,$S23:$HK23,csv!$L23:$HD23))</f>
        <v>0</v>
      </c>
      <c r="LE23" s="5">
        <f>IF(ISERROR(LOOKUP(LE$1,$S23:$HK23,csv!$L23:$HD23)),NA(),LOOKUP(LE$1,$S23:$HK23,csv!$L23:$HD23))</f>
        <v>0</v>
      </c>
      <c r="LF23" s="5">
        <f>IF(ISERROR(LOOKUP(LF$1,$S23:$HK23,csv!$L23:$HD23)),NA(),LOOKUP(LF$1,$S23:$HK23,csv!$L23:$HD23))</f>
        <v>0</v>
      </c>
      <c r="LG23" s="5">
        <f>IF(ISERROR(LOOKUP(LG$1,$S23:$HK23,csv!$L23:$HD23)),NA(),LOOKUP(LG$1,$S23:$HK23,csv!$L23:$HD23))</f>
        <v>0</v>
      </c>
      <c r="LH23" s="5">
        <f>IF(ISERROR(LOOKUP(LH$1,$S23:$HK23,csv!$L23:$HD23)),NA(),LOOKUP(LH$1,$S23:$HK23,csv!$L23:$HD23))</f>
        <v>0</v>
      </c>
      <c r="LI23" s="5">
        <f>IF(ISERROR(LOOKUP(LI$1,$S23:$HK23,csv!$L23:$HD23)),NA(),LOOKUP(LI$1,$S23:$HK23,csv!$L23:$HD23))</f>
        <v>0</v>
      </c>
      <c r="LJ23" s="5">
        <f>IF(ISERROR(LOOKUP(LJ$1,$S23:$HK23,csv!$L23:$HD23)),NA(),LOOKUP(LJ$1,$S23:$HK23,csv!$L23:$HD23))</f>
        <v>0</v>
      </c>
      <c r="LK23" s="5">
        <f>IF(ISERROR(LOOKUP(LK$1,$S23:$HK23,csv!$L23:$HD23)),NA(),LOOKUP(LK$1,$S23:$HK23,csv!$L23:$HD23))</f>
        <v>0</v>
      </c>
      <c r="LL23" s="5">
        <f>IF(ISERROR(LOOKUP(LL$1,$S23:$HK23,csv!$L23:$HD23)),NA(),LOOKUP(LL$1,$S23:$HK23,csv!$L23:$HD23))</f>
        <v>0</v>
      </c>
      <c r="LM23" s="5">
        <f>IF(ISERROR(LOOKUP(LM$1,$S23:$HK23,csv!$L23:$HD23)),NA(),LOOKUP(LM$1,$S23:$HK23,csv!$L23:$HD23))</f>
        <v>0</v>
      </c>
      <c r="LN23" s="5">
        <f>IF(ISERROR(LOOKUP(LN$1,$S23:$HK23,csv!$L23:$HD23)),NA(),LOOKUP(LN$1,$S23:$HK23,csv!$L23:$HD23))</f>
        <v>0</v>
      </c>
      <c r="LO23" s="5">
        <f>IF(ISERROR(LOOKUP(LO$1,$S23:$HK23,csv!$L23:$HD23)),NA(),LOOKUP(LO$1,$S23:$HK23,csv!$L23:$HD23))</f>
        <v>0</v>
      </c>
      <c r="LP23" s="5">
        <f>IF(ISERROR(LOOKUP(LP$1,$S23:$HK23,csv!$L23:$HD23)),NA(),LOOKUP(LP$1,$S23:$HK23,csv!$L23:$HD23))</f>
        <v>0</v>
      </c>
      <c r="LQ23" s="5">
        <f>IF(ISERROR(LOOKUP(LQ$1,$S23:$HK23,csv!$L23:$HD23)),NA(),LOOKUP(LQ$1,$S23:$HK23,csv!$L23:$HD23))</f>
        <v>0</v>
      </c>
      <c r="LR23" s="5">
        <f>IF(ISERROR(LOOKUP(LR$1,$S23:$HK23,csv!$L23:$HD23)),NA(),LOOKUP(LR$1,$S23:$HK23,csv!$L23:$HD23))</f>
        <v>0</v>
      </c>
      <c r="LS23" s="5">
        <f>IF(ISERROR(LOOKUP(LS$1,$S23:$HK23,csv!$L23:$HD23)),NA(),LOOKUP(LS$1,$S23:$HK23,csv!$L23:$HD23))</f>
        <v>0</v>
      </c>
      <c r="LT23" s="5">
        <f>IF(ISERROR(LOOKUP(LT$1,$S23:$HK23,csv!$L23:$HD23)),NA(),LOOKUP(LT$1,$S23:$HK23,csv!$L23:$HD23))</f>
        <v>0</v>
      </c>
      <c r="LU23" s="5">
        <f>IF(ISERROR(LOOKUP(LU$1,$S23:$HK23,csv!$L23:$HD23)),NA(),LOOKUP(LU$1,$S23:$HK23,csv!$L23:$HD23))</f>
        <v>0</v>
      </c>
      <c r="LV23" s="5">
        <f>IF(ISERROR(LOOKUP(LV$1,$S23:$HK23,csv!$L23:$HD23)),NA(),LOOKUP(LV$1,$S23:$HK23,csv!$L23:$HD23))</f>
        <v>0</v>
      </c>
      <c r="LW23" s="5">
        <f>IF(ISERROR(LOOKUP(LW$1,$S23:$HK23,csv!$L23:$HD23)),NA(),LOOKUP(LW$1,$S23:$HK23,csv!$L23:$HD23))</f>
        <v>0</v>
      </c>
      <c r="LX23" s="5">
        <f>IF(ISERROR(LOOKUP(LX$1,$S23:$HK23,csv!$L23:$HD23)),NA(),LOOKUP(LX$1,$S23:$HK23,csv!$L23:$HD23))</f>
        <v>0</v>
      </c>
      <c r="LY23" s="5">
        <f>IF(ISERROR(LOOKUP(LY$1,$S23:$HK23,csv!$L23:$HD23)),NA(),LOOKUP(LY$1,$S23:$HK23,csv!$L23:$HD23))</f>
        <v>0</v>
      </c>
      <c r="LZ23" s="5">
        <f>IF(ISERROR(LOOKUP(LZ$1,$S23:$HK23,csv!$L23:$HD23)),NA(),LOOKUP(LZ$1,$S23:$HK23,csv!$L23:$HD23))</f>
        <v>0</v>
      </c>
      <c r="MA23" s="5">
        <f>IF(ISERROR(LOOKUP(MA$1,$S23:$HK23,csv!$L23:$HD23)),NA(),LOOKUP(MA$1,$S23:$HK23,csv!$L23:$HD23))</f>
        <v>0</v>
      </c>
      <c r="MB23" s="5">
        <f>IF(ISERROR(LOOKUP(MB$1,$S23:$HK23,csv!$L23:$HD23)),NA(),LOOKUP(MB$1,$S23:$HK23,csv!$L23:$HD23))</f>
        <v>0</v>
      </c>
      <c r="MC23" s="5">
        <f>IF(ISERROR(LOOKUP(MC$1,$S23:$HK23,csv!$L23:$HD23)),NA(),LOOKUP(MC$1,$S23:$HK23,csv!$L23:$HD23))</f>
        <v>0</v>
      </c>
      <c r="MD23" s="5">
        <f>IF(ISERROR(LOOKUP(MD$1,$S23:$HK23,csv!$L23:$HD23)),NA(),LOOKUP(MD$1,$S23:$HK23,csv!$L23:$HD23))</f>
        <v>0</v>
      </c>
      <c r="ME23" s="5">
        <f>IF(ISERROR(LOOKUP(ME$1,$S23:$HK23,csv!$L23:$HD23)),NA(),LOOKUP(ME$1,$S23:$HK23,csv!$L23:$HD23))</f>
        <v>0</v>
      </c>
      <c r="MF23" s="5">
        <f>IF(ISERROR(LOOKUP(MF$1,$S23:$HK23,csv!$L23:$HD23)),NA(),LOOKUP(MF$1,$S23:$HK23,csv!$L23:$HD23))</f>
        <v>0</v>
      </c>
      <c r="MG23" s="5">
        <f>IF(ISERROR(LOOKUP(MG$1,$S23:$HK23,csv!$L23:$HD23)),NA(),LOOKUP(MG$1,$S23:$HK23,csv!$L23:$HD23))</f>
        <v>0</v>
      </c>
      <c r="MH23" s="5">
        <f>IF(ISERROR(LOOKUP(MH$1,$S23:$HK23,csv!$L23:$HD23)),NA(),LOOKUP(MH$1,$S23:$HK23,csv!$L23:$HD23))</f>
        <v>0</v>
      </c>
      <c r="MI23" s="5">
        <f>IF(ISERROR(LOOKUP(MI$1,$S23:$HK23,csv!$L23:$HD23)),NA(),LOOKUP(MI$1,$S23:$HK23,csv!$L23:$HD23))</f>
        <v>0</v>
      </c>
      <c r="MJ23" s="5">
        <f>IF(ISERROR(LOOKUP(MJ$1,$S23:$HK23,csv!$L23:$HD23)),NA(),LOOKUP(MJ$1,$S23:$HK23,csv!$L23:$HD23))</f>
        <v>0</v>
      </c>
      <c r="MK23" s="5">
        <f>IF(ISERROR(LOOKUP(MK$1,$S23:$HK23,csv!$L23:$HD23)),NA(),LOOKUP(MK$1,$S23:$HK23,csv!$L23:$HD23))</f>
        <v>0</v>
      </c>
      <c r="ML23" s="5">
        <f>IF(ISERROR(LOOKUP(ML$1,$S23:$HK23,csv!$L23:$HD23)),NA(),LOOKUP(ML$1,$S23:$HK23,csv!$L23:$HD23))</f>
        <v>0</v>
      </c>
      <c r="MM23" s="5">
        <f>IF(ISERROR(LOOKUP(MM$1,$S23:$HK23,csv!$L23:$HD23)),NA(),LOOKUP(MM$1,$S23:$HK23,csv!$L23:$HD23))</f>
        <v>0</v>
      </c>
      <c r="MN23" s="5">
        <f>IF(ISERROR(LOOKUP(MN$1,$S23:$HK23,csv!$L23:$HD23)),NA(),LOOKUP(MN$1,$S23:$HK23,csv!$L23:$HD23))</f>
        <v>0</v>
      </c>
      <c r="MO23" s="5">
        <f>IF(ISERROR(LOOKUP(MO$1,$S23:$HK23,csv!$L23:$HD23)),NA(),LOOKUP(MO$1,$S23:$HK23,csv!$L23:$HD23))</f>
        <v>0</v>
      </c>
      <c r="MP23" s="5">
        <f>IF(ISERROR(LOOKUP(MP$1,$S23:$HK23,csv!$L23:$HD23)),NA(),LOOKUP(MP$1,$S23:$HK23,csv!$L23:$HD23))</f>
        <v>0</v>
      </c>
      <c r="MQ23" s="5">
        <f>IF(ISERROR(LOOKUP(MQ$1,$S23:$HK23,csv!$L23:$HD23)),NA(),LOOKUP(MQ$1,$S23:$HK23,csv!$L23:$HD23))</f>
        <v>0</v>
      </c>
      <c r="MR23" s="5">
        <f>IF(ISERROR(LOOKUP(MR$1,$S23:$HK23,csv!$L23:$HD23)),NA(),LOOKUP(MR$1,$S23:$HK23,csv!$L23:$HD23))</f>
        <v>0</v>
      </c>
      <c r="MS23" s="5">
        <f>IF(ISERROR(LOOKUP(MS$1,$S23:$HK23,csv!$L23:$HD23)),NA(),LOOKUP(MS$1,$S23:$HK23,csv!$L23:$HD23))</f>
        <v>0</v>
      </c>
      <c r="MT23" s="5">
        <f>IF(ISERROR(LOOKUP(MT$1,$S23:$HK23,csv!$L23:$HD23)),NA(),LOOKUP(MT$1,$S23:$HK23,csv!$L23:$HD23))</f>
        <v>0</v>
      </c>
      <c r="MU23" s="5">
        <f>IF(ISERROR(LOOKUP(MU$1,$S23:$HK23,csv!$L23:$HD23)),NA(),LOOKUP(MU$1,$S23:$HK23,csv!$L23:$HD23))</f>
        <v>0</v>
      </c>
      <c r="MV23" s="5">
        <f>IF(ISERROR(LOOKUP(MV$1,$S23:$HK23,csv!$L23:$HD23)),NA(),LOOKUP(MV$1,$S23:$HK23,csv!$L23:$HD23))</f>
        <v>0</v>
      </c>
      <c r="MW23" s="5">
        <f>IF(ISERROR(LOOKUP(MW$1,$S23:$HK23,csv!$L23:$HD23)),NA(),LOOKUP(MW$1,$S23:$HK23,csv!$L23:$HD23))</f>
        <v>0</v>
      </c>
      <c r="MX23" s="5">
        <f>IF(ISERROR(LOOKUP(MX$1,$S23:$HK23,csv!$L23:$HD23)),NA(),LOOKUP(MX$1,$S23:$HK23,csv!$L23:$HD23))</f>
        <v>0</v>
      </c>
      <c r="MY23" s="5">
        <f>IF(ISERROR(LOOKUP(MY$1,$S23:$HK23,csv!$L23:$HD23)),NA(),LOOKUP(MY$1,$S23:$HK23,csv!$L23:$HD23))</f>
        <v>0</v>
      </c>
      <c r="MZ23" s="5">
        <f>IF(ISERROR(LOOKUP(MZ$1,$S23:$HK23,csv!$L23:$HD23)),NA(),LOOKUP(MZ$1,$S23:$HK23,csv!$L23:$HD23))</f>
        <v>0</v>
      </c>
      <c r="NA23" s="5">
        <f>IF(ISERROR(LOOKUP(NA$1,$S23:$HK23,csv!$L23:$HD23)),NA(),LOOKUP(NA$1,$S23:$HK23,csv!$L23:$HD23))</f>
        <v>0</v>
      </c>
      <c r="NB23" s="5">
        <f>IF(ISERROR(LOOKUP(NB$1,$S23:$HK23,csv!$L23:$HD23)),NA(),LOOKUP(NB$1,$S23:$HK23,csv!$L23:$HD23))</f>
        <v>0</v>
      </c>
      <c r="NC23" s="5">
        <f>IF(ISERROR(LOOKUP(NC$1,$S23:$HK23,csv!$L23:$HD23)),NA(),LOOKUP(NC$1,$S23:$HK23,csv!$L23:$HD23))</f>
        <v>0</v>
      </c>
      <c r="ND23" s="5">
        <f>IF(ISERROR(LOOKUP(ND$1,$S23:$HK23,csv!$L23:$HD23)),NA(),LOOKUP(ND$1,$S23:$HK23,csv!$L23:$HD23))</f>
        <v>0</v>
      </c>
      <c r="NE23" s="5">
        <f>IF(ISERROR(LOOKUP(NE$1,$S23:$HK23,csv!$L23:$HD23)),NA(),LOOKUP(NE$1,$S23:$HK23,csv!$L23:$HD23))</f>
        <v>0</v>
      </c>
      <c r="NF23" s="5">
        <f>IF(ISERROR(LOOKUP(NF$1,$S23:$HK23,csv!$L23:$HD23)),NA(),LOOKUP(NF$1,$S23:$HK23,csv!$L23:$HD23))</f>
        <v>0</v>
      </c>
      <c r="NG23" s="5">
        <f>IF(ISERROR(LOOKUP(NG$1,$S23:$HK23,csv!$L23:$HD23)),NA(),LOOKUP(NG$1,$S23:$HK23,csv!$L23:$HD23))</f>
        <v>0</v>
      </c>
      <c r="NH23" s="5">
        <f>IF(ISERROR(LOOKUP(NH$1,$S23:$HK23,csv!$L23:$HD23)),NA(),LOOKUP(NH$1,$S23:$HK23,csv!$L23:$HD23))</f>
        <v>0</v>
      </c>
      <c r="NI23" s="5">
        <f>IF(ISERROR(LOOKUP(NI$1,$S23:$HK23,csv!$L23:$HD23)),NA(),LOOKUP(NI$1,$S23:$HK23,csv!$L23:$HD23))</f>
        <v>0</v>
      </c>
      <c r="NJ23" s="5">
        <f>IF(ISERROR(LOOKUP(NJ$1,$S23:$HK23,csv!$L23:$HD23)),NA(),LOOKUP(NJ$1,$S23:$HK23,csv!$L23:$HD23))</f>
        <v>0</v>
      </c>
      <c r="NK23" s="5">
        <f>IF(ISERROR(LOOKUP(NK$1,$S23:$HK23,csv!$L23:$HD23)),NA(),LOOKUP(NK$1,$S23:$HK23,csv!$L23:$HD23))</f>
        <v>0</v>
      </c>
      <c r="NL23" s="5">
        <f>IF(ISERROR(LOOKUP(NL$1,$S23:$HK23,csv!$L23:$HD23)),NA(),LOOKUP(NL$1,$S23:$HK23,csv!$L23:$HD23))</f>
        <v>0</v>
      </c>
      <c r="NM23" s="5">
        <f>IF(ISERROR(LOOKUP(NM$1,$S23:$HK23,csv!$L23:$HD23)),NA(),LOOKUP(NM$1,$S23:$HK23,csv!$L23:$HD23))</f>
        <v>0</v>
      </c>
      <c r="NN23" s="5">
        <f>IF(ISERROR(LOOKUP(NN$1,$S23:$HK23,csv!$L23:$HD23)),NA(),LOOKUP(NN$1,$S23:$HK23,csv!$L23:$HD23))</f>
        <v>0</v>
      </c>
      <c r="NO23" s="5">
        <f>IF(ISERROR(LOOKUP(NO$1,$S23:$HK23,csv!$L23:$HD23)),NA(),LOOKUP(NO$1,$S23:$HK23,csv!$L23:$HD23))</f>
        <v>0</v>
      </c>
      <c r="NP23" s="5">
        <f>IF(ISERROR(LOOKUP(NP$1,$S23:$HK23,csv!$L23:$HD23)),NA(),LOOKUP(NP$1,$S23:$HK23,csv!$L23:$HD23))</f>
        <v>0</v>
      </c>
      <c r="NQ23" s="5">
        <f>IF(ISERROR(LOOKUP(NQ$1,$S23:$HK23,csv!$L23:$HD23)),NA(),LOOKUP(NQ$1,$S23:$HK23,csv!$L23:$HD23))</f>
        <v>0</v>
      </c>
      <c r="NR23" s="5">
        <f>IF(ISERROR(LOOKUP(NR$1,$S23:$HK23,csv!$L23:$HD23)),NA(),LOOKUP(NR$1,$S23:$HK23,csv!$L23:$HD23))</f>
        <v>0</v>
      </c>
      <c r="NS23" s="5">
        <f>IF(ISERROR(LOOKUP(NS$1,$S23:$HK23,csv!$L23:$HD23)),NA(),LOOKUP(NS$1,$S23:$HK23,csv!$L23:$HD23))</f>
        <v>0</v>
      </c>
      <c r="NT23" s="5">
        <f>IF(ISERROR(LOOKUP(NT$1,$S23:$HK23,csv!$L23:$HD23)),NA(),LOOKUP(NT$1,$S23:$HK23,csv!$L23:$HD23))</f>
        <v>0</v>
      </c>
      <c r="NU23" s="5">
        <f>IF(ISERROR(LOOKUP(NU$1,$S23:$HK23,csv!$L23:$HD23)),NA(),LOOKUP(NU$1,$S23:$HK23,csv!$L23:$HD23))</f>
        <v>0</v>
      </c>
      <c r="NV23" s="5">
        <f>IF(ISERROR(LOOKUP(NV$1,$S23:$HK23,csv!$L23:$HD23)),NA(),LOOKUP(NV$1,$S23:$HK23,csv!$L23:$HD23))</f>
        <v>0</v>
      </c>
      <c r="NW23" s="5">
        <f>IF(ISERROR(LOOKUP(NW$1,$S23:$HK23,csv!$L23:$HD23)),NA(),LOOKUP(NW$1,$S23:$HK23,csv!$L23:$HD23))</f>
        <v>0</v>
      </c>
      <c r="NX23" s="5">
        <f>IF(ISERROR(LOOKUP(NX$1,$S23:$HK23,csv!$L23:$HD23)),NA(),LOOKUP(NX$1,$S23:$HK23,csv!$L23:$HD23))</f>
        <v>0</v>
      </c>
      <c r="NY23" s="5">
        <f>IF(ISERROR(LOOKUP(NY$1,$S23:$HK23,csv!$L23:$HD23)),NA(),LOOKUP(NY$1,$S23:$HK23,csv!$L23:$HD23))</f>
        <v>0</v>
      </c>
      <c r="NZ23" s="5">
        <f>IF(ISERROR(LOOKUP(NZ$1,$S23:$HK23,csv!$L23:$HD23)),NA(),LOOKUP(NZ$1,$S23:$HK23,csv!$L23:$HD23))</f>
        <v>0</v>
      </c>
      <c r="OA23" s="5">
        <f>IF(ISERROR(LOOKUP(OA$1,$S23:$HK23,csv!$L23:$HD23)),NA(),LOOKUP(OA$1,$S23:$HK23,csv!$L23:$HD23))</f>
        <v>0</v>
      </c>
      <c r="OB23" s="5">
        <f>IF(ISERROR(LOOKUP(OB$1,$S23:$HK23,csv!$L23:$HD23)),NA(),LOOKUP(OB$1,$S23:$HK23,csv!$L23:$HD23))</f>
        <v>0</v>
      </c>
      <c r="OC23" s="5">
        <f>IF(ISERROR(LOOKUP(OC$1,$S23:$HK23,csv!$L23:$HD23)),NA(),LOOKUP(OC$1,$S23:$HK23,csv!$L23:$HD23))</f>
        <v>0</v>
      </c>
      <c r="OD23" s="5">
        <f>IF(ISERROR(LOOKUP(OD$1,$S23:$HK23,csv!$L23:$HD23)),NA(),LOOKUP(OD$1,$S23:$HK23,csv!$L23:$HD23))</f>
        <v>0</v>
      </c>
      <c r="OE23" s="5">
        <f>IF(ISERROR(LOOKUP(OE$1,$S23:$HK23,csv!$L23:$HD23)),NA(),LOOKUP(OE$1,$S23:$HK23,csv!$L23:$HD23))</f>
        <v>0</v>
      </c>
      <c r="OF23" s="5">
        <f>IF(ISERROR(LOOKUP(OF$1,$S23:$HK23,csv!$L23:$HD23)),NA(),LOOKUP(OF$1,$S23:$HK23,csv!$L23:$HD23))</f>
        <v>0</v>
      </c>
      <c r="OG23" s="5">
        <f>IF(ISERROR(LOOKUP(OG$1,$S23:$HK23,csv!$L23:$HD23)),NA(),LOOKUP(OG$1,$S23:$HK23,csv!$L23:$HD23))</f>
        <v>0</v>
      </c>
      <c r="OH23" s="5">
        <f>IF(ISERROR(LOOKUP(OH$1,$S23:$HK23,csv!$L23:$HD23)),NA(),LOOKUP(OH$1,$S23:$HK23,csv!$L23:$HD23))</f>
        <v>0</v>
      </c>
      <c r="OI23" s="5">
        <f>IF(ISERROR(LOOKUP(OI$1,$S23:$HK23,csv!$L23:$HD23)),NA(),LOOKUP(OI$1,$S23:$HK23,csv!$L23:$HD23))</f>
        <v>0</v>
      </c>
      <c r="OJ23" s="5">
        <f>IF(ISERROR(LOOKUP(OJ$1,$S23:$HK23,csv!$L23:$HD23)),NA(),LOOKUP(OJ$1,$S23:$HK23,csv!$L23:$HD23))</f>
        <v>0</v>
      </c>
      <c r="OK23" s="5">
        <f>IF(ISERROR(LOOKUP(OK$1,$S23:$HK23,csv!$L23:$HD23)),NA(),LOOKUP(OK$1,$S23:$HK23,csv!$L23:$HD23))</f>
        <v>0</v>
      </c>
      <c r="OL23" s="5">
        <f>IF(ISERROR(LOOKUP(OL$1,$S23:$HK23,csv!$L23:$HD23)),NA(),LOOKUP(OL$1,$S23:$HK23,csv!$L23:$HD23))</f>
        <v>0</v>
      </c>
      <c r="OM23" s="5">
        <f>IF(ISERROR(LOOKUP(OM$1,$S23:$HK23,csv!$L23:$HD23)),NA(),LOOKUP(OM$1,$S23:$HK23,csv!$L23:$HD23))</f>
        <v>0</v>
      </c>
      <c r="ON23" s="5">
        <f>IF(ISERROR(LOOKUP(ON$1,$S23:$HK23,csv!$L23:$HD23)),NA(),LOOKUP(ON$1,$S23:$HK23,csv!$L23:$HD23))</f>
        <v>0</v>
      </c>
      <c r="OO23" s="5">
        <f>IF(ISERROR(LOOKUP(OO$1,$S23:$HK23,csv!$L23:$HD23)),NA(),LOOKUP(OO$1,$S23:$HK23,csv!$L23:$HD23))</f>
        <v>0</v>
      </c>
      <c r="OP23" s="5">
        <f>IF(ISERROR(LOOKUP(OP$1,$S23:$HK23,csv!$L23:$HD23)),NA(),LOOKUP(OP$1,$S23:$HK23,csv!$L23:$HD23))</f>
        <v>0</v>
      </c>
      <c r="OQ23" s="5">
        <f>IF(ISERROR(LOOKUP(OQ$1,$S23:$HK23,csv!$L23:$HD23)),NA(),LOOKUP(OQ$1,$S23:$HK23,csv!$L23:$HD23))</f>
        <v>0</v>
      </c>
      <c r="OR23" s="5">
        <f>IF(ISERROR(LOOKUP(OR$1,$S23:$HK23,csv!$L23:$HD23)),NA(),LOOKUP(OR$1,$S23:$HK23,csv!$L23:$HD23))</f>
        <v>0</v>
      </c>
      <c r="OS23" s="5">
        <f>IF(ISERROR(LOOKUP(OS$1,$S23:$HK23,csv!$L23:$HD23)),NA(),LOOKUP(OS$1,$S23:$HK23,csv!$L23:$HD23))</f>
        <v>0</v>
      </c>
      <c r="OT23" s="5">
        <f>IF(ISERROR(LOOKUP(OT$1,$S23:$HK23,csv!$L23:$HD23)),NA(),LOOKUP(OT$1,$S23:$HK23,csv!$L23:$HD23))</f>
        <v>0</v>
      </c>
      <c r="OU23" s="5">
        <f>IF(ISERROR(LOOKUP(OU$1,$S23:$HK23,csv!$L23:$HD23)),NA(),LOOKUP(OU$1,$S23:$HK23,csv!$L23:$HD23))</f>
        <v>0</v>
      </c>
      <c r="OV23" s="5">
        <f>IF(ISERROR(LOOKUP(OV$1,$S23:$HK23,csv!$L23:$HD23)),NA(),LOOKUP(OV$1,$S23:$HK23,csv!$L23:$HD23))</f>
        <v>0</v>
      </c>
      <c r="OW23" s="5">
        <f>IF(ISERROR(LOOKUP(OW$1,$S23:$HK23,csv!$L23:$HD23)),NA(),LOOKUP(OW$1,$S23:$HK23,csv!$L23:$HD23))</f>
        <v>0</v>
      </c>
      <c r="OX23" s="5">
        <f>IF(ISERROR(LOOKUP(OX$1,$S23:$HK23,csv!$L23:$HD23)),NA(),LOOKUP(OX$1,$S23:$HK23,csv!$L23:$HD23))</f>
        <v>0</v>
      </c>
      <c r="OY23" s="5">
        <f>IF(ISERROR(LOOKUP(OY$1,$S23:$HK23,csv!$L23:$HD23)),NA(),LOOKUP(OY$1,$S23:$HK23,csv!$L23:$HD23))</f>
        <v>0</v>
      </c>
      <c r="OZ23" s="5">
        <f>IF(ISERROR(LOOKUP(OZ$1,$S23:$HK23,csv!$L23:$HD23)),NA(),LOOKUP(OZ$1,$S23:$HK23,csv!$L23:$HD23))</f>
        <v>0</v>
      </c>
      <c r="PA23" s="5">
        <f>IF(ISERROR(LOOKUP(PA$1,$S23:$HK23,csv!$L23:$HD23)),NA(),LOOKUP(PA$1,$S23:$HK23,csv!$L23:$HD23))</f>
        <v>0</v>
      </c>
      <c r="PB23" s="5">
        <f>IF(ISERROR(LOOKUP(PB$1,$S23:$HK23,csv!$L23:$HD23)),NA(),LOOKUP(PB$1,$S23:$HK23,csv!$L23:$HD23))</f>
        <v>0</v>
      </c>
      <c r="PC23" s="5">
        <f>IF(ISERROR(LOOKUP(PC$1,$S23:$HK23,csv!$L23:$HD23)),NA(),LOOKUP(PC$1,$S23:$HK23,csv!$L23:$HD23))</f>
        <v>0</v>
      </c>
      <c r="PD23" s="5">
        <f>IF(ISERROR(LOOKUP(PD$1,$S23:$HK23,csv!$L23:$HD23)),NA(),LOOKUP(PD$1,$S23:$HK23,csv!$L23:$HD23))</f>
        <v>0</v>
      </c>
      <c r="PE23" s="5">
        <f>IF(ISERROR(LOOKUP(PE$1,$S23:$HK23,csv!$L23:$HD23)),NA(),LOOKUP(PE$1,$S23:$HK23,csv!$L23:$HD23))</f>
        <v>0</v>
      </c>
      <c r="PF23" s="5">
        <f>IF(ISERROR(LOOKUP(PF$1,$S23:$HK23,csv!$L23:$HD23)),NA(),LOOKUP(PF$1,$S23:$HK23,csv!$L23:$HD23))</f>
        <v>0</v>
      </c>
      <c r="PG23" s="5">
        <f>IF(ISERROR(LOOKUP(PG$1,$S23:$HK23,csv!$L23:$HD23)),NA(),LOOKUP(PG$1,$S23:$HK23,csv!$L23:$HD23))</f>
        <v>0</v>
      </c>
      <c r="PH23" s="5">
        <f>IF(ISERROR(LOOKUP(PH$1,$S23:$HK23,csv!$L23:$HD23)),NA(),LOOKUP(PH$1,$S23:$HK23,csv!$L23:$HD23))</f>
        <v>0</v>
      </c>
      <c r="PI23" s="5">
        <f>IF(ISERROR(LOOKUP(PI$1,$S23:$HK23,csv!$L23:$HD23)),NA(),LOOKUP(PI$1,$S23:$HK23,csv!$L23:$HD23))</f>
        <v>0</v>
      </c>
      <c r="PJ23" s="5">
        <f>IF(ISERROR(LOOKUP(PJ$1,$S23:$HK23,csv!$L23:$HD23)),NA(),LOOKUP(PJ$1,$S23:$HK23,csv!$L23:$HD23))</f>
        <v>0</v>
      </c>
      <c r="PK23" s="5">
        <f>IF(ISERROR(LOOKUP(PK$1,$S23:$HK23,csv!$L23:$HD23)),NA(),LOOKUP(PK$1,$S23:$HK23,csv!$L23:$HD23))</f>
        <v>0</v>
      </c>
      <c r="PL23" s="5">
        <f>IF(ISERROR(LOOKUP(PL$1,$S23:$HK23,csv!$L23:$HD23)),NA(),LOOKUP(PL$1,$S23:$HK23,csv!$L23:$HD23))</f>
        <v>0</v>
      </c>
      <c r="PM23" s="5">
        <f>IF(ISERROR(LOOKUP(PM$1,$S23:$HK23,csv!$L23:$HD23)),NA(),LOOKUP(PM$1,$S23:$HK23,csv!$L23:$HD23))</f>
        <v>0</v>
      </c>
      <c r="PN23" s="5">
        <f>IF(ISERROR(LOOKUP(PN$1,$S23:$HK23,csv!$L23:$HD23)),NA(),LOOKUP(PN$1,$S23:$HK23,csv!$L23:$HD23))</f>
        <v>0</v>
      </c>
      <c r="PO23" s="5">
        <f>IF(ISERROR(LOOKUP(PO$1,$S23:$HK23,csv!$L23:$HD23)),NA(),LOOKUP(PO$1,$S23:$HK23,csv!$L23:$HD23))</f>
        <v>0</v>
      </c>
      <c r="PP23" s="5">
        <f>IF(ISERROR(LOOKUP(PP$1,$S23:$HK23,csv!$L23:$HD23)),NA(),LOOKUP(PP$1,$S23:$HK23,csv!$L23:$HD23))</f>
        <v>0</v>
      </c>
      <c r="PQ23" s="5">
        <f>IF(ISERROR(LOOKUP(PQ$1,$S23:$HK23,csv!$L23:$HD23)),NA(),LOOKUP(PQ$1,$S23:$HK23,csv!$L23:$HD23))</f>
        <v>0</v>
      </c>
      <c r="PR23" s="5">
        <f>IF(ISERROR(LOOKUP(PR$1,$S23:$HK23,csv!$L23:$HD23)),NA(),LOOKUP(PR$1,$S23:$HK23,csv!$L23:$HD23))</f>
        <v>0</v>
      </c>
      <c r="PS23" s="5">
        <f>IF(ISERROR(LOOKUP(PS$1,$S23:$HK23,csv!$L23:$HD23)),NA(),LOOKUP(PS$1,$S23:$HK23,csv!$L23:$HD23))</f>
        <v>0</v>
      </c>
      <c r="PT23" s="5">
        <f>IF(ISERROR(LOOKUP(PT$1,$S23:$HK23,csv!$L23:$HD23)),NA(),LOOKUP(PT$1,$S23:$HK23,csv!$L23:$HD23))</f>
        <v>0</v>
      </c>
      <c r="PU23" s="5">
        <f>IF(ISERROR(LOOKUP(PU$1,$S23:$HK23,csv!$L23:$HD23)),NA(),LOOKUP(PU$1,$S23:$HK23,csv!$L23:$HD23))</f>
        <v>0</v>
      </c>
      <c r="PV23" s="5">
        <f>IF(ISERROR(LOOKUP(PV$1,$S23:$HK23,csv!$L23:$HD23)),NA(),LOOKUP(PV$1,$S23:$HK23,csv!$L23:$HD23))</f>
        <v>0</v>
      </c>
      <c r="PW23" s="5">
        <f>IF(ISERROR(LOOKUP(PW$1,$S23:$HK23,csv!$L23:$HD23)),NA(),LOOKUP(PW$1,$S23:$HK23,csv!$L23:$HD23))</f>
        <v>0</v>
      </c>
      <c r="PX23" s="5">
        <f>IF(ISERROR(LOOKUP(PX$1,$S23:$HK23,csv!$L23:$HD23)),NA(),LOOKUP(PX$1,$S23:$HK23,csv!$L23:$HD23))</f>
        <v>0</v>
      </c>
      <c r="PY23" s="5">
        <f>IF(ISERROR(LOOKUP(PY$1,$S23:$HK23,csv!$L23:$HD23)),NA(),LOOKUP(PY$1,$S23:$HK23,csv!$L23:$HD23))</f>
        <v>0</v>
      </c>
      <c r="PZ23" s="5">
        <f>IF(ISERROR(LOOKUP(PZ$1,$S23:$HK23,csv!$L23:$HD23)),NA(),LOOKUP(PZ$1,$S23:$HK23,csv!$L23:$HD23))</f>
        <v>0</v>
      </c>
      <c r="QA23" s="5">
        <f>IF(ISERROR(LOOKUP(QA$1,$S23:$HK23,csv!$L23:$HD23)),NA(),LOOKUP(QA$1,$S23:$HK23,csv!$L23:$HD23))</f>
        <v>0</v>
      </c>
      <c r="QB23" s="5">
        <f>IF(ISERROR(LOOKUP(QB$1,$S23:$HK23,csv!$L23:$HD23)),NA(),LOOKUP(QB$1,$S23:$HK23,csv!$L23:$HD23))</f>
        <v>0</v>
      </c>
      <c r="QC23" s="5">
        <f>IF(ISERROR(LOOKUP(QC$1,$S23:$HK23,csv!$L23:$HD23)),NA(),LOOKUP(QC$1,$S23:$HK23,csv!$L23:$HD23))</f>
        <v>0</v>
      </c>
      <c r="QD23" s="5">
        <f>IF(ISERROR(LOOKUP(QD$1,$S23:$HK23,csv!$L23:$HD23)),NA(),LOOKUP(QD$1,$S23:$HK23,csv!$L23:$HD23))</f>
        <v>0</v>
      </c>
      <c r="QE23" s="5">
        <f>IF(ISERROR(LOOKUP(QE$1,$S23:$HK23,csv!$L23:$HD23)),NA(),LOOKUP(QE$1,$S23:$HK23,csv!$L23:$HD23))</f>
        <v>0</v>
      </c>
      <c r="QF23" s="5">
        <f>IF(ISERROR(LOOKUP(QF$1,$S23:$HK23,csv!$L23:$HD23)),NA(),LOOKUP(QF$1,$S23:$HK23,csv!$L23:$HD23))</f>
        <v>0</v>
      </c>
      <c r="QG23" s="5">
        <f>IF(ISERROR(LOOKUP(QG$1,$S23:$HK23,csv!$L23:$HD23)),NA(),LOOKUP(QG$1,$S23:$HK23,csv!$L23:$HD23))</f>
        <v>0</v>
      </c>
      <c r="QH23" s="5">
        <f>IF(ISERROR(LOOKUP(QH$1,$S23:$HK23,csv!$L23:$HD23)),NA(),LOOKUP(QH$1,$S23:$HK23,csv!$L23:$HD23))</f>
        <v>0</v>
      </c>
      <c r="QI23" s="5">
        <f>IF(ISERROR(LOOKUP(QI$1,$S23:$HK23,csv!$L23:$HD23)),NA(),LOOKUP(QI$1,$S23:$HK23,csv!$L23:$HD23))</f>
        <v>0</v>
      </c>
      <c r="QJ23" s="5">
        <f>IF(ISERROR(LOOKUP(QJ$1,$S23:$HK23,csv!$L23:$HD23)),NA(),LOOKUP(QJ$1,$S23:$HK23,csv!$L23:$HD23))</f>
        <v>0</v>
      </c>
      <c r="QK23" s="5">
        <f>IF(ISERROR(LOOKUP(QK$1,$S23:$HK23,csv!$L23:$HD23)),NA(),LOOKUP(QK$1,$S23:$HK23,csv!$L23:$HD23))</f>
        <v>0</v>
      </c>
      <c r="QL23" s="5">
        <f>IF(ISERROR(LOOKUP(QL$1,$S23:$HK23,csv!$L23:$HD23)),NA(),LOOKUP(QL$1,$S23:$HK23,csv!$L23:$HD23))</f>
        <v>0</v>
      </c>
      <c r="QM23" s="5">
        <f>IF(ISERROR(LOOKUP(QM$1,$S23:$HK23,csv!$L23:$HD23)),NA(),LOOKUP(QM$1,$S23:$HK23,csv!$L23:$HD23))</f>
        <v>0</v>
      </c>
      <c r="QN23" s="5">
        <f>IF(ISERROR(LOOKUP(QN$1,$S23:$HK23,csv!$L23:$HD23)),NA(),LOOKUP(QN$1,$S23:$HK23,csv!$L23:$HD23))</f>
        <v>0</v>
      </c>
      <c r="QO23" s="5">
        <f>IF(ISERROR(LOOKUP(QO$1,$S23:$HK23,csv!$L23:$HD23)),NA(),LOOKUP(QO$1,$S23:$HK23,csv!$L23:$HD23))</f>
        <v>0</v>
      </c>
      <c r="QP23" s="5">
        <f>IF(ISERROR(LOOKUP(QP$1,$S23:$HK23,csv!$L23:$HD23)),NA(),LOOKUP(QP$1,$S23:$HK23,csv!$L23:$HD23))</f>
        <v>0</v>
      </c>
      <c r="QQ23" s="5">
        <f>IF(ISERROR(LOOKUP(QQ$1,$S23:$HK23,csv!$L23:$HD23)),NA(),LOOKUP(QQ$1,$S23:$HK23,csv!$L23:$HD23))</f>
        <v>0</v>
      </c>
      <c r="QR23" s="5">
        <f>IF(ISERROR(LOOKUP(QR$1,$S23:$HK23,csv!$L23:$HD23)),NA(),LOOKUP(QR$1,$S23:$HK23,csv!$L23:$HD23))</f>
        <v>0</v>
      </c>
      <c r="QS23" s="5">
        <f>IF(ISERROR(LOOKUP(QS$1,$S23:$HK23,csv!$L23:$HD23)),NA(),LOOKUP(QS$1,$S23:$HK23,csv!$L23:$HD23))</f>
        <v>0</v>
      </c>
      <c r="QT23" s="5">
        <f>IF(ISERROR(LOOKUP(QT$1,$S23:$HK23,csv!$L23:$HD23)),NA(),LOOKUP(QT$1,$S23:$HK23,csv!$L23:$HD23))</f>
        <v>0</v>
      </c>
      <c r="QU23" s="5">
        <f>IF(ISERROR(LOOKUP(QU$1,$S23:$HK23,csv!$L23:$HD23)),NA(),LOOKUP(QU$1,$S23:$HK23,csv!$L23:$HD23))</f>
        <v>0</v>
      </c>
      <c r="QV23" s="5">
        <f>IF(ISERROR(LOOKUP(QV$1,$S23:$HK23,csv!$L23:$HD23)),NA(),LOOKUP(QV$1,$S23:$HK23,csv!$L23:$HD23))</f>
        <v>0</v>
      </c>
      <c r="QW23" s="5">
        <f>IF(ISERROR(LOOKUP(QW$1,$S23:$HK23,csv!$L23:$HD23)),NA(),LOOKUP(QW$1,$S23:$HK23,csv!$L23:$HD23))</f>
        <v>0</v>
      </c>
      <c r="QX23" s="5">
        <f>IF(ISERROR(LOOKUP(QX$1,$S23:$HK23,csv!$L23:$HD23)),NA(),LOOKUP(QX$1,$S23:$HK23,csv!$L23:$HD23))</f>
        <v>0</v>
      </c>
      <c r="QY23" s="5">
        <f>IF(ISERROR(LOOKUP(QY$1,$S23:$HK23,csv!$L23:$HD23)),NA(),LOOKUP(QY$1,$S23:$HK23,csv!$L23:$HD23))</f>
        <v>0</v>
      </c>
      <c r="QZ23" s="5">
        <f>IF(ISERROR(LOOKUP(QZ$1,$S23:$HK23,csv!$L23:$HD23)),NA(),LOOKUP(QZ$1,$S23:$HK23,csv!$L23:$HD23))</f>
        <v>0</v>
      </c>
      <c r="RA23" s="5">
        <f>IF(ISERROR(LOOKUP(RA$1,$S23:$HK23,csv!$L23:$HD23)),NA(),LOOKUP(RA$1,$S23:$HK23,csv!$L23:$HD23))</f>
        <v>0</v>
      </c>
      <c r="RB23" s="5">
        <f>IF(ISERROR(LOOKUP(RB$1,$S23:$HK23,csv!$L23:$HD23)),NA(),LOOKUP(RB$1,$S23:$HK23,csv!$L23:$HD23))</f>
        <v>0</v>
      </c>
      <c r="RC23" s="5">
        <f>IF(ISERROR(LOOKUP(RC$1,$S23:$HK23,csv!$L23:$HD23)),NA(),LOOKUP(RC$1,$S23:$HK23,csv!$L23:$HD23))</f>
        <v>0</v>
      </c>
      <c r="RD23" s="5">
        <f>IF(ISERROR(LOOKUP(RD$1,$S23:$HK23,csv!$L23:$HD23)),NA(),LOOKUP(RD$1,$S23:$HK23,csv!$L23:$HD23))</f>
        <v>0</v>
      </c>
      <c r="RE23" s="5">
        <f>IF(ISERROR(LOOKUP(RE$1,$S23:$HK23,csv!$L23:$HD23)),NA(),LOOKUP(RE$1,$S23:$HK23,csv!$L23:$HD23))</f>
        <v>0</v>
      </c>
      <c r="RF23" s="5">
        <f>IF(ISERROR(LOOKUP(RF$1,$S23:$HK23,csv!$L23:$HD23)),NA(),LOOKUP(RF$1,$S23:$HK23,csv!$L23:$HD23))</f>
        <v>0</v>
      </c>
      <c r="RG23" s="5">
        <f>IF(ISERROR(LOOKUP(RG$1,$S23:$HK23,csv!$L23:$HD23)),NA(),LOOKUP(RG$1,$S23:$HK23,csv!$L23:$HD23))</f>
        <v>0</v>
      </c>
      <c r="RH23" s="5">
        <f>IF(ISERROR(LOOKUP(RH$1,$S23:$HK23,csv!$L23:$HD23)),NA(),LOOKUP(RH$1,$S23:$HK23,csv!$L23:$HD23))</f>
        <v>0</v>
      </c>
      <c r="RI23" s="5">
        <f>IF(ISERROR(LOOKUP(RI$1,$S23:$HK23,csv!$L23:$HD23)),NA(),LOOKUP(RI$1,$S23:$HK23,csv!$L23:$HD23))</f>
        <v>0</v>
      </c>
      <c r="RJ23" s="5">
        <f>IF(ISERROR(LOOKUP(RJ$1,$S23:$HK23,csv!$L23:$HD23)),NA(),LOOKUP(RJ$1,$S23:$HK23,csv!$L23:$HD23))</f>
        <v>0</v>
      </c>
      <c r="RK23" s="5">
        <f>IF(ISERROR(LOOKUP(RK$1,$S23:$HK23,csv!$L23:$HD23)),NA(),LOOKUP(RK$1,$S23:$HK23,csv!$L23:$HD23))</f>
        <v>0</v>
      </c>
      <c r="RL23" s="5">
        <f>IF(ISERROR(LOOKUP(RL$1,$S23:$HK23,csv!$L23:$HD23)),NA(),LOOKUP(RL$1,$S23:$HK23,csv!$L23:$HD23))</f>
        <v>0</v>
      </c>
      <c r="RM23" s="5">
        <f>IF(ISERROR(LOOKUP(RM$1,$S23:$HK23,csv!$L23:$HD23)),NA(),LOOKUP(RM$1,$S23:$HK23,csv!$L23:$HD23))</f>
        <v>0</v>
      </c>
      <c r="RN23" s="5">
        <f>IF(ISERROR(LOOKUP(RN$1,$S23:$HK23,csv!$L23:$HD23)),NA(),LOOKUP(RN$1,$S23:$HK23,csv!$L23:$HD23))</f>
        <v>0</v>
      </c>
      <c r="RO23" s="5">
        <f>IF(ISERROR(LOOKUP(RO$1,$S23:$HK23,csv!$L23:$HD23)),NA(),LOOKUP(RO$1,$S23:$HK23,csv!$L23:$HD23))</f>
        <v>0</v>
      </c>
      <c r="RP23" s="5">
        <f>IF(ISERROR(LOOKUP(RP$1,$S23:$HK23,csv!$L23:$HD23)),NA(),LOOKUP(RP$1,$S23:$HK23,csv!$L23:$HD23))</f>
        <v>0</v>
      </c>
      <c r="RQ23" s="5">
        <f>IF(ISERROR(LOOKUP(RQ$1,$S23:$HK23,csv!$L23:$HD23)),NA(),LOOKUP(RQ$1,$S23:$HK23,csv!$L23:$HD23))</f>
        <v>0</v>
      </c>
      <c r="RR23" s="5">
        <f>IF(ISERROR(LOOKUP(RR$1,$S23:$HK23,csv!$L23:$HD23)),NA(),LOOKUP(RR$1,$S23:$HK23,csv!$L23:$HD23))</f>
        <v>0</v>
      </c>
      <c r="RS23" s="5">
        <f>IF(ISERROR(LOOKUP(RS$1,$S23:$HK23,csv!$L23:$HD23)),NA(),LOOKUP(RS$1,$S23:$HK23,csv!$L23:$HD23))</f>
        <v>0</v>
      </c>
      <c r="RT23" s="5">
        <f>IF(ISERROR(LOOKUP(RT$1,$S23:$HK23,csv!$L23:$HD23)),NA(),LOOKUP(RT$1,$S23:$HK23,csv!$L23:$HD23))</f>
        <v>0</v>
      </c>
      <c r="RU23" s="5">
        <f>IF(ISERROR(LOOKUP(RU$1,$S23:$HK23,csv!$L23:$HD23)),NA(),LOOKUP(RU$1,$S23:$HK23,csv!$L23:$HD23))</f>
        <v>0</v>
      </c>
      <c r="RV23" s="5">
        <f>IF(ISERROR(LOOKUP(RV$1,$S23:$HK23,csv!$L23:$HD23)),NA(),LOOKUP(RV$1,$S23:$HK23,csv!$L23:$HD23))</f>
        <v>0</v>
      </c>
      <c r="RW23" s="5">
        <f>IF(ISERROR(LOOKUP(RW$1,$S23:$HK23,csv!$L23:$HD23)),NA(),LOOKUP(RW$1,$S23:$HK23,csv!$L23:$HD23))</f>
        <v>0</v>
      </c>
      <c r="RX23" s="5">
        <f>IF(ISERROR(LOOKUP(RX$1,$S23:$HK23,csv!$L23:$HD23)),NA(),LOOKUP(RX$1,$S23:$HK23,csv!$L23:$HD23))</f>
        <v>0</v>
      </c>
      <c r="RY23" s="5">
        <f>IF(ISERROR(LOOKUP(RY$1,$S23:$HK23,csv!$L23:$HD23)),NA(),LOOKUP(RY$1,$S23:$HK23,csv!$L23:$HD23))</f>
        <v>0</v>
      </c>
      <c r="RZ23" s="5">
        <f>IF(ISERROR(LOOKUP(RZ$1,$S23:$HK23,csv!$L23:$HD23)),NA(),LOOKUP(RZ$1,$S23:$HK23,csv!$L23:$HD23))</f>
        <v>0</v>
      </c>
      <c r="SA23" s="5">
        <f>IF(ISERROR(LOOKUP(SA$1,$S23:$HK23,csv!$L23:$HD23)),NA(),LOOKUP(SA$1,$S23:$HK23,csv!$L23:$HD23))</f>
        <v>0</v>
      </c>
      <c r="SB23" s="5">
        <f>IF(ISERROR(LOOKUP(SB$1,$S23:$HK23,csv!$L23:$HD23)),NA(),LOOKUP(SB$1,$S23:$HK23,csv!$L23:$HD23))</f>
        <v>0</v>
      </c>
      <c r="SC23" s="5">
        <f>IF(ISERROR(LOOKUP(SC$1,$S23:$HK23,csv!$L23:$HD23)),NA(),LOOKUP(SC$1,$S23:$HK23,csv!$L23:$HD23))</f>
        <v>0</v>
      </c>
      <c r="SD23" s="5">
        <f>IF(ISERROR(LOOKUP(SD$1,$S23:$HK23,csv!$L23:$HD23)),NA(),LOOKUP(SD$1,$S23:$HK23,csv!$L23:$HD23))</f>
        <v>0</v>
      </c>
      <c r="SE23" s="5">
        <f>IF(ISERROR(LOOKUP(SE$1,$S23:$HK23,csv!$L23:$HD23)),NA(),LOOKUP(SE$1,$S23:$HK23,csv!$L23:$HD23))</f>
        <v>0</v>
      </c>
      <c r="SF23" s="5">
        <f>IF(ISERROR(LOOKUP(SF$1,$S23:$HK23,csv!$L23:$HD23)),NA(),LOOKUP(SF$1,$S23:$HK23,csv!$L23:$HD23))</f>
        <v>0</v>
      </c>
      <c r="SG23" s="5">
        <f>IF(ISERROR(LOOKUP(SG$1,$S23:$HK23,csv!$L23:$HD23)),NA(),LOOKUP(SG$1,$S23:$HK23,csv!$L23:$HD23))</f>
        <v>0</v>
      </c>
      <c r="SH23" s="5">
        <f>IF(ISERROR(LOOKUP(SH$1,$S23:$HK23,csv!$L23:$HD23)),NA(),LOOKUP(SH$1,$S23:$HK23,csv!$L23:$HD23))</f>
        <v>0</v>
      </c>
      <c r="SI23" s="5">
        <f>IF(ISERROR(LOOKUP(SI$1,$S23:$HK23,csv!$L23:$HD23)),NA(),LOOKUP(SI$1,$S23:$HK23,csv!$L23:$HD23))</f>
        <v>0</v>
      </c>
      <c r="SJ23" s="5">
        <f>IF(ISERROR(LOOKUP(SJ$1,$S23:$HK23,csv!$L23:$HD23)),NA(),LOOKUP(SJ$1,$S23:$HK23,csv!$L23:$HD23))</f>
        <v>0</v>
      </c>
      <c r="SK23" s="5">
        <f>IF(ISERROR(LOOKUP(SK$1,$S23:$HK23,csv!$L23:$HD23)),NA(),LOOKUP(SK$1,$S23:$HK23,csv!$L23:$HD23))</f>
        <v>0</v>
      </c>
      <c r="SL23" s="5">
        <f>IF(ISERROR(LOOKUP(SL$1,$S23:$HK23,csv!$L23:$HD23)),NA(),LOOKUP(SL$1,$S23:$HK23,csv!$L23:$HD23))</f>
        <v>0</v>
      </c>
      <c r="SM23" s="5">
        <f>IF(ISERROR(LOOKUP(SM$1,$S23:$HK23,csv!$L23:$HD23)),NA(),LOOKUP(SM$1,$S23:$HK23,csv!$L23:$HD23))</f>
        <v>0</v>
      </c>
      <c r="SN23" s="5">
        <f>IF(ISERROR(LOOKUP(SN$1,$S23:$HK23,csv!$L23:$HD23)),NA(),LOOKUP(SN$1,$S23:$HK23,csv!$L23:$HD23))</f>
        <v>0</v>
      </c>
      <c r="SO23" s="5">
        <f>IF(ISERROR(LOOKUP(SO$1,$S23:$HK23,csv!$L23:$HD23)),NA(),LOOKUP(SO$1,$S23:$HK23,csv!$L23:$HD23))</f>
        <v>0</v>
      </c>
      <c r="SP23" s="5">
        <f>IF(ISERROR(LOOKUP(SP$1,$S23:$HK23,csv!$L23:$HD23)),NA(),LOOKUP(SP$1,$S23:$HK23,csv!$L23:$HD23))</f>
        <v>0</v>
      </c>
      <c r="SQ23" s="5">
        <f>IF(ISERROR(LOOKUP(SQ$1,$S23:$HK23,csv!$L23:$HD23)),NA(),LOOKUP(SQ$1,$S23:$HK23,csv!$L23:$HD23))</f>
        <v>0</v>
      </c>
      <c r="SR23" s="5">
        <f>IF(ISERROR(LOOKUP(SR$1,$S23:$HK23,csv!$L23:$HD23)),NA(),LOOKUP(SR$1,$S23:$HK23,csv!$L23:$HD23))</f>
        <v>0</v>
      </c>
      <c r="SS23" s="5">
        <f>IF(ISERROR(LOOKUP(SS$1,$S23:$HK23,csv!$L23:$HD23)),NA(),LOOKUP(SS$1,$S23:$HK23,csv!$L23:$HD23))</f>
        <v>0</v>
      </c>
      <c r="ST23" s="5">
        <f>IF(ISERROR(LOOKUP(ST$1,$S23:$HK23,csv!$L23:$HD23)),NA(),LOOKUP(ST$1,$S23:$HK23,csv!$L23:$HD23))</f>
        <v>0</v>
      </c>
      <c r="SU23" s="5">
        <f>IF(ISERROR(LOOKUP(SU$1,$S23:$HK23,csv!$L23:$HD23)),NA(),LOOKUP(SU$1,$S23:$HK23,csv!$L23:$HD23))</f>
        <v>0</v>
      </c>
      <c r="SV23" s="5">
        <f>IF(ISERROR(LOOKUP(SV$1,$S23:$HK23,csv!$L23:$HD23)),NA(),LOOKUP(SV$1,$S23:$HK23,csv!$L23:$HD23))</f>
        <v>0</v>
      </c>
      <c r="SW23" s="5">
        <f>IF(ISERROR(LOOKUP(SW$1,$S23:$HK23,csv!$L23:$HD23)),NA(),LOOKUP(SW$1,$S23:$HK23,csv!$L23:$HD23))</f>
        <v>0</v>
      </c>
      <c r="SX23" s="5">
        <f>IF(ISERROR(LOOKUP(SX$1,$S23:$HK23,csv!$L23:$HD23)),NA(),LOOKUP(SX$1,$S23:$HK23,csv!$L23:$HD23))</f>
        <v>0</v>
      </c>
      <c r="SY23" s="5">
        <f>IF(ISERROR(LOOKUP(SY$1,$S23:$HK23,csv!$L23:$HD23)),NA(),LOOKUP(SY$1,$S23:$HK23,csv!$L23:$HD23))</f>
        <v>0</v>
      </c>
      <c r="SZ23" s="5">
        <f>IF(ISERROR(LOOKUP(SZ$1,$S23:$HK23,csv!$L23:$HD23)),NA(),LOOKUP(SZ$1,$S23:$HK23,csv!$L23:$HD23))</f>
        <v>0</v>
      </c>
      <c r="TA23" s="5">
        <f>IF(ISERROR(LOOKUP(TA$1,$S23:$HK23,csv!$L23:$HD23)),NA(),LOOKUP(TA$1,$S23:$HK23,csv!$L23:$HD23))</f>
        <v>0</v>
      </c>
      <c r="TB23" s="5">
        <f>IF(ISERROR(LOOKUP(TB$1,$S23:$HK23,csv!$L23:$HD23)),NA(),LOOKUP(TB$1,$S23:$HK23,csv!$L23:$HD23))</f>
        <v>0</v>
      </c>
      <c r="TD23">
        <f>csv!HG23/10</f>
        <v>0</v>
      </c>
    </row>
    <row r="24" spans="3:524" x14ac:dyDescent="0.15">
      <c r="S24" s="4">
        <f>ROUND((csv!$HG24/10+calc!S$1),1)</f>
        <v>-10</v>
      </c>
      <c r="T24" s="4">
        <f>ROUND((csv!$HG24/10+calc!T$1),1)</f>
        <v>-9.9</v>
      </c>
      <c r="U24" s="4">
        <f>ROUND((csv!$HG24/10+calc!U$1),1)</f>
        <v>-9.8000000000000007</v>
      </c>
      <c r="V24" s="4">
        <f>ROUND((csv!$HG24/10+calc!V$1),1)</f>
        <v>-9.6999999999999993</v>
      </c>
      <c r="W24" s="4">
        <f>ROUND((csv!$HG24/10+calc!W$1),1)</f>
        <v>-9.6</v>
      </c>
      <c r="X24" s="4">
        <f>ROUND((csv!$HG24/10+calc!X$1),1)</f>
        <v>-9.5</v>
      </c>
      <c r="Y24" s="4">
        <f>ROUND((csv!$HG24/10+calc!Y$1),1)</f>
        <v>-9.4</v>
      </c>
      <c r="Z24" s="4">
        <f>ROUND((csv!$HG24/10+calc!Z$1),1)</f>
        <v>-9.3000000000000007</v>
      </c>
      <c r="AA24" s="4">
        <f>ROUND((csv!$HG24/10+calc!AA$1),1)</f>
        <v>-9.1999999999999993</v>
      </c>
      <c r="AB24" s="4">
        <f>ROUND((csv!$HG24/10+calc!AB$1),1)</f>
        <v>-9.1</v>
      </c>
      <c r="AC24" s="4">
        <f>ROUND((csv!$HG24/10+calc!AC$1),1)</f>
        <v>-9</v>
      </c>
      <c r="AD24" s="4">
        <f>ROUND((csv!$HG24/10+calc!AD$1),1)</f>
        <v>-8.9</v>
      </c>
      <c r="AE24" s="4">
        <f>ROUND((csv!$HG24/10+calc!AE$1),1)</f>
        <v>-8.8000000000000007</v>
      </c>
      <c r="AF24" s="4">
        <f>ROUND((csv!$HG24/10+calc!AF$1),1)</f>
        <v>-8.6999999999999993</v>
      </c>
      <c r="AG24" s="4">
        <f>ROUND((csv!$HG24/10+calc!AG$1),1)</f>
        <v>-8.6</v>
      </c>
      <c r="AH24" s="4">
        <f>ROUND((csv!$HG24/10+calc!AH$1),1)</f>
        <v>-8.5</v>
      </c>
      <c r="AI24" s="4">
        <f>ROUND((csv!$HG24/10+calc!AI$1),1)</f>
        <v>-8.4</v>
      </c>
      <c r="AJ24" s="4">
        <f>ROUND((csv!$HG24/10+calc!AJ$1),1)</f>
        <v>-8.3000000000000007</v>
      </c>
      <c r="AK24" s="4">
        <f>ROUND((csv!$HG24/10+calc!AK$1),1)</f>
        <v>-8.1999999999999993</v>
      </c>
      <c r="AL24" s="4">
        <f>ROUND((csv!$HG24/10+calc!AL$1),1)</f>
        <v>-8.1</v>
      </c>
      <c r="AM24" s="4">
        <f>ROUND((csv!$HG24/10+calc!AM$1),1)</f>
        <v>-8</v>
      </c>
      <c r="AN24" s="4">
        <f>ROUND((csv!$HG24/10+calc!AN$1),1)</f>
        <v>-7.9</v>
      </c>
      <c r="AO24" s="4">
        <f>ROUND((csv!$HG24/10+calc!AO$1),1)</f>
        <v>-7.8</v>
      </c>
      <c r="AP24" s="4">
        <f>ROUND((csv!$HG24/10+calc!AP$1),1)</f>
        <v>-7.7</v>
      </c>
      <c r="AQ24" s="4">
        <f>ROUND((csv!$HG24/10+calc!AQ$1),1)</f>
        <v>-7.6</v>
      </c>
      <c r="AR24" s="4">
        <f>ROUND((csv!$HG24/10+calc!AR$1),1)</f>
        <v>-7.5</v>
      </c>
      <c r="AS24" s="4">
        <f>ROUND((csv!$HG24/10+calc!AS$1),1)</f>
        <v>-7.4</v>
      </c>
      <c r="AT24" s="4">
        <f>ROUND((csv!$HG24/10+calc!AT$1),1)</f>
        <v>-7.3</v>
      </c>
      <c r="AU24" s="4">
        <f>ROUND((csv!$HG24/10+calc!AU$1),1)</f>
        <v>-7.2</v>
      </c>
      <c r="AV24" s="4">
        <f>ROUND((csv!$HG24/10+calc!AV$1),1)</f>
        <v>-7.1</v>
      </c>
      <c r="AW24" s="4">
        <f>ROUND((csv!$HG24/10+calc!AW$1),1)</f>
        <v>-7</v>
      </c>
      <c r="AX24" s="4">
        <f>ROUND((csv!$HG24/10+calc!AX$1),1)</f>
        <v>-6.9</v>
      </c>
      <c r="AY24" s="4">
        <f>ROUND((csv!$HG24/10+calc!AY$1),1)</f>
        <v>-6.8</v>
      </c>
      <c r="AZ24" s="4">
        <f>ROUND((csv!$HG24/10+calc!AZ$1),1)</f>
        <v>-6.7</v>
      </c>
      <c r="BA24" s="4">
        <f>ROUND((csv!$HG24/10+calc!BA$1),1)</f>
        <v>-6.6</v>
      </c>
      <c r="BB24" s="4">
        <f>ROUND((csv!$HG24/10+calc!BB$1),1)</f>
        <v>-6.5</v>
      </c>
      <c r="BC24" s="4">
        <f>ROUND((csv!$HG24/10+calc!BC$1),1)</f>
        <v>-6.4</v>
      </c>
      <c r="BD24" s="4">
        <f>ROUND((csv!$HG24/10+calc!BD$1),1)</f>
        <v>-6.3</v>
      </c>
      <c r="BE24" s="4">
        <f>ROUND((csv!$HG24/10+calc!BE$1),1)</f>
        <v>-6.2</v>
      </c>
      <c r="BF24" s="4">
        <f>ROUND((csv!$HG24/10+calc!BF$1),1)</f>
        <v>-6.1</v>
      </c>
      <c r="BG24" s="4">
        <f>ROUND((csv!$HG24/10+calc!BG$1),1)</f>
        <v>-6</v>
      </c>
      <c r="BH24" s="4">
        <f>ROUND((csv!$HG24/10+calc!BH$1),1)</f>
        <v>-5.9</v>
      </c>
      <c r="BI24" s="4">
        <f>ROUND((csv!$HG24/10+calc!BI$1),1)</f>
        <v>-5.8</v>
      </c>
      <c r="BJ24" s="4">
        <f>ROUND((csv!$HG24/10+calc!BJ$1),1)</f>
        <v>-5.7</v>
      </c>
      <c r="BK24" s="4">
        <f>ROUND((csv!$HG24/10+calc!BK$1),1)</f>
        <v>-5.6</v>
      </c>
      <c r="BL24" s="4">
        <f>ROUND((csv!$HG24/10+calc!BL$1),1)</f>
        <v>-5.5</v>
      </c>
      <c r="BM24" s="4">
        <f>ROUND((csv!$HG24/10+calc!BM$1),1)</f>
        <v>-5.4</v>
      </c>
      <c r="BN24" s="4">
        <f>ROUND((csv!$HG24/10+calc!BN$1),1)</f>
        <v>-5.3</v>
      </c>
      <c r="BO24" s="4">
        <f>ROUND((csv!$HG24/10+calc!BO$1),1)</f>
        <v>-5.2</v>
      </c>
      <c r="BP24" s="4">
        <f>ROUND((csv!$HG24/10+calc!BP$1),1)</f>
        <v>-5.0999999999999996</v>
      </c>
      <c r="BQ24" s="4">
        <f>ROUND((csv!$HG24/10+calc!BQ$1),1)</f>
        <v>-5</v>
      </c>
      <c r="BR24" s="4">
        <f>ROUND((csv!$HG24/10+calc!BR$1),1)</f>
        <v>-4.9000000000000004</v>
      </c>
      <c r="BS24" s="4">
        <f>ROUND((csv!$HG24/10+calc!BS$1),1)</f>
        <v>-4.8</v>
      </c>
      <c r="BT24" s="4">
        <f>ROUND((csv!$HG24/10+calc!BT$1),1)</f>
        <v>-4.7</v>
      </c>
      <c r="BU24" s="4">
        <f>ROUND((csv!$HG24/10+calc!BU$1),1)</f>
        <v>-4.5999999999999996</v>
      </c>
      <c r="BV24" s="4">
        <f>ROUND((csv!$HG24/10+calc!BV$1),1)</f>
        <v>-4.5</v>
      </c>
      <c r="BW24" s="4">
        <f>ROUND((csv!$HG24/10+calc!BW$1),1)</f>
        <v>-4.4000000000000004</v>
      </c>
      <c r="BX24" s="4">
        <f>ROUND((csv!$HG24/10+calc!BX$1),1)</f>
        <v>-4.3</v>
      </c>
      <c r="BY24" s="4">
        <f>ROUND((csv!$HG24/10+calc!BY$1),1)</f>
        <v>-4.2</v>
      </c>
      <c r="BZ24" s="4">
        <f>ROUND((csv!$HG24/10+calc!BZ$1),1)</f>
        <v>-4.0999999999999996</v>
      </c>
      <c r="CA24" s="4">
        <f>ROUND((csv!$HG24/10+calc!CA$1),1)</f>
        <v>-4</v>
      </c>
      <c r="CB24" s="4">
        <f>ROUND((csv!$HG24/10+calc!CB$1),1)</f>
        <v>-3.9</v>
      </c>
      <c r="CC24" s="4">
        <f>ROUND((csv!$HG24/10+calc!CC$1),1)</f>
        <v>-3.8</v>
      </c>
      <c r="CD24" s="4">
        <f>ROUND((csv!$HG24/10+calc!CD$1),1)</f>
        <v>-3.7</v>
      </c>
      <c r="CE24" s="4">
        <f>ROUND((csv!$HG24/10+calc!CE$1),1)</f>
        <v>-3.6</v>
      </c>
      <c r="CF24" s="4">
        <f>ROUND((csv!$HG24/10+calc!CF$1),1)</f>
        <v>-3.5</v>
      </c>
      <c r="CG24" s="4">
        <f>ROUND((csv!$HG24/10+calc!CG$1),1)</f>
        <v>-3.4</v>
      </c>
      <c r="CH24" s="4">
        <f>ROUND((csv!$HG24/10+calc!CH$1),1)</f>
        <v>-3.3</v>
      </c>
      <c r="CI24" s="4">
        <f>ROUND((csv!$HG24/10+calc!CI$1),1)</f>
        <v>-3.2</v>
      </c>
      <c r="CJ24" s="4">
        <f>ROUND((csv!$HG24/10+calc!CJ$1),1)</f>
        <v>-3.1</v>
      </c>
      <c r="CK24" s="4">
        <f>ROUND((csv!$HG24/10+calc!CK$1),1)</f>
        <v>-3</v>
      </c>
      <c r="CL24" s="4">
        <f>ROUND((csv!$HG24/10+calc!CL$1),1)</f>
        <v>-2.9</v>
      </c>
      <c r="CM24" s="4">
        <f>ROUND((csv!$HG24/10+calc!CM$1),1)</f>
        <v>-2.8</v>
      </c>
      <c r="CN24" s="4">
        <f>ROUND((csv!$HG24/10+calc!CN$1),1)</f>
        <v>-2.7</v>
      </c>
      <c r="CO24" s="4">
        <f>ROUND((csv!$HG24/10+calc!CO$1),1)</f>
        <v>-2.6</v>
      </c>
      <c r="CP24" s="4">
        <f>ROUND((csv!$HG24/10+calc!CP$1),1)</f>
        <v>-2.5</v>
      </c>
      <c r="CQ24" s="4">
        <f>ROUND((csv!$HG24/10+calc!CQ$1),1)</f>
        <v>-2.4</v>
      </c>
      <c r="CR24" s="4">
        <f>ROUND((csv!$HG24/10+calc!CR$1),1)</f>
        <v>-2.2999999999999998</v>
      </c>
      <c r="CS24" s="4">
        <f>ROUND((csv!$HG24/10+calc!CS$1),1)</f>
        <v>-2.2000000000000002</v>
      </c>
      <c r="CT24" s="4">
        <f>ROUND((csv!$HG24/10+calc!CT$1),1)</f>
        <v>-2.1</v>
      </c>
      <c r="CU24" s="4">
        <f>ROUND((csv!$HG24/10+calc!CU$1),1)</f>
        <v>-2</v>
      </c>
      <c r="CV24" s="4">
        <f>ROUND((csv!$HG24/10+calc!CV$1),1)</f>
        <v>-1.9</v>
      </c>
      <c r="CW24" s="4">
        <f>ROUND((csv!$HG24/10+calc!CW$1),1)</f>
        <v>-1.8</v>
      </c>
      <c r="CX24" s="4">
        <f>ROUND((csv!$HG24/10+calc!CX$1),1)</f>
        <v>-1.7</v>
      </c>
      <c r="CY24" s="4">
        <f>ROUND((csv!$HG24/10+calc!CY$1),1)</f>
        <v>-1.6</v>
      </c>
      <c r="CZ24" s="4">
        <f>ROUND((csv!$HG24/10+calc!CZ$1),1)</f>
        <v>-1.5</v>
      </c>
      <c r="DA24" s="4">
        <f>ROUND((csv!$HG24/10+calc!DA$1),1)</f>
        <v>-1.4</v>
      </c>
      <c r="DB24" s="4">
        <f>ROUND((csv!$HG24/10+calc!DB$1),1)</f>
        <v>-1.3</v>
      </c>
      <c r="DC24" s="4">
        <f>ROUND((csv!$HG24/10+calc!DC$1),1)</f>
        <v>-1.2</v>
      </c>
      <c r="DD24" s="4">
        <f>ROUND((csv!$HG24/10+calc!DD$1),1)</f>
        <v>-1.1000000000000001</v>
      </c>
      <c r="DE24" s="4">
        <f>ROUND((csv!$HG24/10+calc!DE$1),1)</f>
        <v>-1</v>
      </c>
      <c r="DF24" s="4">
        <f>ROUND((csv!$HG24/10+calc!DF$1),1)</f>
        <v>-0.9</v>
      </c>
      <c r="DG24" s="4">
        <f>ROUND((csv!$HG24/10+calc!DG$1),1)</f>
        <v>-0.8</v>
      </c>
      <c r="DH24" s="4">
        <f>ROUND((csv!$HG24/10+calc!DH$1),1)</f>
        <v>-0.7</v>
      </c>
      <c r="DI24" s="4">
        <f>ROUND((csv!$HG24/10+calc!DI$1),1)</f>
        <v>-0.6</v>
      </c>
      <c r="DJ24" s="4">
        <f>ROUND((csv!$HG24/10+calc!DJ$1),1)</f>
        <v>-0.5</v>
      </c>
      <c r="DK24" s="4">
        <f>ROUND((csv!$HG24/10+calc!DK$1),1)</f>
        <v>-0.4</v>
      </c>
      <c r="DL24" s="4">
        <f>ROUND((csv!$HG24/10+calc!DL$1),1)</f>
        <v>-0.3</v>
      </c>
      <c r="DM24" s="4">
        <f>ROUND((csv!$HG24/10+calc!DM$1),1)</f>
        <v>-0.2</v>
      </c>
      <c r="DN24" s="4">
        <f>ROUND((csv!$HG24/10+calc!DN$1),1)</f>
        <v>-0.1</v>
      </c>
      <c r="DO24" s="4">
        <f>ROUND((csv!$HG24/10+calc!DO$1),1)</f>
        <v>0</v>
      </c>
      <c r="DP24" s="4">
        <f>ROUND((csv!$HG24/10+calc!DP$1),1)</f>
        <v>0.1</v>
      </c>
      <c r="DQ24" s="4">
        <f>ROUND((csv!$HG24/10+calc!DQ$1),1)</f>
        <v>0.2</v>
      </c>
      <c r="DR24" s="4">
        <f>ROUND((csv!$HG24/10+calc!DR$1),1)</f>
        <v>0.3</v>
      </c>
      <c r="DS24" s="4">
        <f>ROUND((csv!$HG24/10+calc!DS$1),1)</f>
        <v>0.4</v>
      </c>
      <c r="DT24" s="4">
        <f>ROUND((csv!$HG24/10+calc!DT$1),1)</f>
        <v>0.5</v>
      </c>
      <c r="DU24" s="4">
        <f>ROUND((csv!$HG24/10+calc!DU$1),1)</f>
        <v>0.6</v>
      </c>
      <c r="DV24" s="4">
        <f>ROUND((csv!$HG24/10+calc!DV$1),1)</f>
        <v>0.7</v>
      </c>
      <c r="DW24" s="4">
        <f>ROUND((csv!$HG24/10+calc!DW$1),1)</f>
        <v>0.8</v>
      </c>
      <c r="DX24" s="4">
        <f>ROUND((csv!$HG24/10+calc!DX$1),1)</f>
        <v>0.9</v>
      </c>
      <c r="DY24" s="4">
        <f>ROUND((csv!$HG24/10+calc!DY$1),1)</f>
        <v>1</v>
      </c>
      <c r="DZ24" s="4">
        <f>ROUND((csv!$HG24/10+calc!DZ$1),1)</f>
        <v>1.1000000000000001</v>
      </c>
      <c r="EA24" s="4">
        <f>ROUND((csv!$HG24/10+calc!EA$1),1)</f>
        <v>1.2</v>
      </c>
      <c r="EB24" s="4">
        <f>ROUND((csv!$HG24/10+calc!EB$1),1)</f>
        <v>1.3</v>
      </c>
      <c r="EC24" s="4">
        <f>ROUND((csv!$HG24/10+calc!EC$1),1)</f>
        <v>1.4</v>
      </c>
      <c r="ED24" s="4">
        <f>ROUND((csv!$HG24/10+calc!ED$1),1)</f>
        <v>1.5</v>
      </c>
      <c r="EE24" s="4">
        <f>ROUND((csv!$HG24/10+calc!EE$1),1)</f>
        <v>1.6</v>
      </c>
      <c r="EF24" s="4">
        <f>ROUND((csv!$HG24/10+calc!EF$1),1)</f>
        <v>1.7</v>
      </c>
      <c r="EG24" s="4">
        <f>ROUND((csv!$HG24/10+calc!EG$1),1)</f>
        <v>1.8</v>
      </c>
      <c r="EH24" s="4">
        <f>ROUND((csv!$HG24/10+calc!EH$1),1)</f>
        <v>1.9</v>
      </c>
      <c r="EI24" s="4">
        <f>ROUND((csv!$HG24/10+calc!EI$1),1)</f>
        <v>2</v>
      </c>
      <c r="EJ24" s="4">
        <f>ROUND((csv!$HG24/10+calc!EJ$1),1)</f>
        <v>2.1</v>
      </c>
      <c r="EK24" s="4">
        <f>ROUND((csv!$HG24/10+calc!EK$1),1)</f>
        <v>2.2000000000000002</v>
      </c>
      <c r="EL24" s="4">
        <f>ROUND((csv!$HG24/10+calc!EL$1),1)</f>
        <v>2.2999999999999998</v>
      </c>
      <c r="EM24" s="4">
        <f>ROUND((csv!$HG24/10+calc!EM$1),1)</f>
        <v>2.4</v>
      </c>
      <c r="EN24" s="4">
        <f>ROUND((csv!$HG24/10+calc!EN$1),1)</f>
        <v>2.5</v>
      </c>
      <c r="EO24" s="4">
        <f>ROUND((csv!$HG24/10+calc!EO$1),1)</f>
        <v>2.6</v>
      </c>
      <c r="EP24" s="4">
        <f>ROUND((csv!$HG24/10+calc!EP$1),1)</f>
        <v>2.7</v>
      </c>
      <c r="EQ24" s="4">
        <f>ROUND((csv!$HG24/10+calc!EQ$1),1)</f>
        <v>2.8</v>
      </c>
      <c r="ER24" s="4">
        <f>ROUND((csv!$HG24/10+calc!ER$1),1)</f>
        <v>2.9</v>
      </c>
      <c r="ES24" s="4">
        <f>ROUND((csv!$HG24/10+calc!ES$1),1)</f>
        <v>3</v>
      </c>
      <c r="ET24" s="4">
        <f>ROUND((csv!$HG24/10+calc!ET$1),1)</f>
        <v>3.1</v>
      </c>
      <c r="EU24" s="4">
        <f>ROUND((csv!$HG24/10+calc!EU$1),1)</f>
        <v>3.2</v>
      </c>
      <c r="EV24" s="4">
        <f>ROUND((csv!$HG24/10+calc!EV$1),1)</f>
        <v>3.3</v>
      </c>
      <c r="EW24" s="4">
        <f>ROUND((csv!$HG24/10+calc!EW$1),1)</f>
        <v>3.4</v>
      </c>
      <c r="EX24" s="4">
        <f>ROUND((csv!$HG24/10+calc!EX$1),1)</f>
        <v>3.5</v>
      </c>
      <c r="EY24" s="4">
        <f>ROUND((csv!$HG24/10+calc!EY$1),1)</f>
        <v>3.6</v>
      </c>
      <c r="EZ24" s="4">
        <f>ROUND((csv!$HG24/10+calc!EZ$1),1)</f>
        <v>3.7</v>
      </c>
      <c r="FA24" s="4">
        <f>ROUND((csv!$HG24/10+calc!FA$1),1)</f>
        <v>3.8</v>
      </c>
      <c r="FB24" s="4">
        <f>ROUND((csv!$HG24/10+calc!FB$1),1)</f>
        <v>3.9</v>
      </c>
      <c r="FC24" s="4">
        <f>ROUND((csv!$HG24/10+calc!FC$1),1)</f>
        <v>4</v>
      </c>
      <c r="FD24" s="4">
        <f>ROUND((csv!$HG24/10+calc!FD$1),1)</f>
        <v>4.0999999999999996</v>
      </c>
      <c r="FE24" s="4">
        <f>ROUND((csv!$HG24/10+calc!FE$1),1)</f>
        <v>4.2</v>
      </c>
      <c r="FF24" s="4">
        <f>ROUND((csv!$HG24/10+calc!FF$1),1)</f>
        <v>4.3</v>
      </c>
      <c r="FG24" s="4">
        <f>ROUND((csv!$HG24/10+calc!FG$1),1)</f>
        <v>4.4000000000000004</v>
      </c>
      <c r="FH24" s="4">
        <f>ROUND((csv!$HG24/10+calc!FH$1),1)</f>
        <v>4.5</v>
      </c>
      <c r="FI24" s="4">
        <f>ROUND((csv!$HG24/10+calc!FI$1),1)</f>
        <v>4.5999999999999996</v>
      </c>
      <c r="FJ24" s="4">
        <f>ROUND((csv!$HG24/10+calc!FJ$1),1)</f>
        <v>4.7</v>
      </c>
      <c r="FK24" s="4">
        <f>ROUND((csv!$HG24/10+calc!FK$1),1)</f>
        <v>4.8</v>
      </c>
      <c r="FL24" s="4">
        <f>ROUND((csv!$HG24/10+calc!FL$1),1)</f>
        <v>4.9000000000000004</v>
      </c>
      <c r="FM24" s="4">
        <f>ROUND((csv!$HG24/10+calc!FM$1),1)</f>
        <v>5</v>
      </c>
      <c r="FN24" s="4">
        <f>ROUND((csv!$HG24/10+calc!FN$1),1)</f>
        <v>5.0999999999999996</v>
      </c>
      <c r="FO24" s="4">
        <f>ROUND((csv!$HG24/10+calc!FO$1),1)</f>
        <v>5.2</v>
      </c>
      <c r="FP24" s="4">
        <f>ROUND((csv!$HG24/10+calc!FP$1),1)</f>
        <v>5.3</v>
      </c>
      <c r="FQ24" s="4">
        <f>ROUND((csv!$HG24/10+calc!FQ$1),1)</f>
        <v>5.4</v>
      </c>
      <c r="FR24" s="4">
        <f>ROUND((csv!$HG24/10+calc!FR$1),1)</f>
        <v>5.5</v>
      </c>
      <c r="FS24" s="4">
        <f>ROUND((csv!$HG24/10+calc!FS$1),1)</f>
        <v>5.6</v>
      </c>
      <c r="FT24" s="4">
        <f>ROUND((csv!$HG24/10+calc!FT$1),1)</f>
        <v>5.7</v>
      </c>
      <c r="FU24" s="4">
        <f>ROUND((csv!$HG24/10+calc!FU$1),1)</f>
        <v>5.8</v>
      </c>
      <c r="FV24" s="4">
        <f>ROUND((csv!$HG24/10+calc!FV$1),1)</f>
        <v>5.9</v>
      </c>
      <c r="FW24" s="4">
        <f>ROUND((csv!$HG24/10+calc!FW$1),1)</f>
        <v>6</v>
      </c>
      <c r="FX24" s="4">
        <f>ROUND((csv!$HG24/10+calc!FX$1),1)</f>
        <v>6.1</v>
      </c>
      <c r="FY24" s="4">
        <f>ROUND((csv!$HG24/10+calc!FY$1),1)</f>
        <v>6.2</v>
      </c>
      <c r="FZ24" s="4">
        <f>ROUND((csv!$HG24/10+calc!FZ$1),1)</f>
        <v>6.3</v>
      </c>
      <c r="GA24" s="4">
        <f>ROUND((csv!$HG24/10+calc!GA$1),1)</f>
        <v>6.4</v>
      </c>
      <c r="GB24" s="4">
        <f>ROUND((csv!$HG24/10+calc!GB$1),1)</f>
        <v>6.5</v>
      </c>
      <c r="GC24" s="4">
        <f>ROUND((csv!$HG24/10+calc!GC$1),1)</f>
        <v>6.6</v>
      </c>
      <c r="GD24" s="4">
        <f>ROUND((csv!$HG24/10+calc!GD$1),1)</f>
        <v>6.7</v>
      </c>
      <c r="GE24" s="4">
        <f>ROUND((csv!$HG24/10+calc!GE$1),1)</f>
        <v>6.8</v>
      </c>
      <c r="GF24" s="4">
        <f>ROUND((csv!$HG24/10+calc!GF$1),1)</f>
        <v>6.9</v>
      </c>
      <c r="GG24" s="4">
        <f>ROUND((csv!$HG24/10+calc!GG$1),1)</f>
        <v>7</v>
      </c>
      <c r="GH24" s="4">
        <f>ROUND((csv!$HG24/10+calc!GH$1),1)</f>
        <v>7.1</v>
      </c>
      <c r="GI24" s="4">
        <f>ROUND((csv!$HG24/10+calc!GI$1),1)</f>
        <v>7.2</v>
      </c>
      <c r="GJ24" s="4">
        <f>ROUND((csv!$HG24/10+calc!GJ$1),1)</f>
        <v>7.3</v>
      </c>
      <c r="GK24" s="4">
        <f>ROUND((csv!$HG24/10+calc!GK$1),1)</f>
        <v>7.4</v>
      </c>
      <c r="GL24" s="4">
        <f>ROUND((csv!$HG24/10+calc!GL$1),1)</f>
        <v>7.5</v>
      </c>
      <c r="GM24" s="4">
        <f>ROUND((csv!$HG24/10+calc!GM$1),1)</f>
        <v>7.6</v>
      </c>
      <c r="GN24" s="4">
        <f>ROUND((csv!$HG24/10+calc!GN$1),1)</f>
        <v>7.7</v>
      </c>
      <c r="GO24" s="4">
        <f>ROUND((csv!$HG24/10+calc!GO$1),1)</f>
        <v>7.8</v>
      </c>
      <c r="GP24" s="4">
        <f>ROUND((csv!$HG24/10+calc!GP$1),1)</f>
        <v>7.9</v>
      </c>
      <c r="GQ24" s="4">
        <f>ROUND((csv!$HG24/10+calc!GQ$1),1)</f>
        <v>8</v>
      </c>
      <c r="GR24" s="4">
        <f>ROUND((csv!$HG24/10+calc!GR$1),1)</f>
        <v>8.1</v>
      </c>
      <c r="GS24" s="4">
        <f>ROUND((csv!$HG24/10+calc!GS$1),1)</f>
        <v>8.1999999999999993</v>
      </c>
      <c r="GT24" s="4">
        <f>ROUND((csv!$HG24/10+calc!GT$1),1)</f>
        <v>8.3000000000000007</v>
      </c>
      <c r="GU24" s="4">
        <f>ROUND((csv!$HG24/10+calc!GU$1),1)</f>
        <v>8.4</v>
      </c>
      <c r="GV24" s="4">
        <f>ROUND((csv!$HG24/10+calc!GV$1),1)</f>
        <v>8.5</v>
      </c>
      <c r="GW24" s="4">
        <f>ROUND((csv!$HG24/10+calc!GW$1),1)</f>
        <v>8.6</v>
      </c>
      <c r="GX24" s="4">
        <f>ROUND((csv!$HG24/10+calc!GX$1),1)</f>
        <v>8.6999999999999993</v>
      </c>
      <c r="GY24" s="4">
        <f>ROUND((csv!$HG24/10+calc!GY$1),1)</f>
        <v>8.8000000000000007</v>
      </c>
      <c r="GZ24" s="4">
        <f>ROUND((csv!$HG24/10+calc!GZ$1),1)</f>
        <v>8.9</v>
      </c>
      <c r="HA24" s="4">
        <f>ROUND((csv!$HG24/10+calc!HA$1),1)</f>
        <v>9</v>
      </c>
      <c r="HB24" s="4">
        <f>ROUND((csv!$HG24/10+calc!HB$1),1)</f>
        <v>9.1</v>
      </c>
      <c r="HC24" s="4">
        <f>ROUND((csv!$HG24/10+calc!HC$1),1)</f>
        <v>9.1999999999999993</v>
      </c>
      <c r="HD24" s="4">
        <f>ROUND((csv!$HG24/10+calc!HD$1),1)</f>
        <v>9.3000000000000007</v>
      </c>
      <c r="HE24" s="4">
        <f>ROUND((csv!$HG24/10+calc!HE$1),1)</f>
        <v>9.4</v>
      </c>
      <c r="HF24" s="4">
        <f>ROUND((csv!$HG24/10+calc!HF$1),1)</f>
        <v>9.5</v>
      </c>
      <c r="HG24" s="4">
        <f>ROUND((csv!$HG24/10+calc!HG$1),1)</f>
        <v>9.6</v>
      </c>
      <c r="HH24" s="4">
        <f>ROUND((csv!$HG24/10+calc!HH$1),1)</f>
        <v>9.6999999999999993</v>
      </c>
      <c r="HI24" s="4">
        <f>ROUND((csv!$HG24/10+calc!HI$1),1)</f>
        <v>9.8000000000000007</v>
      </c>
      <c r="HJ24" s="4">
        <f>ROUND((csv!$HG24/10+calc!HJ$1),1)</f>
        <v>9.9</v>
      </c>
      <c r="HK24" s="4">
        <f>ROUND((csv!$HG24/10+calc!HK$1),1)</f>
        <v>10</v>
      </c>
      <c r="HM24" s="2">
        <f>csv!A24*10000+csv!B24*100+csv!C24</f>
        <v>0</v>
      </c>
      <c r="HN24" s="5">
        <f>IF(ISERROR(LOOKUP(HN$1,$S24:$HK24,csv!$L24:$HD24)),NA(),LOOKUP(HN$1,$S24:$HK24,csv!$L24:$HD24))</f>
        <v>0</v>
      </c>
      <c r="HO24" s="5">
        <f>IF(ISERROR(LOOKUP(HO$1,$S24:$HK24,csv!$L24:$HD24)),NA(),LOOKUP(HO$1,$S24:$HK24,csv!$L24:$HD24))</f>
        <v>0</v>
      </c>
      <c r="HP24" s="5">
        <f>IF(ISERROR(LOOKUP(HP$1,$S24:$HK24,csv!$L24:$HD24)),NA(),LOOKUP(HP$1,$S24:$HK24,csv!$L24:$HD24))</f>
        <v>0</v>
      </c>
      <c r="HQ24" s="5">
        <f>IF(ISERROR(LOOKUP(HQ$1,$S24:$HK24,csv!$L24:$HD24)),NA(),LOOKUP(HQ$1,$S24:$HK24,csv!$L24:$HD24))</f>
        <v>0</v>
      </c>
      <c r="HR24" s="5">
        <f>IF(ISERROR(LOOKUP(HR$1,$S24:$HK24,csv!$L24:$HD24)),NA(),LOOKUP(HR$1,$S24:$HK24,csv!$L24:$HD24))</f>
        <v>0</v>
      </c>
      <c r="HS24" s="5">
        <f>IF(ISERROR(LOOKUP(HS$1,$S24:$HK24,csv!$L24:$HD24)),NA(),LOOKUP(HS$1,$S24:$HK24,csv!$L24:$HD24))</f>
        <v>0</v>
      </c>
      <c r="HT24" s="5">
        <f>IF(ISERROR(LOOKUP(HT$1,$S24:$HK24,csv!$L24:$HD24)),NA(),LOOKUP(HT$1,$S24:$HK24,csv!$L24:$HD24))</f>
        <v>0</v>
      </c>
      <c r="HU24" s="5">
        <f>IF(ISERROR(LOOKUP(HU$1,$S24:$HK24,csv!$L24:$HD24)),NA(),LOOKUP(HU$1,$S24:$HK24,csv!$L24:$HD24))</f>
        <v>0</v>
      </c>
      <c r="HV24" s="5">
        <f>IF(ISERROR(LOOKUP(HV$1,$S24:$HK24,csv!$L24:$HD24)),NA(),LOOKUP(HV$1,$S24:$HK24,csv!$L24:$HD24))</f>
        <v>0</v>
      </c>
      <c r="HW24" s="5">
        <f>IF(ISERROR(LOOKUP(HW$1,$S24:$HK24,csv!$L24:$HD24)),NA(),LOOKUP(HW$1,$S24:$HK24,csv!$L24:$HD24))</f>
        <v>0</v>
      </c>
      <c r="HX24" s="5">
        <f>IF(ISERROR(LOOKUP(HX$1,$S24:$HK24,csv!$L24:$HD24)),NA(),LOOKUP(HX$1,$S24:$HK24,csv!$L24:$HD24))</f>
        <v>0</v>
      </c>
      <c r="HY24" s="5">
        <f>IF(ISERROR(LOOKUP(HY$1,$S24:$HK24,csv!$L24:$HD24)),NA(),LOOKUP(HY$1,$S24:$HK24,csv!$L24:$HD24))</f>
        <v>0</v>
      </c>
      <c r="HZ24" s="5">
        <f>IF(ISERROR(LOOKUP(HZ$1,$S24:$HK24,csv!$L24:$HD24)),NA(),LOOKUP(HZ$1,$S24:$HK24,csv!$L24:$HD24))</f>
        <v>0</v>
      </c>
      <c r="IA24" s="5">
        <f>IF(ISERROR(LOOKUP(IA$1,$S24:$HK24,csv!$L24:$HD24)),NA(),LOOKUP(IA$1,$S24:$HK24,csv!$L24:$HD24))</f>
        <v>0</v>
      </c>
      <c r="IB24" s="5">
        <f>IF(ISERROR(LOOKUP(IB$1,$S24:$HK24,csv!$L24:$HD24)),NA(),LOOKUP(IB$1,$S24:$HK24,csv!$L24:$HD24))</f>
        <v>0</v>
      </c>
      <c r="IC24" s="5">
        <f>IF(ISERROR(LOOKUP(IC$1,$S24:$HK24,csv!$L24:$HD24)),NA(),LOOKUP(IC$1,$S24:$HK24,csv!$L24:$HD24))</f>
        <v>0</v>
      </c>
      <c r="ID24" s="5">
        <f>IF(ISERROR(LOOKUP(ID$1,$S24:$HK24,csv!$L24:$HD24)),NA(),LOOKUP(ID$1,$S24:$HK24,csv!$L24:$HD24))</f>
        <v>0</v>
      </c>
      <c r="IE24" s="5">
        <f>IF(ISERROR(LOOKUP(IE$1,$S24:$HK24,csv!$L24:$HD24)),NA(),LOOKUP(IE$1,$S24:$HK24,csv!$L24:$HD24))</f>
        <v>0</v>
      </c>
      <c r="IF24" s="5">
        <f>IF(ISERROR(LOOKUP(IF$1,$S24:$HK24,csv!$L24:$HD24)),NA(),LOOKUP(IF$1,$S24:$HK24,csv!$L24:$HD24))</f>
        <v>0</v>
      </c>
      <c r="IG24" s="5">
        <f>IF(ISERROR(LOOKUP(IG$1,$S24:$HK24,csv!$L24:$HD24)),NA(),LOOKUP(IG$1,$S24:$HK24,csv!$L24:$HD24))</f>
        <v>0</v>
      </c>
      <c r="IH24" s="5">
        <f>IF(ISERROR(LOOKUP(IH$1,$S24:$HK24,csv!$L24:$HD24)),NA(),LOOKUP(IH$1,$S24:$HK24,csv!$L24:$HD24))</f>
        <v>0</v>
      </c>
      <c r="II24" s="5">
        <f>IF(ISERROR(LOOKUP(II$1,$S24:$HK24,csv!$L24:$HD24)),NA(),LOOKUP(II$1,$S24:$HK24,csv!$L24:$HD24))</f>
        <v>0</v>
      </c>
      <c r="IJ24" s="5">
        <f>IF(ISERROR(LOOKUP(IJ$1,$S24:$HK24,csv!$L24:$HD24)),NA(),LOOKUP(IJ$1,$S24:$HK24,csv!$L24:$HD24))</f>
        <v>0</v>
      </c>
      <c r="IK24" s="5">
        <f>IF(ISERROR(LOOKUP(IK$1,$S24:$HK24,csv!$L24:$HD24)),NA(),LOOKUP(IK$1,$S24:$HK24,csv!$L24:$HD24))</f>
        <v>0</v>
      </c>
      <c r="IL24" s="5">
        <f>IF(ISERROR(LOOKUP(IL$1,$S24:$HK24,csv!$L24:$HD24)),NA(),LOOKUP(IL$1,$S24:$HK24,csv!$L24:$HD24))</f>
        <v>0</v>
      </c>
      <c r="IM24" s="5">
        <f>IF(ISERROR(LOOKUP(IM$1,$S24:$HK24,csv!$L24:$HD24)),NA(),LOOKUP(IM$1,$S24:$HK24,csv!$L24:$HD24))</f>
        <v>0</v>
      </c>
      <c r="IN24" s="5">
        <f>IF(ISERROR(LOOKUP(IN$1,$S24:$HK24,csv!$L24:$HD24)),NA(),LOOKUP(IN$1,$S24:$HK24,csv!$L24:$HD24))</f>
        <v>0</v>
      </c>
      <c r="IO24" s="5">
        <f>IF(ISERROR(LOOKUP(IO$1,$S24:$HK24,csv!$L24:$HD24)),NA(),LOOKUP(IO$1,$S24:$HK24,csv!$L24:$HD24))</f>
        <v>0</v>
      </c>
      <c r="IP24" s="5">
        <f>IF(ISERROR(LOOKUP(IP$1,$S24:$HK24,csv!$L24:$HD24)),NA(),LOOKUP(IP$1,$S24:$HK24,csv!$L24:$HD24))</f>
        <v>0</v>
      </c>
      <c r="IQ24" s="5">
        <f>IF(ISERROR(LOOKUP(IQ$1,$S24:$HK24,csv!$L24:$HD24)),NA(),LOOKUP(IQ$1,$S24:$HK24,csv!$L24:$HD24))</f>
        <v>0</v>
      </c>
      <c r="IR24" s="5">
        <f>IF(ISERROR(LOOKUP(IR$1,$S24:$HK24,csv!$L24:$HD24)),NA(),LOOKUP(IR$1,$S24:$HK24,csv!$L24:$HD24))</f>
        <v>0</v>
      </c>
      <c r="IS24" s="5">
        <f>IF(ISERROR(LOOKUP(IS$1,$S24:$HK24,csv!$L24:$HD24)),NA(),LOOKUP(IS$1,$S24:$HK24,csv!$L24:$HD24))</f>
        <v>0</v>
      </c>
      <c r="IT24" s="5">
        <f>IF(ISERROR(LOOKUP(IT$1,$S24:$HK24,csv!$L24:$HD24)),NA(),LOOKUP(IT$1,$S24:$HK24,csv!$L24:$HD24))</f>
        <v>0</v>
      </c>
      <c r="IU24" s="5">
        <f>IF(ISERROR(LOOKUP(IU$1,$S24:$HK24,csv!$L24:$HD24)),NA(),LOOKUP(IU$1,$S24:$HK24,csv!$L24:$HD24))</f>
        <v>0</v>
      </c>
      <c r="IV24" s="5">
        <f>IF(ISERROR(LOOKUP(IV$1,$S24:$HK24,csv!$L24:$HD24)),NA(),LOOKUP(IV$1,$S24:$HK24,csv!$L24:$HD24))</f>
        <v>0</v>
      </c>
      <c r="IW24" s="5">
        <f>IF(ISERROR(LOOKUP(IW$1,$S24:$HK24,csv!$L24:$HD24)),NA(),LOOKUP(IW$1,$S24:$HK24,csv!$L24:$HD24))</f>
        <v>0</v>
      </c>
      <c r="IX24" s="5">
        <f>IF(ISERROR(LOOKUP(IX$1,$S24:$HK24,csv!$L24:$HD24)),NA(),LOOKUP(IX$1,$S24:$HK24,csv!$L24:$HD24))</f>
        <v>0</v>
      </c>
      <c r="IY24" s="5">
        <f>IF(ISERROR(LOOKUP(IY$1,$S24:$HK24,csv!$L24:$HD24)),NA(),LOOKUP(IY$1,$S24:$HK24,csv!$L24:$HD24))</f>
        <v>0</v>
      </c>
      <c r="IZ24" s="5">
        <f>IF(ISERROR(LOOKUP(IZ$1,$S24:$HK24,csv!$L24:$HD24)),NA(),LOOKUP(IZ$1,$S24:$HK24,csv!$L24:$HD24))</f>
        <v>0</v>
      </c>
      <c r="JA24" s="5">
        <f>IF(ISERROR(LOOKUP(JA$1,$S24:$HK24,csv!$L24:$HD24)),NA(),LOOKUP(JA$1,$S24:$HK24,csv!$L24:$HD24))</f>
        <v>0</v>
      </c>
      <c r="JB24" s="5">
        <f>IF(ISERROR(LOOKUP(JB$1,$S24:$HK24,csv!$L24:$HD24)),NA(),LOOKUP(JB$1,$S24:$HK24,csv!$L24:$HD24))</f>
        <v>0</v>
      </c>
      <c r="JC24" s="5">
        <f>IF(ISERROR(LOOKUP(JC$1,$S24:$HK24,csv!$L24:$HD24)),NA(),LOOKUP(JC$1,$S24:$HK24,csv!$L24:$HD24))</f>
        <v>0</v>
      </c>
      <c r="JD24" s="5">
        <f>IF(ISERROR(LOOKUP(JD$1,$S24:$HK24,csv!$L24:$HD24)),NA(),LOOKUP(JD$1,$S24:$HK24,csv!$L24:$HD24))</f>
        <v>0</v>
      </c>
      <c r="JE24" s="5">
        <f>IF(ISERROR(LOOKUP(JE$1,$S24:$HK24,csv!$L24:$HD24)),NA(),LOOKUP(JE$1,$S24:$HK24,csv!$L24:$HD24))</f>
        <v>0</v>
      </c>
      <c r="JF24" s="5">
        <f>IF(ISERROR(LOOKUP(JF$1,$S24:$HK24,csv!$L24:$HD24)),NA(),LOOKUP(JF$1,$S24:$HK24,csv!$L24:$HD24))</f>
        <v>0</v>
      </c>
      <c r="JG24" s="5">
        <f>IF(ISERROR(LOOKUP(JG$1,$S24:$HK24,csv!$L24:$HD24)),NA(),LOOKUP(JG$1,$S24:$HK24,csv!$L24:$HD24))</f>
        <v>0</v>
      </c>
      <c r="JH24" s="5">
        <f>IF(ISERROR(LOOKUP(JH$1,$S24:$HK24,csv!$L24:$HD24)),NA(),LOOKUP(JH$1,$S24:$HK24,csv!$L24:$HD24))</f>
        <v>0</v>
      </c>
      <c r="JI24" s="5">
        <f>IF(ISERROR(LOOKUP(JI$1,$S24:$HK24,csv!$L24:$HD24)),NA(),LOOKUP(JI$1,$S24:$HK24,csv!$L24:$HD24))</f>
        <v>0</v>
      </c>
      <c r="JJ24" s="5">
        <f>IF(ISERROR(LOOKUP(JJ$1,$S24:$HK24,csv!$L24:$HD24)),NA(),LOOKUP(JJ$1,$S24:$HK24,csv!$L24:$HD24))</f>
        <v>0</v>
      </c>
      <c r="JK24" s="5">
        <f>IF(ISERROR(LOOKUP(JK$1,$S24:$HK24,csv!$L24:$HD24)),NA(),LOOKUP(JK$1,$S24:$HK24,csv!$L24:$HD24))</f>
        <v>0</v>
      </c>
      <c r="JL24" s="5">
        <f>IF(ISERROR(LOOKUP(JL$1,$S24:$HK24,csv!$L24:$HD24)),NA(),LOOKUP(JL$1,$S24:$HK24,csv!$L24:$HD24))</f>
        <v>0</v>
      </c>
      <c r="JM24" s="5">
        <f>IF(ISERROR(LOOKUP(JM$1,$S24:$HK24,csv!$L24:$HD24)),NA(),LOOKUP(JM$1,$S24:$HK24,csv!$L24:$HD24))</f>
        <v>0</v>
      </c>
      <c r="JN24" s="5">
        <f>IF(ISERROR(LOOKUP(JN$1,$S24:$HK24,csv!$L24:$HD24)),NA(),LOOKUP(JN$1,$S24:$HK24,csv!$L24:$HD24))</f>
        <v>0</v>
      </c>
      <c r="JO24" s="5">
        <f>IF(ISERROR(LOOKUP(JO$1,$S24:$HK24,csv!$L24:$HD24)),NA(),LOOKUP(JO$1,$S24:$HK24,csv!$L24:$HD24))</f>
        <v>0</v>
      </c>
      <c r="JP24" s="5">
        <f>IF(ISERROR(LOOKUP(JP$1,$S24:$HK24,csv!$L24:$HD24)),NA(),LOOKUP(JP$1,$S24:$HK24,csv!$L24:$HD24))</f>
        <v>0</v>
      </c>
      <c r="JQ24" s="5">
        <f>IF(ISERROR(LOOKUP(JQ$1,$S24:$HK24,csv!$L24:$HD24)),NA(),LOOKUP(JQ$1,$S24:$HK24,csv!$L24:$HD24))</f>
        <v>0</v>
      </c>
      <c r="JR24" s="5">
        <f>IF(ISERROR(LOOKUP(JR$1,$S24:$HK24,csv!$L24:$HD24)),NA(),LOOKUP(JR$1,$S24:$HK24,csv!$L24:$HD24))</f>
        <v>0</v>
      </c>
      <c r="JS24" s="5">
        <f>IF(ISERROR(LOOKUP(JS$1,$S24:$HK24,csv!$L24:$HD24)),NA(),LOOKUP(JS$1,$S24:$HK24,csv!$L24:$HD24))</f>
        <v>0</v>
      </c>
      <c r="JT24" s="5">
        <f>IF(ISERROR(LOOKUP(JT$1,$S24:$HK24,csv!$L24:$HD24)),NA(),LOOKUP(JT$1,$S24:$HK24,csv!$L24:$HD24))</f>
        <v>0</v>
      </c>
      <c r="JU24" s="5">
        <f>IF(ISERROR(LOOKUP(JU$1,$S24:$HK24,csv!$L24:$HD24)),NA(),LOOKUP(JU$1,$S24:$HK24,csv!$L24:$HD24))</f>
        <v>0</v>
      </c>
      <c r="JV24" s="5">
        <f>IF(ISERROR(LOOKUP(JV$1,$S24:$HK24,csv!$L24:$HD24)),NA(),LOOKUP(JV$1,$S24:$HK24,csv!$L24:$HD24))</f>
        <v>0</v>
      </c>
      <c r="JW24" s="5">
        <f>IF(ISERROR(LOOKUP(JW$1,$S24:$HK24,csv!$L24:$HD24)),NA(),LOOKUP(JW$1,$S24:$HK24,csv!$L24:$HD24))</f>
        <v>0</v>
      </c>
      <c r="JX24" s="5">
        <f>IF(ISERROR(LOOKUP(JX$1,$S24:$HK24,csv!$L24:$HD24)),NA(),LOOKUP(JX$1,$S24:$HK24,csv!$L24:$HD24))</f>
        <v>0</v>
      </c>
      <c r="JY24" s="5">
        <f>IF(ISERROR(LOOKUP(JY$1,$S24:$HK24,csv!$L24:$HD24)),NA(),LOOKUP(JY$1,$S24:$HK24,csv!$L24:$HD24))</f>
        <v>0</v>
      </c>
      <c r="JZ24" s="5">
        <f>IF(ISERROR(LOOKUP(JZ$1,$S24:$HK24,csv!$L24:$HD24)),NA(),LOOKUP(JZ$1,$S24:$HK24,csv!$L24:$HD24))</f>
        <v>0</v>
      </c>
      <c r="KA24" s="5">
        <f>IF(ISERROR(LOOKUP(KA$1,$S24:$HK24,csv!$L24:$HD24)),NA(),LOOKUP(KA$1,$S24:$HK24,csv!$L24:$HD24))</f>
        <v>0</v>
      </c>
      <c r="KB24" s="5">
        <f>IF(ISERROR(LOOKUP(KB$1,$S24:$HK24,csv!$L24:$HD24)),NA(),LOOKUP(KB$1,$S24:$HK24,csv!$L24:$HD24))</f>
        <v>0</v>
      </c>
      <c r="KC24" s="5">
        <f>IF(ISERROR(LOOKUP(KC$1,$S24:$HK24,csv!$L24:$HD24)),NA(),LOOKUP(KC$1,$S24:$HK24,csv!$L24:$HD24))</f>
        <v>0</v>
      </c>
      <c r="KD24" s="5">
        <f>IF(ISERROR(LOOKUP(KD$1,$S24:$HK24,csv!$L24:$HD24)),NA(),LOOKUP(KD$1,$S24:$HK24,csv!$L24:$HD24))</f>
        <v>0</v>
      </c>
      <c r="KE24" s="5">
        <f>IF(ISERROR(LOOKUP(KE$1,$S24:$HK24,csv!$L24:$HD24)),NA(),LOOKUP(KE$1,$S24:$HK24,csv!$L24:$HD24))</f>
        <v>0</v>
      </c>
      <c r="KF24" s="5">
        <f>IF(ISERROR(LOOKUP(KF$1,$S24:$HK24,csv!$L24:$HD24)),NA(),LOOKUP(KF$1,$S24:$HK24,csv!$L24:$HD24))</f>
        <v>0</v>
      </c>
      <c r="KG24" s="5">
        <f>IF(ISERROR(LOOKUP(KG$1,$S24:$HK24,csv!$L24:$HD24)),NA(),LOOKUP(KG$1,$S24:$HK24,csv!$L24:$HD24))</f>
        <v>0</v>
      </c>
      <c r="KH24" s="5">
        <f>IF(ISERROR(LOOKUP(KH$1,$S24:$HK24,csv!$L24:$HD24)),NA(),LOOKUP(KH$1,$S24:$HK24,csv!$L24:$HD24))</f>
        <v>0</v>
      </c>
      <c r="KI24" s="5">
        <f>IF(ISERROR(LOOKUP(KI$1,$S24:$HK24,csv!$L24:$HD24)),NA(),LOOKUP(KI$1,$S24:$HK24,csv!$L24:$HD24))</f>
        <v>0</v>
      </c>
      <c r="KJ24" s="5">
        <f>IF(ISERROR(LOOKUP(KJ$1,$S24:$HK24,csv!$L24:$HD24)),NA(),LOOKUP(KJ$1,$S24:$HK24,csv!$L24:$HD24))</f>
        <v>0</v>
      </c>
      <c r="KK24" s="5">
        <f>IF(ISERROR(LOOKUP(KK$1,$S24:$HK24,csv!$L24:$HD24)),NA(),LOOKUP(KK$1,$S24:$HK24,csv!$L24:$HD24))</f>
        <v>0</v>
      </c>
      <c r="KL24" s="5">
        <f>IF(ISERROR(LOOKUP(KL$1,$S24:$HK24,csv!$L24:$HD24)),NA(),LOOKUP(KL$1,$S24:$HK24,csv!$L24:$HD24))</f>
        <v>0</v>
      </c>
      <c r="KM24" s="5">
        <f>IF(ISERROR(LOOKUP(KM$1,$S24:$HK24,csv!$L24:$HD24)),NA(),LOOKUP(KM$1,$S24:$HK24,csv!$L24:$HD24))</f>
        <v>0</v>
      </c>
      <c r="KN24" s="5">
        <f>IF(ISERROR(LOOKUP(KN$1,$S24:$HK24,csv!$L24:$HD24)),NA(),LOOKUP(KN$1,$S24:$HK24,csv!$L24:$HD24))</f>
        <v>0</v>
      </c>
      <c r="KO24" s="5">
        <f>IF(ISERROR(LOOKUP(KO$1,$S24:$HK24,csv!$L24:$HD24)),NA(),LOOKUP(KO$1,$S24:$HK24,csv!$L24:$HD24))</f>
        <v>0</v>
      </c>
      <c r="KP24" s="5">
        <f>IF(ISERROR(LOOKUP(KP$1,$S24:$HK24,csv!$L24:$HD24)),NA(),LOOKUP(KP$1,$S24:$HK24,csv!$L24:$HD24))</f>
        <v>0</v>
      </c>
      <c r="KQ24" s="5">
        <f>IF(ISERROR(LOOKUP(KQ$1,$S24:$HK24,csv!$L24:$HD24)),NA(),LOOKUP(KQ$1,$S24:$HK24,csv!$L24:$HD24))</f>
        <v>0</v>
      </c>
      <c r="KR24" s="5">
        <f>IF(ISERROR(LOOKUP(KR$1,$S24:$HK24,csv!$L24:$HD24)),NA(),LOOKUP(KR$1,$S24:$HK24,csv!$L24:$HD24))</f>
        <v>0</v>
      </c>
      <c r="KS24" s="5">
        <f>IF(ISERROR(LOOKUP(KS$1,$S24:$HK24,csv!$L24:$HD24)),NA(),LOOKUP(KS$1,$S24:$HK24,csv!$L24:$HD24))</f>
        <v>0</v>
      </c>
      <c r="KT24" s="5">
        <f>IF(ISERROR(LOOKUP(KT$1,$S24:$HK24,csv!$L24:$HD24)),NA(),LOOKUP(KT$1,$S24:$HK24,csv!$L24:$HD24))</f>
        <v>0</v>
      </c>
      <c r="KU24" s="5">
        <f>IF(ISERROR(LOOKUP(KU$1,$S24:$HK24,csv!$L24:$HD24)),NA(),LOOKUP(KU$1,$S24:$HK24,csv!$L24:$HD24))</f>
        <v>0</v>
      </c>
      <c r="KV24" s="5">
        <f>IF(ISERROR(LOOKUP(KV$1,$S24:$HK24,csv!$L24:$HD24)),NA(),LOOKUP(KV$1,$S24:$HK24,csv!$L24:$HD24))</f>
        <v>0</v>
      </c>
      <c r="KW24" s="5">
        <f>IF(ISERROR(LOOKUP(KW$1,$S24:$HK24,csv!$L24:$HD24)),NA(),LOOKUP(KW$1,$S24:$HK24,csv!$L24:$HD24))</f>
        <v>0</v>
      </c>
      <c r="KX24" s="5">
        <f>IF(ISERROR(LOOKUP(KX$1,$S24:$HK24,csv!$L24:$HD24)),NA(),LOOKUP(KX$1,$S24:$HK24,csv!$L24:$HD24))</f>
        <v>0</v>
      </c>
      <c r="KY24" s="5">
        <f>IF(ISERROR(LOOKUP(KY$1,$S24:$HK24,csv!$L24:$HD24)),NA(),LOOKUP(KY$1,$S24:$HK24,csv!$L24:$HD24))</f>
        <v>0</v>
      </c>
      <c r="KZ24" s="5">
        <f>IF(ISERROR(LOOKUP(KZ$1,$S24:$HK24,csv!$L24:$HD24)),NA(),LOOKUP(KZ$1,$S24:$HK24,csv!$L24:$HD24))</f>
        <v>0</v>
      </c>
      <c r="LA24" s="5">
        <f>IF(ISERROR(LOOKUP(LA$1,$S24:$HK24,csv!$L24:$HD24)),NA(),LOOKUP(LA$1,$S24:$HK24,csv!$L24:$HD24))</f>
        <v>0</v>
      </c>
      <c r="LB24" s="5">
        <f>IF(ISERROR(LOOKUP(LB$1,$S24:$HK24,csv!$L24:$HD24)),NA(),LOOKUP(LB$1,$S24:$HK24,csv!$L24:$HD24))</f>
        <v>0</v>
      </c>
      <c r="LC24" s="5">
        <f>IF(ISERROR(LOOKUP(LC$1,$S24:$HK24,csv!$L24:$HD24)),NA(),LOOKUP(LC$1,$S24:$HK24,csv!$L24:$HD24))</f>
        <v>0</v>
      </c>
      <c r="LD24" s="5">
        <f>IF(ISERROR(LOOKUP(LD$1,$S24:$HK24,csv!$L24:$HD24)),NA(),LOOKUP(LD$1,$S24:$HK24,csv!$L24:$HD24))</f>
        <v>0</v>
      </c>
      <c r="LE24" s="5">
        <f>IF(ISERROR(LOOKUP(LE$1,$S24:$HK24,csv!$L24:$HD24)),NA(),LOOKUP(LE$1,$S24:$HK24,csv!$L24:$HD24))</f>
        <v>0</v>
      </c>
      <c r="LF24" s="5">
        <f>IF(ISERROR(LOOKUP(LF$1,$S24:$HK24,csv!$L24:$HD24)),NA(),LOOKUP(LF$1,$S24:$HK24,csv!$L24:$HD24))</f>
        <v>0</v>
      </c>
      <c r="LG24" s="5">
        <f>IF(ISERROR(LOOKUP(LG$1,$S24:$HK24,csv!$L24:$HD24)),NA(),LOOKUP(LG$1,$S24:$HK24,csv!$L24:$HD24))</f>
        <v>0</v>
      </c>
      <c r="LH24" s="5">
        <f>IF(ISERROR(LOOKUP(LH$1,$S24:$HK24,csv!$L24:$HD24)),NA(),LOOKUP(LH$1,$S24:$HK24,csv!$L24:$HD24))</f>
        <v>0</v>
      </c>
      <c r="LI24" s="5">
        <f>IF(ISERROR(LOOKUP(LI$1,$S24:$HK24,csv!$L24:$HD24)),NA(),LOOKUP(LI$1,$S24:$HK24,csv!$L24:$HD24))</f>
        <v>0</v>
      </c>
      <c r="LJ24" s="5">
        <f>IF(ISERROR(LOOKUP(LJ$1,$S24:$HK24,csv!$L24:$HD24)),NA(),LOOKUP(LJ$1,$S24:$HK24,csv!$L24:$HD24))</f>
        <v>0</v>
      </c>
      <c r="LK24" s="5">
        <f>IF(ISERROR(LOOKUP(LK$1,$S24:$HK24,csv!$L24:$HD24)),NA(),LOOKUP(LK$1,$S24:$HK24,csv!$L24:$HD24))</f>
        <v>0</v>
      </c>
      <c r="LL24" s="5">
        <f>IF(ISERROR(LOOKUP(LL$1,$S24:$HK24,csv!$L24:$HD24)),NA(),LOOKUP(LL$1,$S24:$HK24,csv!$L24:$HD24))</f>
        <v>0</v>
      </c>
      <c r="LM24" s="5">
        <f>IF(ISERROR(LOOKUP(LM$1,$S24:$HK24,csv!$L24:$HD24)),NA(),LOOKUP(LM$1,$S24:$HK24,csv!$L24:$HD24))</f>
        <v>0</v>
      </c>
      <c r="LN24" s="5">
        <f>IF(ISERROR(LOOKUP(LN$1,$S24:$HK24,csv!$L24:$HD24)),NA(),LOOKUP(LN$1,$S24:$HK24,csv!$L24:$HD24))</f>
        <v>0</v>
      </c>
      <c r="LO24" s="5">
        <f>IF(ISERROR(LOOKUP(LO$1,$S24:$HK24,csv!$L24:$HD24)),NA(),LOOKUP(LO$1,$S24:$HK24,csv!$L24:$HD24))</f>
        <v>0</v>
      </c>
      <c r="LP24" s="5">
        <f>IF(ISERROR(LOOKUP(LP$1,$S24:$HK24,csv!$L24:$HD24)),NA(),LOOKUP(LP$1,$S24:$HK24,csv!$L24:$HD24))</f>
        <v>0</v>
      </c>
      <c r="LQ24" s="5">
        <f>IF(ISERROR(LOOKUP(LQ$1,$S24:$HK24,csv!$L24:$HD24)),NA(),LOOKUP(LQ$1,$S24:$HK24,csv!$L24:$HD24))</f>
        <v>0</v>
      </c>
      <c r="LR24" s="5">
        <f>IF(ISERROR(LOOKUP(LR$1,$S24:$HK24,csv!$L24:$HD24)),NA(),LOOKUP(LR$1,$S24:$HK24,csv!$L24:$HD24))</f>
        <v>0</v>
      </c>
      <c r="LS24" s="5">
        <f>IF(ISERROR(LOOKUP(LS$1,$S24:$HK24,csv!$L24:$HD24)),NA(),LOOKUP(LS$1,$S24:$HK24,csv!$L24:$HD24))</f>
        <v>0</v>
      </c>
      <c r="LT24" s="5">
        <f>IF(ISERROR(LOOKUP(LT$1,$S24:$HK24,csv!$L24:$HD24)),NA(),LOOKUP(LT$1,$S24:$HK24,csv!$L24:$HD24))</f>
        <v>0</v>
      </c>
      <c r="LU24" s="5">
        <f>IF(ISERROR(LOOKUP(LU$1,$S24:$HK24,csv!$L24:$HD24)),NA(),LOOKUP(LU$1,$S24:$HK24,csv!$L24:$HD24))</f>
        <v>0</v>
      </c>
      <c r="LV24" s="5">
        <f>IF(ISERROR(LOOKUP(LV$1,$S24:$HK24,csv!$L24:$HD24)),NA(),LOOKUP(LV$1,$S24:$HK24,csv!$L24:$HD24))</f>
        <v>0</v>
      </c>
      <c r="LW24" s="5">
        <f>IF(ISERROR(LOOKUP(LW$1,$S24:$HK24,csv!$L24:$HD24)),NA(),LOOKUP(LW$1,$S24:$HK24,csv!$L24:$HD24))</f>
        <v>0</v>
      </c>
      <c r="LX24" s="5">
        <f>IF(ISERROR(LOOKUP(LX$1,$S24:$HK24,csv!$L24:$HD24)),NA(),LOOKUP(LX$1,$S24:$HK24,csv!$L24:$HD24))</f>
        <v>0</v>
      </c>
      <c r="LY24" s="5">
        <f>IF(ISERROR(LOOKUP(LY$1,$S24:$HK24,csv!$L24:$HD24)),NA(),LOOKUP(LY$1,$S24:$HK24,csv!$L24:$HD24))</f>
        <v>0</v>
      </c>
      <c r="LZ24" s="5">
        <f>IF(ISERROR(LOOKUP(LZ$1,$S24:$HK24,csv!$L24:$HD24)),NA(),LOOKUP(LZ$1,$S24:$HK24,csv!$L24:$HD24))</f>
        <v>0</v>
      </c>
      <c r="MA24" s="5">
        <f>IF(ISERROR(LOOKUP(MA$1,$S24:$HK24,csv!$L24:$HD24)),NA(),LOOKUP(MA$1,$S24:$HK24,csv!$L24:$HD24))</f>
        <v>0</v>
      </c>
      <c r="MB24" s="5">
        <f>IF(ISERROR(LOOKUP(MB$1,$S24:$HK24,csv!$L24:$HD24)),NA(),LOOKUP(MB$1,$S24:$HK24,csv!$L24:$HD24))</f>
        <v>0</v>
      </c>
      <c r="MC24" s="5">
        <f>IF(ISERROR(LOOKUP(MC$1,$S24:$HK24,csv!$L24:$HD24)),NA(),LOOKUP(MC$1,$S24:$HK24,csv!$L24:$HD24))</f>
        <v>0</v>
      </c>
      <c r="MD24" s="5">
        <f>IF(ISERROR(LOOKUP(MD$1,$S24:$HK24,csv!$L24:$HD24)),NA(),LOOKUP(MD$1,$S24:$HK24,csv!$L24:$HD24))</f>
        <v>0</v>
      </c>
      <c r="ME24" s="5">
        <f>IF(ISERROR(LOOKUP(ME$1,$S24:$HK24,csv!$L24:$HD24)),NA(),LOOKUP(ME$1,$S24:$HK24,csv!$L24:$HD24))</f>
        <v>0</v>
      </c>
      <c r="MF24" s="5">
        <f>IF(ISERROR(LOOKUP(MF$1,$S24:$HK24,csv!$L24:$HD24)),NA(),LOOKUP(MF$1,$S24:$HK24,csv!$L24:$HD24))</f>
        <v>0</v>
      </c>
      <c r="MG24" s="5">
        <f>IF(ISERROR(LOOKUP(MG$1,$S24:$HK24,csv!$L24:$HD24)),NA(),LOOKUP(MG$1,$S24:$HK24,csv!$L24:$HD24))</f>
        <v>0</v>
      </c>
      <c r="MH24" s="5">
        <f>IF(ISERROR(LOOKUP(MH$1,$S24:$HK24,csv!$L24:$HD24)),NA(),LOOKUP(MH$1,$S24:$HK24,csv!$L24:$HD24))</f>
        <v>0</v>
      </c>
      <c r="MI24" s="5">
        <f>IF(ISERROR(LOOKUP(MI$1,$S24:$HK24,csv!$L24:$HD24)),NA(),LOOKUP(MI$1,$S24:$HK24,csv!$L24:$HD24))</f>
        <v>0</v>
      </c>
      <c r="MJ24" s="5">
        <f>IF(ISERROR(LOOKUP(MJ$1,$S24:$HK24,csv!$L24:$HD24)),NA(),LOOKUP(MJ$1,$S24:$HK24,csv!$L24:$HD24))</f>
        <v>0</v>
      </c>
      <c r="MK24" s="5">
        <f>IF(ISERROR(LOOKUP(MK$1,$S24:$HK24,csv!$L24:$HD24)),NA(),LOOKUP(MK$1,$S24:$HK24,csv!$L24:$HD24))</f>
        <v>0</v>
      </c>
      <c r="ML24" s="5">
        <f>IF(ISERROR(LOOKUP(ML$1,$S24:$HK24,csv!$L24:$HD24)),NA(),LOOKUP(ML$1,$S24:$HK24,csv!$L24:$HD24))</f>
        <v>0</v>
      </c>
      <c r="MM24" s="5">
        <f>IF(ISERROR(LOOKUP(MM$1,$S24:$HK24,csv!$L24:$HD24)),NA(),LOOKUP(MM$1,$S24:$HK24,csv!$L24:$HD24))</f>
        <v>0</v>
      </c>
      <c r="MN24" s="5">
        <f>IF(ISERROR(LOOKUP(MN$1,$S24:$HK24,csv!$L24:$HD24)),NA(),LOOKUP(MN$1,$S24:$HK24,csv!$L24:$HD24))</f>
        <v>0</v>
      </c>
      <c r="MO24" s="5">
        <f>IF(ISERROR(LOOKUP(MO$1,$S24:$HK24,csv!$L24:$HD24)),NA(),LOOKUP(MO$1,$S24:$HK24,csv!$L24:$HD24))</f>
        <v>0</v>
      </c>
      <c r="MP24" s="5">
        <f>IF(ISERROR(LOOKUP(MP$1,$S24:$HK24,csv!$L24:$HD24)),NA(),LOOKUP(MP$1,$S24:$HK24,csv!$L24:$HD24))</f>
        <v>0</v>
      </c>
      <c r="MQ24" s="5">
        <f>IF(ISERROR(LOOKUP(MQ$1,$S24:$HK24,csv!$L24:$HD24)),NA(),LOOKUP(MQ$1,$S24:$HK24,csv!$L24:$HD24))</f>
        <v>0</v>
      </c>
      <c r="MR24" s="5">
        <f>IF(ISERROR(LOOKUP(MR$1,$S24:$HK24,csv!$L24:$HD24)),NA(),LOOKUP(MR$1,$S24:$HK24,csv!$L24:$HD24))</f>
        <v>0</v>
      </c>
      <c r="MS24" s="5">
        <f>IF(ISERROR(LOOKUP(MS$1,$S24:$HK24,csv!$L24:$HD24)),NA(),LOOKUP(MS$1,$S24:$HK24,csv!$L24:$HD24))</f>
        <v>0</v>
      </c>
      <c r="MT24" s="5">
        <f>IF(ISERROR(LOOKUP(MT$1,$S24:$HK24,csv!$L24:$HD24)),NA(),LOOKUP(MT$1,$S24:$HK24,csv!$L24:$HD24))</f>
        <v>0</v>
      </c>
      <c r="MU24" s="5">
        <f>IF(ISERROR(LOOKUP(MU$1,$S24:$HK24,csv!$L24:$HD24)),NA(),LOOKUP(MU$1,$S24:$HK24,csv!$L24:$HD24))</f>
        <v>0</v>
      </c>
      <c r="MV24" s="5">
        <f>IF(ISERROR(LOOKUP(MV$1,$S24:$HK24,csv!$L24:$HD24)),NA(),LOOKUP(MV$1,$S24:$HK24,csv!$L24:$HD24))</f>
        <v>0</v>
      </c>
      <c r="MW24" s="5">
        <f>IF(ISERROR(LOOKUP(MW$1,$S24:$HK24,csv!$L24:$HD24)),NA(),LOOKUP(MW$1,$S24:$HK24,csv!$L24:$HD24))</f>
        <v>0</v>
      </c>
      <c r="MX24" s="5">
        <f>IF(ISERROR(LOOKUP(MX$1,$S24:$HK24,csv!$L24:$HD24)),NA(),LOOKUP(MX$1,$S24:$HK24,csv!$L24:$HD24))</f>
        <v>0</v>
      </c>
      <c r="MY24" s="5">
        <f>IF(ISERROR(LOOKUP(MY$1,$S24:$HK24,csv!$L24:$HD24)),NA(),LOOKUP(MY$1,$S24:$HK24,csv!$L24:$HD24))</f>
        <v>0</v>
      </c>
      <c r="MZ24" s="5">
        <f>IF(ISERROR(LOOKUP(MZ$1,$S24:$HK24,csv!$L24:$HD24)),NA(),LOOKUP(MZ$1,$S24:$HK24,csv!$L24:$HD24))</f>
        <v>0</v>
      </c>
      <c r="NA24" s="5">
        <f>IF(ISERROR(LOOKUP(NA$1,$S24:$HK24,csv!$L24:$HD24)),NA(),LOOKUP(NA$1,$S24:$HK24,csv!$L24:$HD24))</f>
        <v>0</v>
      </c>
      <c r="NB24" s="5">
        <f>IF(ISERROR(LOOKUP(NB$1,$S24:$HK24,csv!$L24:$HD24)),NA(),LOOKUP(NB$1,$S24:$HK24,csv!$L24:$HD24))</f>
        <v>0</v>
      </c>
      <c r="NC24" s="5">
        <f>IF(ISERROR(LOOKUP(NC$1,$S24:$HK24,csv!$L24:$HD24)),NA(),LOOKUP(NC$1,$S24:$HK24,csv!$L24:$HD24))</f>
        <v>0</v>
      </c>
      <c r="ND24" s="5">
        <f>IF(ISERROR(LOOKUP(ND$1,$S24:$HK24,csv!$L24:$HD24)),NA(),LOOKUP(ND$1,$S24:$HK24,csv!$L24:$HD24))</f>
        <v>0</v>
      </c>
      <c r="NE24" s="5">
        <f>IF(ISERROR(LOOKUP(NE$1,$S24:$HK24,csv!$L24:$HD24)),NA(),LOOKUP(NE$1,$S24:$HK24,csv!$L24:$HD24))</f>
        <v>0</v>
      </c>
      <c r="NF24" s="5">
        <f>IF(ISERROR(LOOKUP(NF$1,$S24:$HK24,csv!$L24:$HD24)),NA(),LOOKUP(NF$1,$S24:$HK24,csv!$L24:$HD24))</f>
        <v>0</v>
      </c>
      <c r="NG24" s="5">
        <f>IF(ISERROR(LOOKUP(NG$1,$S24:$HK24,csv!$L24:$HD24)),NA(),LOOKUP(NG$1,$S24:$HK24,csv!$L24:$HD24))</f>
        <v>0</v>
      </c>
      <c r="NH24" s="5">
        <f>IF(ISERROR(LOOKUP(NH$1,$S24:$HK24,csv!$L24:$HD24)),NA(),LOOKUP(NH$1,$S24:$HK24,csv!$L24:$HD24))</f>
        <v>0</v>
      </c>
      <c r="NI24" s="5">
        <f>IF(ISERROR(LOOKUP(NI$1,$S24:$HK24,csv!$L24:$HD24)),NA(),LOOKUP(NI$1,$S24:$HK24,csv!$L24:$HD24))</f>
        <v>0</v>
      </c>
      <c r="NJ24" s="5">
        <f>IF(ISERROR(LOOKUP(NJ$1,$S24:$HK24,csv!$L24:$HD24)),NA(),LOOKUP(NJ$1,$S24:$HK24,csv!$L24:$HD24))</f>
        <v>0</v>
      </c>
      <c r="NK24" s="5">
        <f>IF(ISERROR(LOOKUP(NK$1,$S24:$HK24,csv!$L24:$HD24)),NA(),LOOKUP(NK$1,$S24:$HK24,csv!$L24:$HD24))</f>
        <v>0</v>
      </c>
      <c r="NL24" s="5">
        <f>IF(ISERROR(LOOKUP(NL$1,$S24:$HK24,csv!$L24:$HD24)),NA(),LOOKUP(NL$1,$S24:$HK24,csv!$L24:$HD24))</f>
        <v>0</v>
      </c>
      <c r="NM24" s="5">
        <f>IF(ISERROR(LOOKUP(NM$1,$S24:$HK24,csv!$L24:$HD24)),NA(),LOOKUP(NM$1,$S24:$HK24,csv!$L24:$HD24))</f>
        <v>0</v>
      </c>
      <c r="NN24" s="5">
        <f>IF(ISERROR(LOOKUP(NN$1,$S24:$HK24,csv!$L24:$HD24)),NA(),LOOKUP(NN$1,$S24:$HK24,csv!$L24:$HD24))</f>
        <v>0</v>
      </c>
      <c r="NO24" s="5">
        <f>IF(ISERROR(LOOKUP(NO$1,$S24:$HK24,csv!$L24:$HD24)),NA(),LOOKUP(NO$1,$S24:$HK24,csv!$L24:$HD24))</f>
        <v>0</v>
      </c>
      <c r="NP24" s="5">
        <f>IF(ISERROR(LOOKUP(NP$1,$S24:$HK24,csv!$L24:$HD24)),NA(),LOOKUP(NP$1,$S24:$HK24,csv!$L24:$HD24))</f>
        <v>0</v>
      </c>
      <c r="NQ24" s="5">
        <f>IF(ISERROR(LOOKUP(NQ$1,$S24:$HK24,csv!$L24:$HD24)),NA(),LOOKUP(NQ$1,$S24:$HK24,csv!$L24:$HD24))</f>
        <v>0</v>
      </c>
      <c r="NR24" s="5">
        <f>IF(ISERROR(LOOKUP(NR$1,$S24:$HK24,csv!$L24:$HD24)),NA(),LOOKUP(NR$1,$S24:$HK24,csv!$L24:$HD24))</f>
        <v>0</v>
      </c>
      <c r="NS24" s="5">
        <f>IF(ISERROR(LOOKUP(NS$1,$S24:$HK24,csv!$L24:$HD24)),NA(),LOOKUP(NS$1,$S24:$HK24,csv!$L24:$HD24))</f>
        <v>0</v>
      </c>
      <c r="NT24" s="5">
        <f>IF(ISERROR(LOOKUP(NT$1,$S24:$HK24,csv!$L24:$HD24)),NA(),LOOKUP(NT$1,$S24:$HK24,csv!$L24:$HD24))</f>
        <v>0</v>
      </c>
      <c r="NU24" s="5">
        <f>IF(ISERROR(LOOKUP(NU$1,$S24:$HK24,csv!$L24:$HD24)),NA(),LOOKUP(NU$1,$S24:$HK24,csv!$L24:$HD24))</f>
        <v>0</v>
      </c>
      <c r="NV24" s="5">
        <f>IF(ISERROR(LOOKUP(NV$1,$S24:$HK24,csv!$L24:$HD24)),NA(),LOOKUP(NV$1,$S24:$HK24,csv!$L24:$HD24))</f>
        <v>0</v>
      </c>
      <c r="NW24" s="5">
        <f>IF(ISERROR(LOOKUP(NW$1,$S24:$HK24,csv!$L24:$HD24)),NA(),LOOKUP(NW$1,$S24:$HK24,csv!$L24:$HD24))</f>
        <v>0</v>
      </c>
      <c r="NX24" s="5">
        <f>IF(ISERROR(LOOKUP(NX$1,$S24:$HK24,csv!$L24:$HD24)),NA(),LOOKUP(NX$1,$S24:$HK24,csv!$L24:$HD24))</f>
        <v>0</v>
      </c>
      <c r="NY24" s="5">
        <f>IF(ISERROR(LOOKUP(NY$1,$S24:$HK24,csv!$L24:$HD24)),NA(),LOOKUP(NY$1,$S24:$HK24,csv!$L24:$HD24))</f>
        <v>0</v>
      </c>
      <c r="NZ24" s="5">
        <f>IF(ISERROR(LOOKUP(NZ$1,$S24:$HK24,csv!$L24:$HD24)),NA(),LOOKUP(NZ$1,$S24:$HK24,csv!$L24:$HD24))</f>
        <v>0</v>
      </c>
      <c r="OA24" s="5">
        <f>IF(ISERROR(LOOKUP(OA$1,$S24:$HK24,csv!$L24:$HD24)),NA(),LOOKUP(OA$1,$S24:$HK24,csv!$L24:$HD24))</f>
        <v>0</v>
      </c>
      <c r="OB24" s="5">
        <f>IF(ISERROR(LOOKUP(OB$1,$S24:$HK24,csv!$L24:$HD24)),NA(),LOOKUP(OB$1,$S24:$HK24,csv!$L24:$HD24))</f>
        <v>0</v>
      </c>
      <c r="OC24" s="5">
        <f>IF(ISERROR(LOOKUP(OC$1,$S24:$HK24,csv!$L24:$HD24)),NA(),LOOKUP(OC$1,$S24:$HK24,csv!$L24:$HD24))</f>
        <v>0</v>
      </c>
      <c r="OD24" s="5">
        <f>IF(ISERROR(LOOKUP(OD$1,$S24:$HK24,csv!$L24:$HD24)),NA(),LOOKUP(OD$1,$S24:$HK24,csv!$L24:$HD24))</f>
        <v>0</v>
      </c>
      <c r="OE24" s="5">
        <f>IF(ISERROR(LOOKUP(OE$1,$S24:$HK24,csv!$L24:$HD24)),NA(),LOOKUP(OE$1,$S24:$HK24,csv!$L24:$HD24))</f>
        <v>0</v>
      </c>
      <c r="OF24" s="5">
        <f>IF(ISERROR(LOOKUP(OF$1,$S24:$HK24,csv!$L24:$HD24)),NA(),LOOKUP(OF$1,$S24:$HK24,csv!$L24:$HD24))</f>
        <v>0</v>
      </c>
      <c r="OG24" s="5">
        <f>IF(ISERROR(LOOKUP(OG$1,$S24:$HK24,csv!$L24:$HD24)),NA(),LOOKUP(OG$1,$S24:$HK24,csv!$L24:$HD24))</f>
        <v>0</v>
      </c>
      <c r="OH24" s="5">
        <f>IF(ISERROR(LOOKUP(OH$1,$S24:$HK24,csv!$L24:$HD24)),NA(),LOOKUP(OH$1,$S24:$HK24,csv!$L24:$HD24))</f>
        <v>0</v>
      </c>
      <c r="OI24" s="5">
        <f>IF(ISERROR(LOOKUP(OI$1,$S24:$HK24,csv!$L24:$HD24)),NA(),LOOKUP(OI$1,$S24:$HK24,csv!$L24:$HD24))</f>
        <v>0</v>
      </c>
      <c r="OJ24" s="5">
        <f>IF(ISERROR(LOOKUP(OJ$1,$S24:$HK24,csv!$L24:$HD24)),NA(),LOOKUP(OJ$1,$S24:$HK24,csv!$L24:$HD24))</f>
        <v>0</v>
      </c>
      <c r="OK24" s="5">
        <f>IF(ISERROR(LOOKUP(OK$1,$S24:$HK24,csv!$L24:$HD24)),NA(),LOOKUP(OK$1,$S24:$HK24,csv!$L24:$HD24))</f>
        <v>0</v>
      </c>
      <c r="OL24" s="5">
        <f>IF(ISERROR(LOOKUP(OL$1,$S24:$HK24,csv!$L24:$HD24)),NA(),LOOKUP(OL$1,$S24:$HK24,csv!$L24:$HD24))</f>
        <v>0</v>
      </c>
      <c r="OM24" s="5">
        <f>IF(ISERROR(LOOKUP(OM$1,$S24:$HK24,csv!$L24:$HD24)),NA(),LOOKUP(OM$1,$S24:$HK24,csv!$L24:$HD24))</f>
        <v>0</v>
      </c>
      <c r="ON24" s="5">
        <f>IF(ISERROR(LOOKUP(ON$1,$S24:$HK24,csv!$L24:$HD24)),NA(),LOOKUP(ON$1,$S24:$HK24,csv!$L24:$HD24))</f>
        <v>0</v>
      </c>
      <c r="OO24" s="5">
        <f>IF(ISERROR(LOOKUP(OO$1,$S24:$HK24,csv!$L24:$HD24)),NA(),LOOKUP(OO$1,$S24:$HK24,csv!$L24:$HD24))</f>
        <v>0</v>
      </c>
      <c r="OP24" s="5">
        <f>IF(ISERROR(LOOKUP(OP$1,$S24:$HK24,csv!$L24:$HD24)),NA(),LOOKUP(OP$1,$S24:$HK24,csv!$L24:$HD24))</f>
        <v>0</v>
      </c>
      <c r="OQ24" s="5">
        <f>IF(ISERROR(LOOKUP(OQ$1,$S24:$HK24,csv!$L24:$HD24)),NA(),LOOKUP(OQ$1,$S24:$HK24,csv!$L24:$HD24))</f>
        <v>0</v>
      </c>
      <c r="OR24" s="5">
        <f>IF(ISERROR(LOOKUP(OR$1,$S24:$HK24,csv!$L24:$HD24)),NA(),LOOKUP(OR$1,$S24:$HK24,csv!$L24:$HD24))</f>
        <v>0</v>
      </c>
      <c r="OS24" s="5">
        <f>IF(ISERROR(LOOKUP(OS$1,$S24:$HK24,csv!$L24:$HD24)),NA(),LOOKUP(OS$1,$S24:$HK24,csv!$L24:$HD24))</f>
        <v>0</v>
      </c>
      <c r="OT24" s="5">
        <f>IF(ISERROR(LOOKUP(OT$1,$S24:$HK24,csv!$L24:$HD24)),NA(),LOOKUP(OT$1,$S24:$HK24,csv!$L24:$HD24))</f>
        <v>0</v>
      </c>
      <c r="OU24" s="5">
        <f>IF(ISERROR(LOOKUP(OU$1,$S24:$HK24,csv!$L24:$HD24)),NA(),LOOKUP(OU$1,$S24:$HK24,csv!$L24:$HD24))</f>
        <v>0</v>
      </c>
      <c r="OV24" s="5">
        <f>IF(ISERROR(LOOKUP(OV$1,$S24:$HK24,csv!$L24:$HD24)),NA(),LOOKUP(OV$1,$S24:$HK24,csv!$L24:$HD24))</f>
        <v>0</v>
      </c>
      <c r="OW24" s="5">
        <f>IF(ISERROR(LOOKUP(OW$1,$S24:$HK24,csv!$L24:$HD24)),NA(),LOOKUP(OW$1,$S24:$HK24,csv!$L24:$HD24))</f>
        <v>0</v>
      </c>
      <c r="OX24" s="5">
        <f>IF(ISERROR(LOOKUP(OX$1,$S24:$HK24,csv!$L24:$HD24)),NA(),LOOKUP(OX$1,$S24:$HK24,csv!$L24:$HD24))</f>
        <v>0</v>
      </c>
      <c r="OY24" s="5">
        <f>IF(ISERROR(LOOKUP(OY$1,$S24:$HK24,csv!$L24:$HD24)),NA(),LOOKUP(OY$1,$S24:$HK24,csv!$L24:$HD24))</f>
        <v>0</v>
      </c>
      <c r="OZ24" s="5">
        <f>IF(ISERROR(LOOKUP(OZ$1,$S24:$HK24,csv!$L24:$HD24)),NA(),LOOKUP(OZ$1,$S24:$HK24,csv!$L24:$HD24))</f>
        <v>0</v>
      </c>
      <c r="PA24" s="5">
        <f>IF(ISERROR(LOOKUP(PA$1,$S24:$HK24,csv!$L24:$HD24)),NA(),LOOKUP(PA$1,$S24:$HK24,csv!$L24:$HD24))</f>
        <v>0</v>
      </c>
      <c r="PB24" s="5">
        <f>IF(ISERROR(LOOKUP(PB$1,$S24:$HK24,csv!$L24:$HD24)),NA(),LOOKUP(PB$1,$S24:$HK24,csv!$L24:$HD24))</f>
        <v>0</v>
      </c>
      <c r="PC24" s="5">
        <f>IF(ISERROR(LOOKUP(PC$1,$S24:$HK24,csv!$L24:$HD24)),NA(),LOOKUP(PC$1,$S24:$HK24,csv!$L24:$HD24))</f>
        <v>0</v>
      </c>
      <c r="PD24" s="5">
        <f>IF(ISERROR(LOOKUP(PD$1,$S24:$HK24,csv!$L24:$HD24)),NA(),LOOKUP(PD$1,$S24:$HK24,csv!$L24:$HD24))</f>
        <v>0</v>
      </c>
      <c r="PE24" s="5">
        <f>IF(ISERROR(LOOKUP(PE$1,$S24:$HK24,csv!$L24:$HD24)),NA(),LOOKUP(PE$1,$S24:$HK24,csv!$L24:$HD24))</f>
        <v>0</v>
      </c>
      <c r="PF24" s="5">
        <f>IF(ISERROR(LOOKUP(PF$1,$S24:$HK24,csv!$L24:$HD24)),NA(),LOOKUP(PF$1,$S24:$HK24,csv!$L24:$HD24))</f>
        <v>0</v>
      </c>
      <c r="PG24" s="5">
        <f>IF(ISERROR(LOOKUP(PG$1,$S24:$HK24,csv!$L24:$HD24)),NA(),LOOKUP(PG$1,$S24:$HK24,csv!$L24:$HD24))</f>
        <v>0</v>
      </c>
      <c r="PH24" s="5">
        <f>IF(ISERROR(LOOKUP(PH$1,$S24:$HK24,csv!$L24:$HD24)),NA(),LOOKUP(PH$1,$S24:$HK24,csv!$L24:$HD24))</f>
        <v>0</v>
      </c>
      <c r="PI24" s="5">
        <f>IF(ISERROR(LOOKUP(PI$1,$S24:$HK24,csv!$L24:$HD24)),NA(),LOOKUP(PI$1,$S24:$HK24,csv!$L24:$HD24))</f>
        <v>0</v>
      </c>
      <c r="PJ24" s="5">
        <f>IF(ISERROR(LOOKUP(PJ$1,$S24:$HK24,csv!$L24:$HD24)),NA(),LOOKUP(PJ$1,$S24:$HK24,csv!$L24:$HD24))</f>
        <v>0</v>
      </c>
      <c r="PK24" s="5">
        <f>IF(ISERROR(LOOKUP(PK$1,$S24:$HK24,csv!$L24:$HD24)),NA(),LOOKUP(PK$1,$S24:$HK24,csv!$L24:$HD24))</f>
        <v>0</v>
      </c>
      <c r="PL24" s="5">
        <f>IF(ISERROR(LOOKUP(PL$1,$S24:$HK24,csv!$L24:$HD24)),NA(),LOOKUP(PL$1,$S24:$HK24,csv!$L24:$HD24))</f>
        <v>0</v>
      </c>
      <c r="PM24" s="5">
        <f>IF(ISERROR(LOOKUP(PM$1,$S24:$HK24,csv!$L24:$HD24)),NA(),LOOKUP(PM$1,$S24:$HK24,csv!$L24:$HD24))</f>
        <v>0</v>
      </c>
      <c r="PN24" s="5">
        <f>IF(ISERROR(LOOKUP(PN$1,$S24:$HK24,csv!$L24:$HD24)),NA(),LOOKUP(PN$1,$S24:$HK24,csv!$L24:$HD24))</f>
        <v>0</v>
      </c>
      <c r="PO24" s="5">
        <f>IF(ISERROR(LOOKUP(PO$1,$S24:$HK24,csv!$L24:$HD24)),NA(),LOOKUP(PO$1,$S24:$HK24,csv!$L24:$HD24))</f>
        <v>0</v>
      </c>
      <c r="PP24" s="5">
        <f>IF(ISERROR(LOOKUP(PP$1,$S24:$HK24,csv!$L24:$HD24)),NA(),LOOKUP(PP$1,$S24:$HK24,csv!$L24:$HD24))</f>
        <v>0</v>
      </c>
      <c r="PQ24" s="5">
        <f>IF(ISERROR(LOOKUP(PQ$1,$S24:$HK24,csv!$L24:$HD24)),NA(),LOOKUP(PQ$1,$S24:$HK24,csv!$L24:$HD24))</f>
        <v>0</v>
      </c>
      <c r="PR24" s="5">
        <f>IF(ISERROR(LOOKUP(PR$1,$S24:$HK24,csv!$L24:$HD24)),NA(),LOOKUP(PR$1,$S24:$HK24,csv!$L24:$HD24))</f>
        <v>0</v>
      </c>
      <c r="PS24" s="5">
        <f>IF(ISERROR(LOOKUP(PS$1,$S24:$HK24,csv!$L24:$HD24)),NA(),LOOKUP(PS$1,$S24:$HK24,csv!$L24:$HD24))</f>
        <v>0</v>
      </c>
      <c r="PT24" s="5">
        <f>IF(ISERROR(LOOKUP(PT$1,$S24:$HK24,csv!$L24:$HD24)),NA(),LOOKUP(PT$1,$S24:$HK24,csv!$L24:$HD24))</f>
        <v>0</v>
      </c>
      <c r="PU24" s="5">
        <f>IF(ISERROR(LOOKUP(PU$1,$S24:$HK24,csv!$L24:$HD24)),NA(),LOOKUP(PU$1,$S24:$HK24,csv!$L24:$HD24))</f>
        <v>0</v>
      </c>
      <c r="PV24" s="5">
        <f>IF(ISERROR(LOOKUP(PV$1,$S24:$HK24,csv!$L24:$HD24)),NA(),LOOKUP(PV$1,$S24:$HK24,csv!$L24:$HD24))</f>
        <v>0</v>
      </c>
      <c r="PW24" s="5">
        <f>IF(ISERROR(LOOKUP(PW$1,$S24:$HK24,csv!$L24:$HD24)),NA(),LOOKUP(PW$1,$S24:$HK24,csv!$L24:$HD24))</f>
        <v>0</v>
      </c>
      <c r="PX24" s="5">
        <f>IF(ISERROR(LOOKUP(PX$1,$S24:$HK24,csv!$L24:$HD24)),NA(),LOOKUP(PX$1,$S24:$HK24,csv!$L24:$HD24))</f>
        <v>0</v>
      </c>
      <c r="PY24" s="5">
        <f>IF(ISERROR(LOOKUP(PY$1,$S24:$HK24,csv!$L24:$HD24)),NA(),LOOKUP(PY$1,$S24:$HK24,csv!$L24:$HD24))</f>
        <v>0</v>
      </c>
      <c r="PZ24" s="5">
        <f>IF(ISERROR(LOOKUP(PZ$1,$S24:$HK24,csv!$L24:$HD24)),NA(),LOOKUP(PZ$1,$S24:$HK24,csv!$L24:$HD24))</f>
        <v>0</v>
      </c>
      <c r="QA24" s="5">
        <f>IF(ISERROR(LOOKUP(QA$1,$S24:$HK24,csv!$L24:$HD24)),NA(),LOOKUP(QA$1,$S24:$HK24,csv!$L24:$HD24))</f>
        <v>0</v>
      </c>
      <c r="QB24" s="5">
        <f>IF(ISERROR(LOOKUP(QB$1,$S24:$HK24,csv!$L24:$HD24)),NA(),LOOKUP(QB$1,$S24:$HK24,csv!$L24:$HD24))</f>
        <v>0</v>
      </c>
      <c r="QC24" s="5">
        <f>IF(ISERROR(LOOKUP(QC$1,$S24:$HK24,csv!$L24:$HD24)),NA(),LOOKUP(QC$1,$S24:$HK24,csv!$L24:$HD24))</f>
        <v>0</v>
      </c>
      <c r="QD24" s="5">
        <f>IF(ISERROR(LOOKUP(QD$1,$S24:$HK24,csv!$L24:$HD24)),NA(),LOOKUP(QD$1,$S24:$HK24,csv!$L24:$HD24))</f>
        <v>0</v>
      </c>
      <c r="QE24" s="5">
        <f>IF(ISERROR(LOOKUP(QE$1,$S24:$HK24,csv!$L24:$HD24)),NA(),LOOKUP(QE$1,$S24:$HK24,csv!$L24:$HD24))</f>
        <v>0</v>
      </c>
      <c r="QF24" s="5">
        <f>IF(ISERROR(LOOKUP(QF$1,$S24:$HK24,csv!$L24:$HD24)),NA(),LOOKUP(QF$1,$S24:$HK24,csv!$L24:$HD24))</f>
        <v>0</v>
      </c>
      <c r="QG24" s="5">
        <f>IF(ISERROR(LOOKUP(QG$1,$S24:$HK24,csv!$L24:$HD24)),NA(),LOOKUP(QG$1,$S24:$HK24,csv!$L24:$HD24))</f>
        <v>0</v>
      </c>
      <c r="QH24" s="5">
        <f>IF(ISERROR(LOOKUP(QH$1,$S24:$HK24,csv!$L24:$HD24)),NA(),LOOKUP(QH$1,$S24:$HK24,csv!$L24:$HD24))</f>
        <v>0</v>
      </c>
      <c r="QI24" s="5">
        <f>IF(ISERROR(LOOKUP(QI$1,$S24:$HK24,csv!$L24:$HD24)),NA(),LOOKUP(QI$1,$S24:$HK24,csv!$L24:$HD24))</f>
        <v>0</v>
      </c>
      <c r="QJ24" s="5">
        <f>IF(ISERROR(LOOKUP(QJ$1,$S24:$HK24,csv!$L24:$HD24)),NA(),LOOKUP(QJ$1,$S24:$HK24,csv!$L24:$HD24))</f>
        <v>0</v>
      </c>
      <c r="QK24" s="5">
        <f>IF(ISERROR(LOOKUP(QK$1,$S24:$HK24,csv!$L24:$HD24)),NA(),LOOKUP(QK$1,$S24:$HK24,csv!$L24:$HD24))</f>
        <v>0</v>
      </c>
      <c r="QL24" s="5">
        <f>IF(ISERROR(LOOKUP(QL$1,$S24:$HK24,csv!$L24:$HD24)),NA(),LOOKUP(QL$1,$S24:$HK24,csv!$L24:$HD24))</f>
        <v>0</v>
      </c>
      <c r="QM24" s="5">
        <f>IF(ISERROR(LOOKUP(QM$1,$S24:$HK24,csv!$L24:$HD24)),NA(),LOOKUP(QM$1,$S24:$HK24,csv!$L24:$HD24))</f>
        <v>0</v>
      </c>
      <c r="QN24" s="5">
        <f>IF(ISERROR(LOOKUP(QN$1,$S24:$HK24,csv!$L24:$HD24)),NA(),LOOKUP(QN$1,$S24:$HK24,csv!$L24:$HD24))</f>
        <v>0</v>
      </c>
      <c r="QO24" s="5">
        <f>IF(ISERROR(LOOKUP(QO$1,$S24:$HK24,csv!$L24:$HD24)),NA(),LOOKUP(QO$1,$S24:$HK24,csv!$L24:$HD24))</f>
        <v>0</v>
      </c>
      <c r="QP24" s="5">
        <f>IF(ISERROR(LOOKUP(QP$1,$S24:$HK24,csv!$L24:$HD24)),NA(),LOOKUP(QP$1,$S24:$HK24,csv!$L24:$HD24))</f>
        <v>0</v>
      </c>
      <c r="QQ24" s="5">
        <f>IF(ISERROR(LOOKUP(QQ$1,$S24:$HK24,csv!$L24:$HD24)),NA(),LOOKUP(QQ$1,$S24:$HK24,csv!$L24:$HD24))</f>
        <v>0</v>
      </c>
      <c r="QR24" s="5">
        <f>IF(ISERROR(LOOKUP(QR$1,$S24:$HK24,csv!$L24:$HD24)),NA(),LOOKUP(QR$1,$S24:$HK24,csv!$L24:$HD24))</f>
        <v>0</v>
      </c>
      <c r="QS24" s="5">
        <f>IF(ISERROR(LOOKUP(QS$1,$S24:$HK24,csv!$L24:$HD24)),NA(),LOOKUP(QS$1,$S24:$HK24,csv!$L24:$HD24))</f>
        <v>0</v>
      </c>
      <c r="QT24" s="5">
        <f>IF(ISERROR(LOOKUP(QT$1,$S24:$HK24,csv!$L24:$HD24)),NA(),LOOKUP(QT$1,$S24:$HK24,csv!$L24:$HD24))</f>
        <v>0</v>
      </c>
      <c r="QU24" s="5">
        <f>IF(ISERROR(LOOKUP(QU$1,$S24:$HK24,csv!$L24:$HD24)),NA(),LOOKUP(QU$1,$S24:$HK24,csv!$L24:$HD24))</f>
        <v>0</v>
      </c>
      <c r="QV24" s="5">
        <f>IF(ISERROR(LOOKUP(QV$1,$S24:$HK24,csv!$L24:$HD24)),NA(),LOOKUP(QV$1,$S24:$HK24,csv!$L24:$HD24))</f>
        <v>0</v>
      </c>
      <c r="QW24" s="5">
        <f>IF(ISERROR(LOOKUP(QW$1,$S24:$HK24,csv!$L24:$HD24)),NA(),LOOKUP(QW$1,$S24:$HK24,csv!$L24:$HD24))</f>
        <v>0</v>
      </c>
      <c r="QX24" s="5">
        <f>IF(ISERROR(LOOKUP(QX$1,$S24:$HK24,csv!$L24:$HD24)),NA(),LOOKUP(QX$1,$S24:$HK24,csv!$L24:$HD24))</f>
        <v>0</v>
      </c>
      <c r="QY24" s="5">
        <f>IF(ISERROR(LOOKUP(QY$1,$S24:$HK24,csv!$L24:$HD24)),NA(),LOOKUP(QY$1,$S24:$HK24,csv!$L24:$HD24))</f>
        <v>0</v>
      </c>
      <c r="QZ24" s="5">
        <f>IF(ISERROR(LOOKUP(QZ$1,$S24:$HK24,csv!$L24:$HD24)),NA(),LOOKUP(QZ$1,$S24:$HK24,csv!$L24:$HD24))</f>
        <v>0</v>
      </c>
      <c r="RA24" s="5">
        <f>IF(ISERROR(LOOKUP(RA$1,$S24:$HK24,csv!$L24:$HD24)),NA(),LOOKUP(RA$1,$S24:$HK24,csv!$L24:$HD24))</f>
        <v>0</v>
      </c>
      <c r="RB24" s="5">
        <f>IF(ISERROR(LOOKUP(RB$1,$S24:$HK24,csv!$L24:$HD24)),NA(),LOOKUP(RB$1,$S24:$HK24,csv!$L24:$HD24))</f>
        <v>0</v>
      </c>
      <c r="RC24" s="5">
        <f>IF(ISERROR(LOOKUP(RC$1,$S24:$HK24,csv!$L24:$HD24)),NA(),LOOKUP(RC$1,$S24:$HK24,csv!$L24:$HD24))</f>
        <v>0</v>
      </c>
      <c r="RD24" s="5">
        <f>IF(ISERROR(LOOKUP(RD$1,$S24:$HK24,csv!$L24:$HD24)),NA(),LOOKUP(RD$1,$S24:$HK24,csv!$L24:$HD24))</f>
        <v>0</v>
      </c>
      <c r="RE24" s="5">
        <f>IF(ISERROR(LOOKUP(RE$1,$S24:$HK24,csv!$L24:$HD24)),NA(),LOOKUP(RE$1,$S24:$HK24,csv!$L24:$HD24))</f>
        <v>0</v>
      </c>
      <c r="RF24" s="5">
        <f>IF(ISERROR(LOOKUP(RF$1,$S24:$HK24,csv!$L24:$HD24)),NA(),LOOKUP(RF$1,$S24:$HK24,csv!$L24:$HD24))</f>
        <v>0</v>
      </c>
      <c r="RG24" s="5">
        <f>IF(ISERROR(LOOKUP(RG$1,$S24:$HK24,csv!$L24:$HD24)),NA(),LOOKUP(RG$1,$S24:$HK24,csv!$L24:$HD24))</f>
        <v>0</v>
      </c>
      <c r="RH24" s="5">
        <f>IF(ISERROR(LOOKUP(RH$1,$S24:$HK24,csv!$L24:$HD24)),NA(),LOOKUP(RH$1,$S24:$HK24,csv!$L24:$HD24))</f>
        <v>0</v>
      </c>
      <c r="RI24" s="5">
        <f>IF(ISERROR(LOOKUP(RI$1,$S24:$HK24,csv!$L24:$HD24)),NA(),LOOKUP(RI$1,$S24:$HK24,csv!$L24:$HD24))</f>
        <v>0</v>
      </c>
      <c r="RJ24" s="5">
        <f>IF(ISERROR(LOOKUP(RJ$1,$S24:$HK24,csv!$L24:$HD24)),NA(),LOOKUP(RJ$1,$S24:$HK24,csv!$L24:$HD24))</f>
        <v>0</v>
      </c>
      <c r="RK24" s="5">
        <f>IF(ISERROR(LOOKUP(RK$1,$S24:$HK24,csv!$L24:$HD24)),NA(),LOOKUP(RK$1,$S24:$HK24,csv!$L24:$HD24))</f>
        <v>0</v>
      </c>
      <c r="RL24" s="5">
        <f>IF(ISERROR(LOOKUP(RL$1,$S24:$HK24,csv!$L24:$HD24)),NA(),LOOKUP(RL$1,$S24:$HK24,csv!$L24:$HD24))</f>
        <v>0</v>
      </c>
      <c r="RM24" s="5">
        <f>IF(ISERROR(LOOKUP(RM$1,$S24:$HK24,csv!$L24:$HD24)),NA(),LOOKUP(RM$1,$S24:$HK24,csv!$L24:$HD24))</f>
        <v>0</v>
      </c>
      <c r="RN24" s="5">
        <f>IF(ISERROR(LOOKUP(RN$1,$S24:$HK24,csv!$L24:$HD24)),NA(),LOOKUP(RN$1,$S24:$HK24,csv!$L24:$HD24))</f>
        <v>0</v>
      </c>
      <c r="RO24" s="5">
        <f>IF(ISERROR(LOOKUP(RO$1,$S24:$HK24,csv!$L24:$HD24)),NA(),LOOKUP(RO$1,$S24:$HK24,csv!$L24:$HD24))</f>
        <v>0</v>
      </c>
      <c r="RP24" s="5">
        <f>IF(ISERROR(LOOKUP(RP$1,$S24:$HK24,csv!$L24:$HD24)),NA(),LOOKUP(RP$1,$S24:$HK24,csv!$L24:$HD24))</f>
        <v>0</v>
      </c>
      <c r="RQ24" s="5">
        <f>IF(ISERROR(LOOKUP(RQ$1,$S24:$HK24,csv!$L24:$HD24)),NA(),LOOKUP(RQ$1,$S24:$HK24,csv!$L24:$HD24))</f>
        <v>0</v>
      </c>
      <c r="RR24" s="5">
        <f>IF(ISERROR(LOOKUP(RR$1,$S24:$HK24,csv!$L24:$HD24)),NA(),LOOKUP(RR$1,$S24:$HK24,csv!$L24:$HD24))</f>
        <v>0</v>
      </c>
      <c r="RS24" s="5">
        <f>IF(ISERROR(LOOKUP(RS$1,$S24:$HK24,csv!$L24:$HD24)),NA(),LOOKUP(RS$1,$S24:$HK24,csv!$L24:$HD24))</f>
        <v>0</v>
      </c>
      <c r="RT24" s="5">
        <f>IF(ISERROR(LOOKUP(RT$1,$S24:$HK24,csv!$L24:$HD24)),NA(),LOOKUP(RT$1,$S24:$HK24,csv!$L24:$HD24))</f>
        <v>0</v>
      </c>
      <c r="RU24" s="5">
        <f>IF(ISERROR(LOOKUP(RU$1,$S24:$HK24,csv!$L24:$HD24)),NA(),LOOKUP(RU$1,$S24:$HK24,csv!$L24:$HD24))</f>
        <v>0</v>
      </c>
      <c r="RV24" s="5">
        <f>IF(ISERROR(LOOKUP(RV$1,$S24:$HK24,csv!$L24:$HD24)),NA(),LOOKUP(RV$1,$S24:$HK24,csv!$L24:$HD24))</f>
        <v>0</v>
      </c>
      <c r="RW24" s="5">
        <f>IF(ISERROR(LOOKUP(RW$1,$S24:$HK24,csv!$L24:$HD24)),NA(),LOOKUP(RW$1,$S24:$HK24,csv!$L24:$HD24))</f>
        <v>0</v>
      </c>
      <c r="RX24" s="5">
        <f>IF(ISERROR(LOOKUP(RX$1,$S24:$HK24,csv!$L24:$HD24)),NA(),LOOKUP(RX$1,$S24:$HK24,csv!$L24:$HD24))</f>
        <v>0</v>
      </c>
      <c r="RY24" s="5">
        <f>IF(ISERROR(LOOKUP(RY$1,$S24:$HK24,csv!$L24:$HD24)),NA(),LOOKUP(RY$1,$S24:$HK24,csv!$L24:$HD24))</f>
        <v>0</v>
      </c>
      <c r="RZ24" s="5">
        <f>IF(ISERROR(LOOKUP(RZ$1,$S24:$HK24,csv!$L24:$HD24)),NA(),LOOKUP(RZ$1,$S24:$HK24,csv!$L24:$HD24))</f>
        <v>0</v>
      </c>
      <c r="SA24" s="5">
        <f>IF(ISERROR(LOOKUP(SA$1,$S24:$HK24,csv!$L24:$HD24)),NA(),LOOKUP(SA$1,$S24:$HK24,csv!$L24:$HD24))</f>
        <v>0</v>
      </c>
      <c r="SB24" s="5">
        <f>IF(ISERROR(LOOKUP(SB$1,$S24:$HK24,csv!$L24:$HD24)),NA(),LOOKUP(SB$1,$S24:$HK24,csv!$L24:$HD24))</f>
        <v>0</v>
      </c>
      <c r="SC24" s="5">
        <f>IF(ISERROR(LOOKUP(SC$1,$S24:$HK24,csv!$L24:$HD24)),NA(),LOOKUP(SC$1,$S24:$HK24,csv!$L24:$HD24))</f>
        <v>0</v>
      </c>
      <c r="SD24" s="5">
        <f>IF(ISERROR(LOOKUP(SD$1,$S24:$HK24,csv!$L24:$HD24)),NA(),LOOKUP(SD$1,$S24:$HK24,csv!$L24:$HD24))</f>
        <v>0</v>
      </c>
      <c r="SE24" s="5">
        <f>IF(ISERROR(LOOKUP(SE$1,$S24:$HK24,csv!$L24:$HD24)),NA(),LOOKUP(SE$1,$S24:$HK24,csv!$L24:$HD24))</f>
        <v>0</v>
      </c>
      <c r="SF24" s="5">
        <f>IF(ISERROR(LOOKUP(SF$1,$S24:$HK24,csv!$L24:$HD24)),NA(),LOOKUP(SF$1,$S24:$HK24,csv!$L24:$HD24))</f>
        <v>0</v>
      </c>
      <c r="SG24" s="5">
        <f>IF(ISERROR(LOOKUP(SG$1,$S24:$HK24,csv!$L24:$HD24)),NA(),LOOKUP(SG$1,$S24:$HK24,csv!$L24:$HD24))</f>
        <v>0</v>
      </c>
      <c r="SH24" s="5">
        <f>IF(ISERROR(LOOKUP(SH$1,$S24:$HK24,csv!$L24:$HD24)),NA(),LOOKUP(SH$1,$S24:$HK24,csv!$L24:$HD24))</f>
        <v>0</v>
      </c>
      <c r="SI24" s="5">
        <f>IF(ISERROR(LOOKUP(SI$1,$S24:$HK24,csv!$L24:$HD24)),NA(),LOOKUP(SI$1,$S24:$HK24,csv!$L24:$HD24))</f>
        <v>0</v>
      </c>
      <c r="SJ24" s="5">
        <f>IF(ISERROR(LOOKUP(SJ$1,$S24:$HK24,csv!$L24:$HD24)),NA(),LOOKUP(SJ$1,$S24:$HK24,csv!$L24:$HD24))</f>
        <v>0</v>
      </c>
      <c r="SK24" s="5">
        <f>IF(ISERROR(LOOKUP(SK$1,$S24:$HK24,csv!$L24:$HD24)),NA(),LOOKUP(SK$1,$S24:$HK24,csv!$L24:$HD24))</f>
        <v>0</v>
      </c>
      <c r="SL24" s="5">
        <f>IF(ISERROR(LOOKUP(SL$1,$S24:$HK24,csv!$L24:$HD24)),NA(),LOOKUP(SL$1,$S24:$HK24,csv!$L24:$HD24))</f>
        <v>0</v>
      </c>
      <c r="SM24" s="5">
        <f>IF(ISERROR(LOOKUP(SM$1,$S24:$HK24,csv!$L24:$HD24)),NA(),LOOKUP(SM$1,$S24:$HK24,csv!$L24:$HD24))</f>
        <v>0</v>
      </c>
      <c r="SN24" s="5">
        <f>IF(ISERROR(LOOKUP(SN$1,$S24:$HK24,csv!$L24:$HD24)),NA(),LOOKUP(SN$1,$S24:$HK24,csv!$L24:$HD24))</f>
        <v>0</v>
      </c>
      <c r="SO24" s="5">
        <f>IF(ISERROR(LOOKUP(SO$1,$S24:$HK24,csv!$L24:$HD24)),NA(),LOOKUP(SO$1,$S24:$HK24,csv!$L24:$HD24))</f>
        <v>0</v>
      </c>
      <c r="SP24" s="5">
        <f>IF(ISERROR(LOOKUP(SP$1,$S24:$HK24,csv!$L24:$HD24)),NA(),LOOKUP(SP$1,$S24:$HK24,csv!$L24:$HD24))</f>
        <v>0</v>
      </c>
      <c r="SQ24" s="5">
        <f>IF(ISERROR(LOOKUP(SQ$1,$S24:$HK24,csv!$L24:$HD24)),NA(),LOOKUP(SQ$1,$S24:$HK24,csv!$L24:$HD24))</f>
        <v>0</v>
      </c>
      <c r="SR24" s="5">
        <f>IF(ISERROR(LOOKUP(SR$1,$S24:$HK24,csv!$L24:$HD24)),NA(),LOOKUP(SR$1,$S24:$HK24,csv!$L24:$HD24))</f>
        <v>0</v>
      </c>
      <c r="SS24" s="5">
        <f>IF(ISERROR(LOOKUP(SS$1,$S24:$HK24,csv!$L24:$HD24)),NA(),LOOKUP(SS$1,$S24:$HK24,csv!$L24:$HD24))</f>
        <v>0</v>
      </c>
      <c r="ST24" s="5">
        <f>IF(ISERROR(LOOKUP(ST$1,$S24:$HK24,csv!$L24:$HD24)),NA(),LOOKUP(ST$1,$S24:$HK24,csv!$L24:$HD24))</f>
        <v>0</v>
      </c>
      <c r="SU24" s="5">
        <f>IF(ISERROR(LOOKUP(SU$1,$S24:$HK24,csv!$L24:$HD24)),NA(),LOOKUP(SU$1,$S24:$HK24,csv!$L24:$HD24))</f>
        <v>0</v>
      </c>
      <c r="SV24" s="5">
        <f>IF(ISERROR(LOOKUP(SV$1,$S24:$HK24,csv!$L24:$HD24)),NA(),LOOKUP(SV$1,$S24:$HK24,csv!$L24:$HD24))</f>
        <v>0</v>
      </c>
      <c r="SW24" s="5">
        <f>IF(ISERROR(LOOKUP(SW$1,$S24:$HK24,csv!$L24:$HD24)),NA(),LOOKUP(SW$1,$S24:$HK24,csv!$L24:$HD24))</f>
        <v>0</v>
      </c>
      <c r="SX24" s="5">
        <f>IF(ISERROR(LOOKUP(SX$1,$S24:$HK24,csv!$L24:$HD24)),NA(),LOOKUP(SX$1,$S24:$HK24,csv!$L24:$HD24))</f>
        <v>0</v>
      </c>
      <c r="SY24" s="5">
        <f>IF(ISERROR(LOOKUP(SY$1,$S24:$HK24,csv!$L24:$HD24)),NA(),LOOKUP(SY$1,$S24:$HK24,csv!$L24:$HD24))</f>
        <v>0</v>
      </c>
      <c r="SZ24" s="5">
        <f>IF(ISERROR(LOOKUP(SZ$1,$S24:$HK24,csv!$L24:$HD24)),NA(),LOOKUP(SZ$1,$S24:$HK24,csv!$L24:$HD24))</f>
        <v>0</v>
      </c>
      <c r="TA24" s="5">
        <f>IF(ISERROR(LOOKUP(TA$1,$S24:$HK24,csv!$L24:$HD24)),NA(),LOOKUP(TA$1,$S24:$HK24,csv!$L24:$HD24))</f>
        <v>0</v>
      </c>
      <c r="TB24" s="5">
        <f>IF(ISERROR(LOOKUP(TB$1,$S24:$HK24,csv!$L24:$HD24)),NA(),LOOKUP(TB$1,$S24:$HK24,csv!$L24:$HD24))</f>
        <v>0</v>
      </c>
      <c r="TD24">
        <f>csv!HG24/10</f>
        <v>0</v>
      </c>
    </row>
    <row r="25" spans="3:524" x14ac:dyDescent="0.15">
      <c r="S25" s="4">
        <f>ROUND((csv!$HG25/10+calc!S$1),1)</f>
        <v>-10</v>
      </c>
      <c r="T25" s="4">
        <f>ROUND((csv!$HG25/10+calc!T$1),1)</f>
        <v>-9.9</v>
      </c>
      <c r="U25" s="4">
        <f>ROUND((csv!$HG25/10+calc!U$1),1)</f>
        <v>-9.8000000000000007</v>
      </c>
      <c r="V25" s="4">
        <f>ROUND((csv!$HG25/10+calc!V$1),1)</f>
        <v>-9.6999999999999993</v>
      </c>
      <c r="W25" s="4">
        <f>ROUND((csv!$HG25/10+calc!W$1),1)</f>
        <v>-9.6</v>
      </c>
      <c r="X25" s="4">
        <f>ROUND((csv!$HG25/10+calc!X$1),1)</f>
        <v>-9.5</v>
      </c>
      <c r="Y25" s="4">
        <f>ROUND((csv!$HG25/10+calc!Y$1),1)</f>
        <v>-9.4</v>
      </c>
      <c r="Z25" s="4">
        <f>ROUND((csv!$HG25/10+calc!Z$1),1)</f>
        <v>-9.3000000000000007</v>
      </c>
      <c r="AA25" s="4">
        <f>ROUND((csv!$HG25/10+calc!AA$1),1)</f>
        <v>-9.1999999999999993</v>
      </c>
      <c r="AB25" s="4">
        <f>ROUND((csv!$HG25/10+calc!AB$1),1)</f>
        <v>-9.1</v>
      </c>
      <c r="AC25" s="4">
        <f>ROUND((csv!$HG25/10+calc!AC$1),1)</f>
        <v>-9</v>
      </c>
      <c r="AD25" s="4">
        <f>ROUND((csv!$HG25/10+calc!AD$1),1)</f>
        <v>-8.9</v>
      </c>
      <c r="AE25" s="4">
        <f>ROUND((csv!$HG25/10+calc!AE$1),1)</f>
        <v>-8.8000000000000007</v>
      </c>
      <c r="AF25" s="4">
        <f>ROUND((csv!$HG25/10+calc!AF$1),1)</f>
        <v>-8.6999999999999993</v>
      </c>
      <c r="AG25" s="4">
        <f>ROUND((csv!$HG25/10+calc!AG$1),1)</f>
        <v>-8.6</v>
      </c>
      <c r="AH25" s="4">
        <f>ROUND((csv!$HG25/10+calc!AH$1),1)</f>
        <v>-8.5</v>
      </c>
      <c r="AI25" s="4">
        <f>ROUND((csv!$HG25/10+calc!AI$1),1)</f>
        <v>-8.4</v>
      </c>
      <c r="AJ25" s="4">
        <f>ROUND((csv!$HG25/10+calc!AJ$1),1)</f>
        <v>-8.3000000000000007</v>
      </c>
      <c r="AK25" s="4">
        <f>ROUND((csv!$HG25/10+calc!AK$1),1)</f>
        <v>-8.1999999999999993</v>
      </c>
      <c r="AL25" s="4">
        <f>ROUND((csv!$HG25/10+calc!AL$1),1)</f>
        <v>-8.1</v>
      </c>
      <c r="AM25" s="4">
        <f>ROUND((csv!$HG25/10+calc!AM$1),1)</f>
        <v>-8</v>
      </c>
      <c r="AN25" s="4">
        <f>ROUND((csv!$HG25/10+calc!AN$1),1)</f>
        <v>-7.9</v>
      </c>
      <c r="AO25" s="4">
        <f>ROUND((csv!$HG25/10+calc!AO$1),1)</f>
        <v>-7.8</v>
      </c>
      <c r="AP25" s="4">
        <f>ROUND((csv!$HG25/10+calc!AP$1),1)</f>
        <v>-7.7</v>
      </c>
      <c r="AQ25" s="4">
        <f>ROUND((csv!$HG25/10+calc!AQ$1),1)</f>
        <v>-7.6</v>
      </c>
      <c r="AR25" s="4">
        <f>ROUND((csv!$HG25/10+calc!AR$1),1)</f>
        <v>-7.5</v>
      </c>
      <c r="AS25" s="4">
        <f>ROUND((csv!$HG25/10+calc!AS$1),1)</f>
        <v>-7.4</v>
      </c>
      <c r="AT25" s="4">
        <f>ROUND((csv!$HG25/10+calc!AT$1),1)</f>
        <v>-7.3</v>
      </c>
      <c r="AU25" s="4">
        <f>ROUND((csv!$HG25/10+calc!AU$1),1)</f>
        <v>-7.2</v>
      </c>
      <c r="AV25" s="4">
        <f>ROUND((csv!$HG25/10+calc!AV$1),1)</f>
        <v>-7.1</v>
      </c>
      <c r="AW25" s="4">
        <f>ROUND((csv!$HG25/10+calc!AW$1),1)</f>
        <v>-7</v>
      </c>
      <c r="AX25" s="4">
        <f>ROUND((csv!$HG25/10+calc!AX$1),1)</f>
        <v>-6.9</v>
      </c>
      <c r="AY25" s="4">
        <f>ROUND((csv!$HG25/10+calc!AY$1),1)</f>
        <v>-6.8</v>
      </c>
      <c r="AZ25" s="4">
        <f>ROUND((csv!$HG25/10+calc!AZ$1),1)</f>
        <v>-6.7</v>
      </c>
      <c r="BA25" s="4">
        <f>ROUND((csv!$HG25/10+calc!BA$1),1)</f>
        <v>-6.6</v>
      </c>
      <c r="BB25" s="4">
        <f>ROUND((csv!$HG25/10+calc!BB$1),1)</f>
        <v>-6.5</v>
      </c>
      <c r="BC25" s="4">
        <f>ROUND((csv!$HG25/10+calc!BC$1),1)</f>
        <v>-6.4</v>
      </c>
      <c r="BD25" s="4">
        <f>ROUND((csv!$HG25/10+calc!BD$1),1)</f>
        <v>-6.3</v>
      </c>
      <c r="BE25" s="4">
        <f>ROUND((csv!$HG25/10+calc!BE$1),1)</f>
        <v>-6.2</v>
      </c>
      <c r="BF25" s="4">
        <f>ROUND((csv!$HG25/10+calc!BF$1),1)</f>
        <v>-6.1</v>
      </c>
      <c r="BG25" s="4">
        <f>ROUND((csv!$HG25/10+calc!BG$1),1)</f>
        <v>-6</v>
      </c>
      <c r="BH25" s="4">
        <f>ROUND((csv!$HG25/10+calc!BH$1),1)</f>
        <v>-5.9</v>
      </c>
      <c r="BI25" s="4">
        <f>ROUND((csv!$HG25/10+calc!BI$1),1)</f>
        <v>-5.8</v>
      </c>
      <c r="BJ25" s="4">
        <f>ROUND((csv!$HG25/10+calc!BJ$1),1)</f>
        <v>-5.7</v>
      </c>
      <c r="BK25" s="4">
        <f>ROUND((csv!$HG25/10+calc!BK$1),1)</f>
        <v>-5.6</v>
      </c>
      <c r="BL25" s="4">
        <f>ROUND((csv!$HG25/10+calc!BL$1),1)</f>
        <v>-5.5</v>
      </c>
      <c r="BM25" s="4">
        <f>ROUND((csv!$HG25/10+calc!BM$1),1)</f>
        <v>-5.4</v>
      </c>
      <c r="BN25" s="4">
        <f>ROUND((csv!$HG25/10+calc!BN$1),1)</f>
        <v>-5.3</v>
      </c>
      <c r="BO25" s="4">
        <f>ROUND((csv!$HG25/10+calc!BO$1),1)</f>
        <v>-5.2</v>
      </c>
      <c r="BP25" s="4">
        <f>ROUND((csv!$HG25/10+calc!BP$1),1)</f>
        <v>-5.0999999999999996</v>
      </c>
      <c r="BQ25" s="4">
        <f>ROUND((csv!$HG25/10+calc!BQ$1),1)</f>
        <v>-5</v>
      </c>
      <c r="BR25" s="4">
        <f>ROUND((csv!$HG25/10+calc!BR$1),1)</f>
        <v>-4.9000000000000004</v>
      </c>
      <c r="BS25" s="4">
        <f>ROUND((csv!$HG25/10+calc!BS$1),1)</f>
        <v>-4.8</v>
      </c>
      <c r="BT25" s="4">
        <f>ROUND((csv!$HG25/10+calc!BT$1),1)</f>
        <v>-4.7</v>
      </c>
      <c r="BU25" s="4">
        <f>ROUND((csv!$HG25/10+calc!BU$1),1)</f>
        <v>-4.5999999999999996</v>
      </c>
      <c r="BV25" s="4">
        <f>ROUND((csv!$HG25/10+calc!BV$1),1)</f>
        <v>-4.5</v>
      </c>
      <c r="BW25" s="4">
        <f>ROUND((csv!$HG25/10+calc!BW$1),1)</f>
        <v>-4.4000000000000004</v>
      </c>
      <c r="BX25" s="4">
        <f>ROUND((csv!$HG25/10+calc!BX$1),1)</f>
        <v>-4.3</v>
      </c>
      <c r="BY25" s="4">
        <f>ROUND((csv!$HG25/10+calc!BY$1),1)</f>
        <v>-4.2</v>
      </c>
      <c r="BZ25" s="4">
        <f>ROUND((csv!$HG25/10+calc!BZ$1),1)</f>
        <v>-4.0999999999999996</v>
      </c>
      <c r="CA25" s="4">
        <f>ROUND((csv!$HG25/10+calc!CA$1),1)</f>
        <v>-4</v>
      </c>
      <c r="CB25" s="4">
        <f>ROUND((csv!$HG25/10+calc!CB$1),1)</f>
        <v>-3.9</v>
      </c>
      <c r="CC25" s="4">
        <f>ROUND((csv!$HG25/10+calc!CC$1),1)</f>
        <v>-3.8</v>
      </c>
      <c r="CD25" s="4">
        <f>ROUND((csv!$HG25/10+calc!CD$1),1)</f>
        <v>-3.7</v>
      </c>
      <c r="CE25" s="4">
        <f>ROUND((csv!$HG25/10+calc!CE$1),1)</f>
        <v>-3.6</v>
      </c>
      <c r="CF25" s="4">
        <f>ROUND((csv!$HG25/10+calc!CF$1),1)</f>
        <v>-3.5</v>
      </c>
      <c r="CG25" s="4">
        <f>ROUND((csv!$HG25/10+calc!CG$1),1)</f>
        <v>-3.4</v>
      </c>
      <c r="CH25" s="4">
        <f>ROUND((csv!$HG25/10+calc!CH$1),1)</f>
        <v>-3.3</v>
      </c>
      <c r="CI25" s="4">
        <f>ROUND((csv!$HG25/10+calc!CI$1),1)</f>
        <v>-3.2</v>
      </c>
      <c r="CJ25" s="4">
        <f>ROUND((csv!$HG25/10+calc!CJ$1),1)</f>
        <v>-3.1</v>
      </c>
      <c r="CK25" s="4">
        <f>ROUND((csv!$HG25/10+calc!CK$1),1)</f>
        <v>-3</v>
      </c>
      <c r="CL25" s="4">
        <f>ROUND((csv!$HG25/10+calc!CL$1),1)</f>
        <v>-2.9</v>
      </c>
      <c r="CM25" s="4">
        <f>ROUND((csv!$HG25/10+calc!CM$1),1)</f>
        <v>-2.8</v>
      </c>
      <c r="CN25" s="4">
        <f>ROUND((csv!$HG25/10+calc!CN$1),1)</f>
        <v>-2.7</v>
      </c>
      <c r="CO25" s="4">
        <f>ROUND((csv!$HG25/10+calc!CO$1),1)</f>
        <v>-2.6</v>
      </c>
      <c r="CP25" s="4">
        <f>ROUND((csv!$HG25/10+calc!CP$1),1)</f>
        <v>-2.5</v>
      </c>
      <c r="CQ25" s="4">
        <f>ROUND((csv!$HG25/10+calc!CQ$1),1)</f>
        <v>-2.4</v>
      </c>
      <c r="CR25" s="4">
        <f>ROUND((csv!$HG25/10+calc!CR$1),1)</f>
        <v>-2.2999999999999998</v>
      </c>
      <c r="CS25" s="4">
        <f>ROUND((csv!$HG25/10+calc!CS$1),1)</f>
        <v>-2.2000000000000002</v>
      </c>
      <c r="CT25" s="4">
        <f>ROUND((csv!$HG25/10+calc!CT$1),1)</f>
        <v>-2.1</v>
      </c>
      <c r="CU25" s="4">
        <f>ROUND((csv!$HG25/10+calc!CU$1),1)</f>
        <v>-2</v>
      </c>
      <c r="CV25" s="4">
        <f>ROUND((csv!$HG25/10+calc!CV$1),1)</f>
        <v>-1.9</v>
      </c>
      <c r="CW25" s="4">
        <f>ROUND((csv!$HG25/10+calc!CW$1),1)</f>
        <v>-1.8</v>
      </c>
      <c r="CX25" s="4">
        <f>ROUND((csv!$HG25/10+calc!CX$1),1)</f>
        <v>-1.7</v>
      </c>
      <c r="CY25" s="4">
        <f>ROUND((csv!$HG25/10+calc!CY$1),1)</f>
        <v>-1.6</v>
      </c>
      <c r="CZ25" s="4">
        <f>ROUND((csv!$HG25/10+calc!CZ$1),1)</f>
        <v>-1.5</v>
      </c>
      <c r="DA25" s="4">
        <f>ROUND((csv!$HG25/10+calc!DA$1),1)</f>
        <v>-1.4</v>
      </c>
      <c r="DB25" s="4">
        <f>ROUND((csv!$HG25/10+calc!DB$1),1)</f>
        <v>-1.3</v>
      </c>
      <c r="DC25" s="4">
        <f>ROUND((csv!$HG25/10+calc!DC$1),1)</f>
        <v>-1.2</v>
      </c>
      <c r="DD25" s="4">
        <f>ROUND((csv!$HG25/10+calc!DD$1),1)</f>
        <v>-1.1000000000000001</v>
      </c>
      <c r="DE25" s="4">
        <f>ROUND((csv!$HG25/10+calc!DE$1),1)</f>
        <v>-1</v>
      </c>
      <c r="DF25" s="4">
        <f>ROUND((csv!$HG25/10+calc!DF$1),1)</f>
        <v>-0.9</v>
      </c>
      <c r="DG25" s="4">
        <f>ROUND((csv!$HG25/10+calc!DG$1),1)</f>
        <v>-0.8</v>
      </c>
      <c r="DH25" s="4">
        <f>ROUND((csv!$HG25/10+calc!DH$1),1)</f>
        <v>-0.7</v>
      </c>
      <c r="DI25" s="4">
        <f>ROUND((csv!$HG25/10+calc!DI$1),1)</f>
        <v>-0.6</v>
      </c>
      <c r="DJ25" s="4">
        <f>ROUND((csv!$HG25/10+calc!DJ$1),1)</f>
        <v>-0.5</v>
      </c>
      <c r="DK25" s="4">
        <f>ROUND((csv!$HG25/10+calc!DK$1),1)</f>
        <v>-0.4</v>
      </c>
      <c r="DL25" s="4">
        <f>ROUND((csv!$HG25/10+calc!DL$1),1)</f>
        <v>-0.3</v>
      </c>
      <c r="DM25" s="4">
        <f>ROUND((csv!$HG25/10+calc!DM$1),1)</f>
        <v>-0.2</v>
      </c>
      <c r="DN25" s="4">
        <f>ROUND((csv!$HG25/10+calc!DN$1),1)</f>
        <v>-0.1</v>
      </c>
      <c r="DO25" s="4">
        <f>ROUND((csv!$HG25/10+calc!DO$1),1)</f>
        <v>0</v>
      </c>
      <c r="DP25" s="4">
        <f>ROUND((csv!$HG25/10+calc!DP$1),1)</f>
        <v>0.1</v>
      </c>
      <c r="DQ25" s="4">
        <f>ROUND((csv!$HG25/10+calc!DQ$1),1)</f>
        <v>0.2</v>
      </c>
      <c r="DR25" s="4">
        <f>ROUND((csv!$HG25/10+calc!DR$1),1)</f>
        <v>0.3</v>
      </c>
      <c r="DS25" s="4">
        <f>ROUND((csv!$HG25/10+calc!DS$1),1)</f>
        <v>0.4</v>
      </c>
      <c r="DT25" s="4">
        <f>ROUND((csv!$HG25/10+calc!DT$1),1)</f>
        <v>0.5</v>
      </c>
      <c r="DU25" s="4">
        <f>ROUND((csv!$HG25/10+calc!DU$1),1)</f>
        <v>0.6</v>
      </c>
      <c r="DV25" s="4">
        <f>ROUND((csv!$HG25/10+calc!DV$1),1)</f>
        <v>0.7</v>
      </c>
      <c r="DW25" s="4">
        <f>ROUND((csv!$HG25/10+calc!DW$1),1)</f>
        <v>0.8</v>
      </c>
      <c r="DX25" s="4">
        <f>ROUND((csv!$HG25/10+calc!DX$1),1)</f>
        <v>0.9</v>
      </c>
      <c r="DY25" s="4">
        <f>ROUND((csv!$HG25/10+calc!DY$1),1)</f>
        <v>1</v>
      </c>
      <c r="DZ25" s="4">
        <f>ROUND((csv!$HG25/10+calc!DZ$1),1)</f>
        <v>1.1000000000000001</v>
      </c>
      <c r="EA25" s="4">
        <f>ROUND((csv!$HG25/10+calc!EA$1),1)</f>
        <v>1.2</v>
      </c>
      <c r="EB25" s="4">
        <f>ROUND((csv!$HG25/10+calc!EB$1),1)</f>
        <v>1.3</v>
      </c>
      <c r="EC25" s="4">
        <f>ROUND((csv!$HG25/10+calc!EC$1),1)</f>
        <v>1.4</v>
      </c>
      <c r="ED25" s="4">
        <f>ROUND((csv!$HG25/10+calc!ED$1),1)</f>
        <v>1.5</v>
      </c>
      <c r="EE25" s="4">
        <f>ROUND((csv!$HG25/10+calc!EE$1),1)</f>
        <v>1.6</v>
      </c>
      <c r="EF25" s="4">
        <f>ROUND((csv!$HG25/10+calc!EF$1),1)</f>
        <v>1.7</v>
      </c>
      <c r="EG25" s="4">
        <f>ROUND((csv!$HG25/10+calc!EG$1),1)</f>
        <v>1.8</v>
      </c>
      <c r="EH25" s="4">
        <f>ROUND((csv!$HG25/10+calc!EH$1),1)</f>
        <v>1.9</v>
      </c>
      <c r="EI25" s="4">
        <f>ROUND((csv!$HG25/10+calc!EI$1),1)</f>
        <v>2</v>
      </c>
      <c r="EJ25" s="4">
        <f>ROUND((csv!$HG25/10+calc!EJ$1),1)</f>
        <v>2.1</v>
      </c>
      <c r="EK25" s="4">
        <f>ROUND((csv!$HG25/10+calc!EK$1),1)</f>
        <v>2.2000000000000002</v>
      </c>
      <c r="EL25" s="4">
        <f>ROUND((csv!$HG25/10+calc!EL$1),1)</f>
        <v>2.2999999999999998</v>
      </c>
      <c r="EM25" s="4">
        <f>ROUND((csv!$HG25/10+calc!EM$1),1)</f>
        <v>2.4</v>
      </c>
      <c r="EN25" s="4">
        <f>ROUND((csv!$HG25/10+calc!EN$1),1)</f>
        <v>2.5</v>
      </c>
      <c r="EO25" s="4">
        <f>ROUND((csv!$HG25/10+calc!EO$1),1)</f>
        <v>2.6</v>
      </c>
      <c r="EP25" s="4">
        <f>ROUND((csv!$HG25/10+calc!EP$1),1)</f>
        <v>2.7</v>
      </c>
      <c r="EQ25" s="4">
        <f>ROUND((csv!$HG25/10+calc!EQ$1),1)</f>
        <v>2.8</v>
      </c>
      <c r="ER25" s="4">
        <f>ROUND((csv!$HG25/10+calc!ER$1),1)</f>
        <v>2.9</v>
      </c>
      <c r="ES25" s="4">
        <f>ROUND((csv!$HG25/10+calc!ES$1),1)</f>
        <v>3</v>
      </c>
      <c r="ET25" s="4">
        <f>ROUND((csv!$HG25/10+calc!ET$1),1)</f>
        <v>3.1</v>
      </c>
      <c r="EU25" s="4">
        <f>ROUND((csv!$HG25/10+calc!EU$1),1)</f>
        <v>3.2</v>
      </c>
      <c r="EV25" s="4">
        <f>ROUND((csv!$HG25/10+calc!EV$1),1)</f>
        <v>3.3</v>
      </c>
      <c r="EW25" s="4">
        <f>ROUND((csv!$HG25/10+calc!EW$1),1)</f>
        <v>3.4</v>
      </c>
      <c r="EX25" s="4">
        <f>ROUND((csv!$HG25/10+calc!EX$1),1)</f>
        <v>3.5</v>
      </c>
      <c r="EY25" s="4">
        <f>ROUND((csv!$HG25/10+calc!EY$1),1)</f>
        <v>3.6</v>
      </c>
      <c r="EZ25" s="4">
        <f>ROUND((csv!$HG25/10+calc!EZ$1),1)</f>
        <v>3.7</v>
      </c>
      <c r="FA25" s="4">
        <f>ROUND((csv!$HG25/10+calc!FA$1),1)</f>
        <v>3.8</v>
      </c>
      <c r="FB25" s="4">
        <f>ROUND((csv!$HG25/10+calc!FB$1),1)</f>
        <v>3.9</v>
      </c>
      <c r="FC25" s="4">
        <f>ROUND((csv!$HG25/10+calc!FC$1),1)</f>
        <v>4</v>
      </c>
      <c r="FD25" s="4">
        <f>ROUND((csv!$HG25/10+calc!FD$1),1)</f>
        <v>4.0999999999999996</v>
      </c>
      <c r="FE25" s="4">
        <f>ROUND((csv!$HG25/10+calc!FE$1),1)</f>
        <v>4.2</v>
      </c>
      <c r="FF25" s="4">
        <f>ROUND((csv!$HG25/10+calc!FF$1),1)</f>
        <v>4.3</v>
      </c>
      <c r="FG25" s="4">
        <f>ROUND((csv!$HG25/10+calc!FG$1),1)</f>
        <v>4.4000000000000004</v>
      </c>
      <c r="FH25" s="4">
        <f>ROUND((csv!$HG25/10+calc!FH$1),1)</f>
        <v>4.5</v>
      </c>
      <c r="FI25" s="4">
        <f>ROUND((csv!$HG25/10+calc!FI$1),1)</f>
        <v>4.5999999999999996</v>
      </c>
      <c r="FJ25" s="4">
        <f>ROUND((csv!$HG25/10+calc!FJ$1),1)</f>
        <v>4.7</v>
      </c>
      <c r="FK25" s="4">
        <f>ROUND((csv!$HG25/10+calc!FK$1),1)</f>
        <v>4.8</v>
      </c>
      <c r="FL25" s="4">
        <f>ROUND((csv!$HG25/10+calc!FL$1),1)</f>
        <v>4.9000000000000004</v>
      </c>
      <c r="FM25" s="4">
        <f>ROUND((csv!$HG25/10+calc!FM$1),1)</f>
        <v>5</v>
      </c>
      <c r="FN25" s="4">
        <f>ROUND((csv!$HG25/10+calc!FN$1),1)</f>
        <v>5.0999999999999996</v>
      </c>
      <c r="FO25" s="4">
        <f>ROUND((csv!$HG25/10+calc!FO$1),1)</f>
        <v>5.2</v>
      </c>
      <c r="FP25" s="4">
        <f>ROUND((csv!$HG25/10+calc!FP$1),1)</f>
        <v>5.3</v>
      </c>
      <c r="FQ25" s="4">
        <f>ROUND((csv!$HG25/10+calc!FQ$1),1)</f>
        <v>5.4</v>
      </c>
      <c r="FR25" s="4">
        <f>ROUND((csv!$HG25/10+calc!FR$1),1)</f>
        <v>5.5</v>
      </c>
      <c r="FS25" s="4">
        <f>ROUND((csv!$HG25/10+calc!FS$1),1)</f>
        <v>5.6</v>
      </c>
      <c r="FT25" s="4">
        <f>ROUND((csv!$HG25/10+calc!FT$1),1)</f>
        <v>5.7</v>
      </c>
      <c r="FU25" s="4">
        <f>ROUND((csv!$HG25/10+calc!FU$1),1)</f>
        <v>5.8</v>
      </c>
      <c r="FV25" s="4">
        <f>ROUND((csv!$HG25/10+calc!FV$1),1)</f>
        <v>5.9</v>
      </c>
      <c r="FW25" s="4">
        <f>ROUND((csv!$HG25/10+calc!FW$1),1)</f>
        <v>6</v>
      </c>
      <c r="FX25" s="4">
        <f>ROUND((csv!$HG25/10+calc!FX$1),1)</f>
        <v>6.1</v>
      </c>
      <c r="FY25" s="4">
        <f>ROUND((csv!$HG25/10+calc!FY$1),1)</f>
        <v>6.2</v>
      </c>
      <c r="FZ25" s="4">
        <f>ROUND((csv!$HG25/10+calc!FZ$1),1)</f>
        <v>6.3</v>
      </c>
      <c r="GA25" s="4">
        <f>ROUND((csv!$HG25/10+calc!GA$1),1)</f>
        <v>6.4</v>
      </c>
      <c r="GB25" s="4">
        <f>ROUND((csv!$HG25/10+calc!GB$1),1)</f>
        <v>6.5</v>
      </c>
      <c r="GC25" s="4">
        <f>ROUND((csv!$HG25/10+calc!GC$1),1)</f>
        <v>6.6</v>
      </c>
      <c r="GD25" s="4">
        <f>ROUND((csv!$HG25/10+calc!GD$1),1)</f>
        <v>6.7</v>
      </c>
      <c r="GE25" s="4">
        <f>ROUND((csv!$HG25/10+calc!GE$1),1)</f>
        <v>6.8</v>
      </c>
      <c r="GF25" s="4">
        <f>ROUND((csv!$HG25/10+calc!GF$1),1)</f>
        <v>6.9</v>
      </c>
      <c r="GG25" s="4">
        <f>ROUND((csv!$HG25/10+calc!GG$1),1)</f>
        <v>7</v>
      </c>
      <c r="GH25" s="4">
        <f>ROUND((csv!$HG25/10+calc!GH$1),1)</f>
        <v>7.1</v>
      </c>
      <c r="GI25" s="4">
        <f>ROUND((csv!$HG25/10+calc!GI$1),1)</f>
        <v>7.2</v>
      </c>
      <c r="GJ25" s="4">
        <f>ROUND((csv!$HG25/10+calc!GJ$1),1)</f>
        <v>7.3</v>
      </c>
      <c r="GK25" s="4">
        <f>ROUND((csv!$HG25/10+calc!GK$1),1)</f>
        <v>7.4</v>
      </c>
      <c r="GL25" s="4">
        <f>ROUND((csv!$HG25/10+calc!GL$1),1)</f>
        <v>7.5</v>
      </c>
      <c r="GM25" s="4">
        <f>ROUND((csv!$HG25/10+calc!GM$1),1)</f>
        <v>7.6</v>
      </c>
      <c r="GN25" s="4">
        <f>ROUND((csv!$HG25/10+calc!GN$1),1)</f>
        <v>7.7</v>
      </c>
      <c r="GO25" s="4">
        <f>ROUND((csv!$HG25/10+calc!GO$1),1)</f>
        <v>7.8</v>
      </c>
      <c r="GP25" s="4">
        <f>ROUND((csv!$HG25/10+calc!GP$1),1)</f>
        <v>7.9</v>
      </c>
      <c r="GQ25" s="4">
        <f>ROUND((csv!$HG25/10+calc!GQ$1),1)</f>
        <v>8</v>
      </c>
      <c r="GR25" s="4">
        <f>ROUND((csv!$HG25/10+calc!GR$1),1)</f>
        <v>8.1</v>
      </c>
      <c r="GS25" s="4">
        <f>ROUND((csv!$HG25/10+calc!GS$1),1)</f>
        <v>8.1999999999999993</v>
      </c>
      <c r="GT25" s="4">
        <f>ROUND((csv!$HG25/10+calc!GT$1),1)</f>
        <v>8.3000000000000007</v>
      </c>
      <c r="GU25" s="4">
        <f>ROUND((csv!$HG25/10+calc!GU$1),1)</f>
        <v>8.4</v>
      </c>
      <c r="GV25" s="4">
        <f>ROUND((csv!$HG25/10+calc!GV$1),1)</f>
        <v>8.5</v>
      </c>
      <c r="GW25" s="4">
        <f>ROUND((csv!$HG25/10+calc!GW$1),1)</f>
        <v>8.6</v>
      </c>
      <c r="GX25" s="4">
        <f>ROUND((csv!$HG25/10+calc!GX$1),1)</f>
        <v>8.6999999999999993</v>
      </c>
      <c r="GY25" s="4">
        <f>ROUND((csv!$HG25/10+calc!GY$1),1)</f>
        <v>8.8000000000000007</v>
      </c>
      <c r="GZ25" s="4">
        <f>ROUND((csv!$HG25/10+calc!GZ$1),1)</f>
        <v>8.9</v>
      </c>
      <c r="HA25" s="4">
        <f>ROUND((csv!$HG25/10+calc!HA$1),1)</f>
        <v>9</v>
      </c>
      <c r="HB25" s="4">
        <f>ROUND((csv!$HG25/10+calc!HB$1),1)</f>
        <v>9.1</v>
      </c>
      <c r="HC25" s="4">
        <f>ROUND((csv!$HG25/10+calc!HC$1),1)</f>
        <v>9.1999999999999993</v>
      </c>
      <c r="HD25" s="4">
        <f>ROUND((csv!$HG25/10+calc!HD$1),1)</f>
        <v>9.3000000000000007</v>
      </c>
      <c r="HE25" s="4">
        <f>ROUND((csv!$HG25/10+calc!HE$1),1)</f>
        <v>9.4</v>
      </c>
      <c r="HF25" s="4">
        <f>ROUND((csv!$HG25/10+calc!HF$1),1)</f>
        <v>9.5</v>
      </c>
      <c r="HG25" s="4">
        <f>ROUND((csv!$HG25/10+calc!HG$1),1)</f>
        <v>9.6</v>
      </c>
      <c r="HH25" s="4">
        <f>ROUND((csv!$HG25/10+calc!HH$1),1)</f>
        <v>9.6999999999999993</v>
      </c>
      <c r="HI25" s="4">
        <f>ROUND((csv!$HG25/10+calc!HI$1),1)</f>
        <v>9.8000000000000007</v>
      </c>
      <c r="HJ25" s="4">
        <f>ROUND((csv!$HG25/10+calc!HJ$1),1)</f>
        <v>9.9</v>
      </c>
      <c r="HK25" s="4">
        <f>ROUND((csv!$HG25/10+calc!HK$1),1)</f>
        <v>10</v>
      </c>
      <c r="HM25" s="2">
        <f>csv!A25*10000+csv!B25*100+csv!C25</f>
        <v>0</v>
      </c>
      <c r="HN25" s="5">
        <f>IF(ISERROR(LOOKUP(HN$1,$S25:$HK25,csv!$L25:$HD25)),NA(),LOOKUP(HN$1,$S25:$HK25,csv!$L25:$HD25))</f>
        <v>0</v>
      </c>
      <c r="HO25" s="5">
        <f>IF(ISERROR(LOOKUP(HO$1,$S25:$HK25,csv!$L25:$HD25)),NA(),LOOKUP(HO$1,$S25:$HK25,csv!$L25:$HD25))</f>
        <v>0</v>
      </c>
      <c r="HP25" s="5">
        <f>IF(ISERROR(LOOKUP(HP$1,$S25:$HK25,csv!$L25:$HD25)),NA(),LOOKUP(HP$1,$S25:$HK25,csv!$L25:$HD25))</f>
        <v>0</v>
      </c>
      <c r="HQ25" s="5">
        <f>IF(ISERROR(LOOKUP(HQ$1,$S25:$HK25,csv!$L25:$HD25)),NA(),LOOKUP(HQ$1,$S25:$HK25,csv!$L25:$HD25))</f>
        <v>0</v>
      </c>
      <c r="HR25" s="5">
        <f>IF(ISERROR(LOOKUP(HR$1,$S25:$HK25,csv!$L25:$HD25)),NA(),LOOKUP(HR$1,$S25:$HK25,csv!$L25:$HD25))</f>
        <v>0</v>
      </c>
      <c r="HS25" s="5">
        <f>IF(ISERROR(LOOKUP(HS$1,$S25:$HK25,csv!$L25:$HD25)),NA(),LOOKUP(HS$1,$S25:$HK25,csv!$L25:$HD25))</f>
        <v>0</v>
      </c>
      <c r="HT25" s="5">
        <f>IF(ISERROR(LOOKUP(HT$1,$S25:$HK25,csv!$L25:$HD25)),NA(),LOOKUP(HT$1,$S25:$HK25,csv!$L25:$HD25))</f>
        <v>0</v>
      </c>
      <c r="HU25" s="5">
        <f>IF(ISERROR(LOOKUP(HU$1,$S25:$HK25,csv!$L25:$HD25)),NA(),LOOKUP(HU$1,$S25:$HK25,csv!$L25:$HD25))</f>
        <v>0</v>
      </c>
      <c r="HV25" s="5">
        <f>IF(ISERROR(LOOKUP(HV$1,$S25:$HK25,csv!$L25:$HD25)),NA(),LOOKUP(HV$1,$S25:$HK25,csv!$L25:$HD25))</f>
        <v>0</v>
      </c>
      <c r="HW25" s="5">
        <f>IF(ISERROR(LOOKUP(HW$1,$S25:$HK25,csv!$L25:$HD25)),NA(),LOOKUP(HW$1,$S25:$HK25,csv!$L25:$HD25))</f>
        <v>0</v>
      </c>
      <c r="HX25" s="5">
        <f>IF(ISERROR(LOOKUP(HX$1,$S25:$HK25,csv!$L25:$HD25)),NA(),LOOKUP(HX$1,$S25:$HK25,csv!$L25:$HD25))</f>
        <v>0</v>
      </c>
      <c r="HY25" s="5">
        <f>IF(ISERROR(LOOKUP(HY$1,$S25:$HK25,csv!$L25:$HD25)),NA(),LOOKUP(HY$1,$S25:$HK25,csv!$L25:$HD25))</f>
        <v>0</v>
      </c>
      <c r="HZ25" s="5">
        <f>IF(ISERROR(LOOKUP(HZ$1,$S25:$HK25,csv!$L25:$HD25)),NA(),LOOKUP(HZ$1,$S25:$HK25,csv!$L25:$HD25))</f>
        <v>0</v>
      </c>
      <c r="IA25" s="5">
        <f>IF(ISERROR(LOOKUP(IA$1,$S25:$HK25,csv!$L25:$HD25)),NA(),LOOKUP(IA$1,$S25:$HK25,csv!$L25:$HD25))</f>
        <v>0</v>
      </c>
      <c r="IB25" s="5">
        <f>IF(ISERROR(LOOKUP(IB$1,$S25:$HK25,csv!$L25:$HD25)),NA(),LOOKUP(IB$1,$S25:$HK25,csv!$L25:$HD25))</f>
        <v>0</v>
      </c>
      <c r="IC25" s="5">
        <f>IF(ISERROR(LOOKUP(IC$1,$S25:$HK25,csv!$L25:$HD25)),NA(),LOOKUP(IC$1,$S25:$HK25,csv!$L25:$HD25))</f>
        <v>0</v>
      </c>
      <c r="ID25" s="5">
        <f>IF(ISERROR(LOOKUP(ID$1,$S25:$HK25,csv!$L25:$HD25)),NA(),LOOKUP(ID$1,$S25:$HK25,csv!$L25:$HD25))</f>
        <v>0</v>
      </c>
      <c r="IE25" s="5">
        <f>IF(ISERROR(LOOKUP(IE$1,$S25:$HK25,csv!$L25:$HD25)),NA(),LOOKUP(IE$1,$S25:$HK25,csv!$L25:$HD25))</f>
        <v>0</v>
      </c>
      <c r="IF25" s="5">
        <f>IF(ISERROR(LOOKUP(IF$1,$S25:$HK25,csv!$L25:$HD25)),NA(),LOOKUP(IF$1,$S25:$HK25,csv!$L25:$HD25))</f>
        <v>0</v>
      </c>
      <c r="IG25" s="5">
        <f>IF(ISERROR(LOOKUP(IG$1,$S25:$HK25,csv!$L25:$HD25)),NA(),LOOKUP(IG$1,$S25:$HK25,csv!$L25:$HD25))</f>
        <v>0</v>
      </c>
      <c r="IH25" s="5">
        <f>IF(ISERROR(LOOKUP(IH$1,$S25:$HK25,csv!$L25:$HD25)),NA(),LOOKUP(IH$1,$S25:$HK25,csv!$L25:$HD25))</f>
        <v>0</v>
      </c>
      <c r="II25" s="5">
        <f>IF(ISERROR(LOOKUP(II$1,$S25:$HK25,csv!$L25:$HD25)),NA(),LOOKUP(II$1,$S25:$HK25,csv!$L25:$HD25))</f>
        <v>0</v>
      </c>
      <c r="IJ25" s="5">
        <f>IF(ISERROR(LOOKUP(IJ$1,$S25:$HK25,csv!$L25:$HD25)),NA(),LOOKUP(IJ$1,$S25:$HK25,csv!$L25:$HD25))</f>
        <v>0</v>
      </c>
      <c r="IK25" s="5">
        <f>IF(ISERROR(LOOKUP(IK$1,$S25:$HK25,csv!$L25:$HD25)),NA(),LOOKUP(IK$1,$S25:$HK25,csv!$L25:$HD25))</f>
        <v>0</v>
      </c>
      <c r="IL25" s="5">
        <f>IF(ISERROR(LOOKUP(IL$1,$S25:$HK25,csv!$L25:$HD25)),NA(),LOOKUP(IL$1,$S25:$HK25,csv!$L25:$HD25))</f>
        <v>0</v>
      </c>
      <c r="IM25" s="5">
        <f>IF(ISERROR(LOOKUP(IM$1,$S25:$HK25,csv!$L25:$HD25)),NA(),LOOKUP(IM$1,$S25:$HK25,csv!$L25:$HD25))</f>
        <v>0</v>
      </c>
      <c r="IN25" s="5">
        <f>IF(ISERROR(LOOKUP(IN$1,$S25:$HK25,csv!$L25:$HD25)),NA(),LOOKUP(IN$1,$S25:$HK25,csv!$L25:$HD25))</f>
        <v>0</v>
      </c>
      <c r="IO25" s="5">
        <f>IF(ISERROR(LOOKUP(IO$1,$S25:$HK25,csv!$L25:$HD25)),NA(),LOOKUP(IO$1,$S25:$HK25,csv!$L25:$HD25))</f>
        <v>0</v>
      </c>
      <c r="IP25" s="5">
        <f>IF(ISERROR(LOOKUP(IP$1,$S25:$HK25,csv!$L25:$HD25)),NA(),LOOKUP(IP$1,$S25:$HK25,csv!$L25:$HD25))</f>
        <v>0</v>
      </c>
      <c r="IQ25" s="5">
        <f>IF(ISERROR(LOOKUP(IQ$1,$S25:$HK25,csv!$L25:$HD25)),NA(),LOOKUP(IQ$1,$S25:$HK25,csv!$L25:$HD25))</f>
        <v>0</v>
      </c>
      <c r="IR25" s="5">
        <f>IF(ISERROR(LOOKUP(IR$1,$S25:$HK25,csv!$L25:$HD25)),NA(),LOOKUP(IR$1,$S25:$HK25,csv!$L25:$HD25))</f>
        <v>0</v>
      </c>
      <c r="IS25" s="5">
        <f>IF(ISERROR(LOOKUP(IS$1,$S25:$HK25,csv!$L25:$HD25)),NA(),LOOKUP(IS$1,$S25:$HK25,csv!$L25:$HD25))</f>
        <v>0</v>
      </c>
      <c r="IT25" s="5">
        <f>IF(ISERROR(LOOKUP(IT$1,$S25:$HK25,csv!$L25:$HD25)),NA(),LOOKUP(IT$1,$S25:$HK25,csv!$L25:$HD25))</f>
        <v>0</v>
      </c>
      <c r="IU25" s="5">
        <f>IF(ISERROR(LOOKUP(IU$1,$S25:$HK25,csv!$L25:$HD25)),NA(),LOOKUP(IU$1,$S25:$HK25,csv!$L25:$HD25))</f>
        <v>0</v>
      </c>
      <c r="IV25" s="5">
        <f>IF(ISERROR(LOOKUP(IV$1,$S25:$HK25,csv!$L25:$HD25)),NA(),LOOKUP(IV$1,$S25:$HK25,csv!$L25:$HD25))</f>
        <v>0</v>
      </c>
      <c r="IW25" s="5">
        <f>IF(ISERROR(LOOKUP(IW$1,$S25:$HK25,csv!$L25:$HD25)),NA(),LOOKUP(IW$1,$S25:$HK25,csv!$L25:$HD25))</f>
        <v>0</v>
      </c>
      <c r="IX25" s="5">
        <f>IF(ISERROR(LOOKUP(IX$1,$S25:$HK25,csv!$L25:$HD25)),NA(),LOOKUP(IX$1,$S25:$HK25,csv!$L25:$HD25))</f>
        <v>0</v>
      </c>
      <c r="IY25" s="5">
        <f>IF(ISERROR(LOOKUP(IY$1,$S25:$HK25,csv!$L25:$HD25)),NA(),LOOKUP(IY$1,$S25:$HK25,csv!$L25:$HD25))</f>
        <v>0</v>
      </c>
      <c r="IZ25" s="5">
        <f>IF(ISERROR(LOOKUP(IZ$1,$S25:$HK25,csv!$L25:$HD25)),NA(),LOOKUP(IZ$1,$S25:$HK25,csv!$L25:$HD25))</f>
        <v>0</v>
      </c>
      <c r="JA25" s="5">
        <f>IF(ISERROR(LOOKUP(JA$1,$S25:$HK25,csv!$L25:$HD25)),NA(),LOOKUP(JA$1,$S25:$HK25,csv!$L25:$HD25))</f>
        <v>0</v>
      </c>
      <c r="JB25" s="5">
        <f>IF(ISERROR(LOOKUP(JB$1,$S25:$HK25,csv!$L25:$HD25)),NA(),LOOKUP(JB$1,$S25:$HK25,csv!$L25:$HD25))</f>
        <v>0</v>
      </c>
      <c r="JC25" s="5">
        <f>IF(ISERROR(LOOKUP(JC$1,$S25:$HK25,csv!$L25:$HD25)),NA(),LOOKUP(JC$1,$S25:$HK25,csv!$L25:$HD25))</f>
        <v>0</v>
      </c>
      <c r="JD25" s="5">
        <f>IF(ISERROR(LOOKUP(JD$1,$S25:$HK25,csv!$L25:$HD25)),NA(),LOOKUP(JD$1,$S25:$HK25,csv!$L25:$HD25))</f>
        <v>0</v>
      </c>
      <c r="JE25" s="5">
        <f>IF(ISERROR(LOOKUP(JE$1,$S25:$HK25,csv!$L25:$HD25)),NA(),LOOKUP(JE$1,$S25:$HK25,csv!$L25:$HD25))</f>
        <v>0</v>
      </c>
      <c r="JF25" s="5">
        <f>IF(ISERROR(LOOKUP(JF$1,$S25:$HK25,csv!$L25:$HD25)),NA(),LOOKUP(JF$1,$S25:$HK25,csv!$L25:$HD25))</f>
        <v>0</v>
      </c>
      <c r="JG25" s="5">
        <f>IF(ISERROR(LOOKUP(JG$1,$S25:$HK25,csv!$L25:$HD25)),NA(),LOOKUP(JG$1,$S25:$HK25,csv!$L25:$HD25))</f>
        <v>0</v>
      </c>
      <c r="JH25" s="5">
        <f>IF(ISERROR(LOOKUP(JH$1,$S25:$HK25,csv!$L25:$HD25)),NA(),LOOKUP(JH$1,$S25:$HK25,csv!$L25:$HD25))</f>
        <v>0</v>
      </c>
      <c r="JI25" s="5">
        <f>IF(ISERROR(LOOKUP(JI$1,$S25:$HK25,csv!$L25:$HD25)),NA(),LOOKUP(JI$1,$S25:$HK25,csv!$L25:$HD25))</f>
        <v>0</v>
      </c>
      <c r="JJ25" s="5">
        <f>IF(ISERROR(LOOKUP(JJ$1,$S25:$HK25,csv!$L25:$HD25)),NA(),LOOKUP(JJ$1,$S25:$HK25,csv!$L25:$HD25))</f>
        <v>0</v>
      </c>
      <c r="JK25" s="5">
        <f>IF(ISERROR(LOOKUP(JK$1,$S25:$HK25,csv!$L25:$HD25)),NA(),LOOKUP(JK$1,$S25:$HK25,csv!$L25:$HD25))</f>
        <v>0</v>
      </c>
      <c r="JL25" s="5">
        <f>IF(ISERROR(LOOKUP(JL$1,$S25:$HK25,csv!$L25:$HD25)),NA(),LOOKUP(JL$1,$S25:$HK25,csv!$L25:$HD25))</f>
        <v>0</v>
      </c>
      <c r="JM25" s="5">
        <f>IF(ISERROR(LOOKUP(JM$1,$S25:$HK25,csv!$L25:$HD25)),NA(),LOOKUP(JM$1,$S25:$HK25,csv!$L25:$HD25))</f>
        <v>0</v>
      </c>
      <c r="JN25" s="5">
        <f>IF(ISERROR(LOOKUP(JN$1,$S25:$HK25,csv!$L25:$HD25)),NA(),LOOKUP(JN$1,$S25:$HK25,csv!$L25:$HD25))</f>
        <v>0</v>
      </c>
      <c r="JO25" s="5">
        <f>IF(ISERROR(LOOKUP(JO$1,$S25:$HK25,csv!$L25:$HD25)),NA(),LOOKUP(JO$1,$S25:$HK25,csv!$L25:$HD25))</f>
        <v>0</v>
      </c>
      <c r="JP25" s="5">
        <f>IF(ISERROR(LOOKUP(JP$1,$S25:$HK25,csv!$L25:$HD25)),NA(),LOOKUP(JP$1,$S25:$HK25,csv!$L25:$HD25))</f>
        <v>0</v>
      </c>
      <c r="JQ25" s="5">
        <f>IF(ISERROR(LOOKUP(JQ$1,$S25:$HK25,csv!$L25:$HD25)),NA(),LOOKUP(JQ$1,$S25:$HK25,csv!$L25:$HD25))</f>
        <v>0</v>
      </c>
      <c r="JR25" s="5">
        <f>IF(ISERROR(LOOKUP(JR$1,$S25:$HK25,csv!$L25:$HD25)),NA(),LOOKUP(JR$1,$S25:$HK25,csv!$L25:$HD25))</f>
        <v>0</v>
      </c>
      <c r="JS25" s="5">
        <f>IF(ISERROR(LOOKUP(JS$1,$S25:$HK25,csv!$L25:$HD25)),NA(),LOOKUP(JS$1,$S25:$HK25,csv!$L25:$HD25))</f>
        <v>0</v>
      </c>
      <c r="JT25" s="5">
        <f>IF(ISERROR(LOOKUP(JT$1,$S25:$HK25,csv!$L25:$HD25)),NA(),LOOKUP(JT$1,$S25:$HK25,csv!$L25:$HD25))</f>
        <v>0</v>
      </c>
      <c r="JU25" s="5">
        <f>IF(ISERROR(LOOKUP(JU$1,$S25:$HK25,csv!$L25:$HD25)),NA(),LOOKUP(JU$1,$S25:$HK25,csv!$L25:$HD25))</f>
        <v>0</v>
      </c>
      <c r="JV25" s="5">
        <f>IF(ISERROR(LOOKUP(JV$1,$S25:$HK25,csv!$L25:$HD25)),NA(),LOOKUP(JV$1,$S25:$HK25,csv!$L25:$HD25))</f>
        <v>0</v>
      </c>
      <c r="JW25" s="5">
        <f>IF(ISERROR(LOOKUP(JW$1,$S25:$HK25,csv!$L25:$HD25)),NA(),LOOKUP(JW$1,$S25:$HK25,csv!$L25:$HD25))</f>
        <v>0</v>
      </c>
      <c r="JX25" s="5">
        <f>IF(ISERROR(LOOKUP(JX$1,$S25:$HK25,csv!$L25:$HD25)),NA(),LOOKUP(JX$1,$S25:$HK25,csv!$L25:$HD25))</f>
        <v>0</v>
      </c>
      <c r="JY25" s="5">
        <f>IF(ISERROR(LOOKUP(JY$1,$S25:$HK25,csv!$L25:$HD25)),NA(),LOOKUP(JY$1,$S25:$HK25,csv!$L25:$HD25))</f>
        <v>0</v>
      </c>
      <c r="JZ25" s="5">
        <f>IF(ISERROR(LOOKUP(JZ$1,$S25:$HK25,csv!$L25:$HD25)),NA(),LOOKUP(JZ$1,$S25:$HK25,csv!$L25:$HD25))</f>
        <v>0</v>
      </c>
      <c r="KA25" s="5">
        <f>IF(ISERROR(LOOKUP(KA$1,$S25:$HK25,csv!$L25:$HD25)),NA(),LOOKUP(KA$1,$S25:$HK25,csv!$L25:$HD25))</f>
        <v>0</v>
      </c>
      <c r="KB25" s="5">
        <f>IF(ISERROR(LOOKUP(KB$1,$S25:$HK25,csv!$L25:$HD25)),NA(),LOOKUP(KB$1,$S25:$HK25,csv!$L25:$HD25))</f>
        <v>0</v>
      </c>
      <c r="KC25" s="5">
        <f>IF(ISERROR(LOOKUP(KC$1,$S25:$HK25,csv!$L25:$HD25)),NA(),LOOKUP(KC$1,$S25:$HK25,csv!$L25:$HD25))</f>
        <v>0</v>
      </c>
      <c r="KD25" s="5">
        <f>IF(ISERROR(LOOKUP(KD$1,$S25:$HK25,csv!$L25:$HD25)),NA(),LOOKUP(KD$1,$S25:$HK25,csv!$L25:$HD25))</f>
        <v>0</v>
      </c>
      <c r="KE25" s="5">
        <f>IF(ISERROR(LOOKUP(KE$1,$S25:$HK25,csv!$L25:$HD25)),NA(),LOOKUP(KE$1,$S25:$HK25,csv!$L25:$HD25))</f>
        <v>0</v>
      </c>
      <c r="KF25" s="5">
        <f>IF(ISERROR(LOOKUP(KF$1,$S25:$HK25,csv!$L25:$HD25)),NA(),LOOKUP(KF$1,$S25:$HK25,csv!$L25:$HD25))</f>
        <v>0</v>
      </c>
      <c r="KG25" s="5">
        <f>IF(ISERROR(LOOKUP(KG$1,$S25:$HK25,csv!$L25:$HD25)),NA(),LOOKUP(KG$1,$S25:$HK25,csv!$L25:$HD25))</f>
        <v>0</v>
      </c>
      <c r="KH25" s="5">
        <f>IF(ISERROR(LOOKUP(KH$1,$S25:$HK25,csv!$L25:$HD25)),NA(),LOOKUP(KH$1,$S25:$HK25,csv!$L25:$HD25))</f>
        <v>0</v>
      </c>
      <c r="KI25" s="5">
        <f>IF(ISERROR(LOOKUP(KI$1,$S25:$HK25,csv!$L25:$HD25)),NA(),LOOKUP(KI$1,$S25:$HK25,csv!$L25:$HD25))</f>
        <v>0</v>
      </c>
      <c r="KJ25" s="5">
        <f>IF(ISERROR(LOOKUP(KJ$1,$S25:$HK25,csv!$L25:$HD25)),NA(),LOOKUP(KJ$1,$S25:$HK25,csv!$L25:$HD25))</f>
        <v>0</v>
      </c>
      <c r="KK25" s="5">
        <f>IF(ISERROR(LOOKUP(KK$1,$S25:$HK25,csv!$L25:$HD25)),NA(),LOOKUP(KK$1,$S25:$HK25,csv!$L25:$HD25))</f>
        <v>0</v>
      </c>
      <c r="KL25" s="5">
        <f>IF(ISERROR(LOOKUP(KL$1,$S25:$HK25,csv!$L25:$HD25)),NA(),LOOKUP(KL$1,$S25:$HK25,csv!$L25:$HD25))</f>
        <v>0</v>
      </c>
      <c r="KM25" s="5">
        <f>IF(ISERROR(LOOKUP(KM$1,$S25:$HK25,csv!$L25:$HD25)),NA(),LOOKUP(KM$1,$S25:$HK25,csv!$L25:$HD25))</f>
        <v>0</v>
      </c>
      <c r="KN25" s="5">
        <f>IF(ISERROR(LOOKUP(KN$1,$S25:$HK25,csv!$L25:$HD25)),NA(),LOOKUP(KN$1,$S25:$HK25,csv!$L25:$HD25))</f>
        <v>0</v>
      </c>
      <c r="KO25" s="5">
        <f>IF(ISERROR(LOOKUP(KO$1,$S25:$HK25,csv!$L25:$HD25)),NA(),LOOKUP(KO$1,$S25:$HK25,csv!$L25:$HD25))</f>
        <v>0</v>
      </c>
      <c r="KP25" s="5">
        <f>IF(ISERROR(LOOKUP(KP$1,$S25:$HK25,csv!$L25:$HD25)),NA(),LOOKUP(KP$1,$S25:$HK25,csv!$L25:$HD25))</f>
        <v>0</v>
      </c>
      <c r="KQ25" s="5">
        <f>IF(ISERROR(LOOKUP(KQ$1,$S25:$HK25,csv!$L25:$HD25)),NA(),LOOKUP(KQ$1,$S25:$HK25,csv!$L25:$HD25))</f>
        <v>0</v>
      </c>
      <c r="KR25" s="5">
        <f>IF(ISERROR(LOOKUP(KR$1,$S25:$HK25,csv!$L25:$HD25)),NA(),LOOKUP(KR$1,$S25:$HK25,csv!$L25:$HD25))</f>
        <v>0</v>
      </c>
      <c r="KS25" s="5">
        <f>IF(ISERROR(LOOKUP(KS$1,$S25:$HK25,csv!$L25:$HD25)),NA(),LOOKUP(KS$1,$S25:$HK25,csv!$L25:$HD25))</f>
        <v>0</v>
      </c>
      <c r="KT25" s="5">
        <f>IF(ISERROR(LOOKUP(KT$1,$S25:$HK25,csv!$L25:$HD25)),NA(),LOOKUP(KT$1,$S25:$HK25,csv!$L25:$HD25))</f>
        <v>0</v>
      </c>
      <c r="KU25" s="5">
        <f>IF(ISERROR(LOOKUP(KU$1,$S25:$HK25,csv!$L25:$HD25)),NA(),LOOKUP(KU$1,$S25:$HK25,csv!$L25:$HD25))</f>
        <v>0</v>
      </c>
      <c r="KV25" s="5">
        <f>IF(ISERROR(LOOKUP(KV$1,$S25:$HK25,csv!$L25:$HD25)),NA(),LOOKUP(KV$1,$S25:$HK25,csv!$L25:$HD25))</f>
        <v>0</v>
      </c>
      <c r="KW25" s="5">
        <f>IF(ISERROR(LOOKUP(KW$1,$S25:$HK25,csv!$L25:$HD25)),NA(),LOOKUP(KW$1,$S25:$HK25,csv!$L25:$HD25))</f>
        <v>0</v>
      </c>
      <c r="KX25" s="5">
        <f>IF(ISERROR(LOOKUP(KX$1,$S25:$HK25,csv!$L25:$HD25)),NA(),LOOKUP(KX$1,$S25:$HK25,csv!$L25:$HD25))</f>
        <v>0</v>
      </c>
      <c r="KY25" s="5">
        <f>IF(ISERROR(LOOKUP(KY$1,$S25:$HK25,csv!$L25:$HD25)),NA(),LOOKUP(KY$1,$S25:$HK25,csv!$L25:$HD25))</f>
        <v>0</v>
      </c>
      <c r="KZ25" s="5">
        <f>IF(ISERROR(LOOKUP(KZ$1,$S25:$HK25,csv!$L25:$HD25)),NA(),LOOKUP(KZ$1,$S25:$HK25,csv!$L25:$HD25))</f>
        <v>0</v>
      </c>
      <c r="LA25" s="5">
        <f>IF(ISERROR(LOOKUP(LA$1,$S25:$HK25,csv!$L25:$HD25)),NA(),LOOKUP(LA$1,$S25:$HK25,csv!$L25:$HD25))</f>
        <v>0</v>
      </c>
      <c r="LB25" s="5">
        <f>IF(ISERROR(LOOKUP(LB$1,$S25:$HK25,csv!$L25:$HD25)),NA(),LOOKUP(LB$1,$S25:$HK25,csv!$L25:$HD25))</f>
        <v>0</v>
      </c>
      <c r="LC25" s="5">
        <f>IF(ISERROR(LOOKUP(LC$1,$S25:$HK25,csv!$L25:$HD25)),NA(),LOOKUP(LC$1,$S25:$HK25,csv!$L25:$HD25))</f>
        <v>0</v>
      </c>
      <c r="LD25" s="5">
        <f>IF(ISERROR(LOOKUP(LD$1,$S25:$HK25,csv!$L25:$HD25)),NA(),LOOKUP(LD$1,$S25:$HK25,csv!$L25:$HD25))</f>
        <v>0</v>
      </c>
      <c r="LE25" s="5">
        <f>IF(ISERROR(LOOKUP(LE$1,$S25:$HK25,csv!$L25:$HD25)),NA(),LOOKUP(LE$1,$S25:$HK25,csv!$L25:$HD25))</f>
        <v>0</v>
      </c>
      <c r="LF25" s="5">
        <f>IF(ISERROR(LOOKUP(LF$1,$S25:$HK25,csv!$L25:$HD25)),NA(),LOOKUP(LF$1,$S25:$HK25,csv!$L25:$HD25))</f>
        <v>0</v>
      </c>
      <c r="LG25" s="5">
        <f>IF(ISERROR(LOOKUP(LG$1,$S25:$HK25,csv!$L25:$HD25)),NA(),LOOKUP(LG$1,$S25:$HK25,csv!$L25:$HD25))</f>
        <v>0</v>
      </c>
      <c r="LH25" s="5">
        <f>IF(ISERROR(LOOKUP(LH$1,$S25:$HK25,csv!$L25:$HD25)),NA(),LOOKUP(LH$1,$S25:$HK25,csv!$L25:$HD25))</f>
        <v>0</v>
      </c>
      <c r="LI25" s="5">
        <f>IF(ISERROR(LOOKUP(LI$1,$S25:$HK25,csv!$L25:$HD25)),NA(),LOOKUP(LI$1,$S25:$HK25,csv!$L25:$HD25))</f>
        <v>0</v>
      </c>
      <c r="LJ25" s="5">
        <f>IF(ISERROR(LOOKUP(LJ$1,$S25:$HK25,csv!$L25:$HD25)),NA(),LOOKUP(LJ$1,$S25:$HK25,csv!$L25:$HD25))</f>
        <v>0</v>
      </c>
      <c r="LK25" s="5">
        <f>IF(ISERROR(LOOKUP(LK$1,$S25:$HK25,csv!$L25:$HD25)),NA(),LOOKUP(LK$1,$S25:$HK25,csv!$L25:$HD25))</f>
        <v>0</v>
      </c>
      <c r="LL25" s="5">
        <f>IF(ISERROR(LOOKUP(LL$1,$S25:$HK25,csv!$L25:$HD25)),NA(),LOOKUP(LL$1,$S25:$HK25,csv!$L25:$HD25))</f>
        <v>0</v>
      </c>
      <c r="LM25" s="5">
        <f>IF(ISERROR(LOOKUP(LM$1,$S25:$HK25,csv!$L25:$HD25)),NA(),LOOKUP(LM$1,$S25:$HK25,csv!$L25:$HD25))</f>
        <v>0</v>
      </c>
      <c r="LN25" s="5">
        <f>IF(ISERROR(LOOKUP(LN$1,$S25:$HK25,csv!$L25:$HD25)),NA(),LOOKUP(LN$1,$S25:$HK25,csv!$L25:$HD25))</f>
        <v>0</v>
      </c>
      <c r="LO25" s="5">
        <f>IF(ISERROR(LOOKUP(LO$1,$S25:$HK25,csv!$L25:$HD25)),NA(),LOOKUP(LO$1,$S25:$HK25,csv!$L25:$HD25))</f>
        <v>0</v>
      </c>
      <c r="LP25" s="5">
        <f>IF(ISERROR(LOOKUP(LP$1,$S25:$HK25,csv!$L25:$HD25)),NA(),LOOKUP(LP$1,$S25:$HK25,csv!$L25:$HD25))</f>
        <v>0</v>
      </c>
      <c r="LQ25" s="5">
        <f>IF(ISERROR(LOOKUP(LQ$1,$S25:$HK25,csv!$L25:$HD25)),NA(),LOOKUP(LQ$1,$S25:$HK25,csv!$L25:$HD25))</f>
        <v>0</v>
      </c>
      <c r="LR25" s="5">
        <f>IF(ISERROR(LOOKUP(LR$1,$S25:$HK25,csv!$L25:$HD25)),NA(),LOOKUP(LR$1,$S25:$HK25,csv!$L25:$HD25))</f>
        <v>0</v>
      </c>
      <c r="LS25" s="5">
        <f>IF(ISERROR(LOOKUP(LS$1,$S25:$HK25,csv!$L25:$HD25)),NA(),LOOKUP(LS$1,$S25:$HK25,csv!$L25:$HD25))</f>
        <v>0</v>
      </c>
      <c r="LT25" s="5">
        <f>IF(ISERROR(LOOKUP(LT$1,$S25:$HK25,csv!$L25:$HD25)),NA(),LOOKUP(LT$1,$S25:$HK25,csv!$L25:$HD25))</f>
        <v>0</v>
      </c>
      <c r="LU25" s="5">
        <f>IF(ISERROR(LOOKUP(LU$1,$S25:$HK25,csv!$L25:$HD25)),NA(),LOOKUP(LU$1,$S25:$HK25,csv!$L25:$HD25))</f>
        <v>0</v>
      </c>
      <c r="LV25" s="5">
        <f>IF(ISERROR(LOOKUP(LV$1,$S25:$HK25,csv!$L25:$HD25)),NA(),LOOKUP(LV$1,$S25:$HK25,csv!$L25:$HD25))</f>
        <v>0</v>
      </c>
      <c r="LW25" s="5">
        <f>IF(ISERROR(LOOKUP(LW$1,$S25:$HK25,csv!$L25:$HD25)),NA(),LOOKUP(LW$1,$S25:$HK25,csv!$L25:$HD25))</f>
        <v>0</v>
      </c>
      <c r="LX25" s="5">
        <f>IF(ISERROR(LOOKUP(LX$1,$S25:$HK25,csv!$L25:$HD25)),NA(),LOOKUP(LX$1,$S25:$HK25,csv!$L25:$HD25))</f>
        <v>0</v>
      </c>
      <c r="LY25" s="5">
        <f>IF(ISERROR(LOOKUP(LY$1,$S25:$HK25,csv!$L25:$HD25)),NA(),LOOKUP(LY$1,$S25:$HK25,csv!$L25:$HD25))</f>
        <v>0</v>
      </c>
      <c r="LZ25" s="5">
        <f>IF(ISERROR(LOOKUP(LZ$1,$S25:$HK25,csv!$L25:$HD25)),NA(),LOOKUP(LZ$1,$S25:$HK25,csv!$L25:$HD25))</f>
        <v>0</v>
      </c>
      <c r="MA25" s="5">
        <f>IF(ISERROR(LOOKUP(MA$1,$S25:$HK25,csv!$L25:$HD25)),NA(),LOOKUP(MA$1,$S25:$HK25,csv!$L25:$HD25))</f>
        <v>0</v>
      </c>
      <c r="MB25" s="5">
        <f>IF(ISERROR(LOOKUP(MB$1,$S25:$HK25,csv!$L25:$HD25)),NA(),LOOKUP(MB$1,$S25:$HK25,csv!$L25:$HD25))</f>
        <v>0</v>
      </c>
      <c r="MC25" s="5">
        <f>IF(ISERROR(LOOKUP(MC$1,$S25:$HK25,csv!$L25:$HD25)),NA(),LOOKUP(MC$1,$S25:$HK25,csv!$L25:$HD25))</f>
        <v>0</v>
      </c>
      <c r="MD25" s="5">
        <f>IF(ISERROR(LOOKUP(MD$1,$S25:$HK25,csv!$L25:$HD25)),NA(),LOOKUP(MD$1,$S25:$HK25,csv!$L25:$HD25))</f>
        <v>0</v>
      </c>
      <c r="ME25" s="5">
        <f>IF(ISERROR(LOOKUP(ME$1,$S25:$HK25,csv!$L25:$HD25)),NA(),LOOKUP(ME$1,$S25:$HK25,csv!$L25:$HD25))</f>
        <v>0</v>
      </c>
      <c r="MF25" s="5">
        <f>IF(ISERROR(LOOKUP(MF$1,$S25:$HK25,csv!$L25:$HD25)),NA(),LOOKUP(MF$1,$S25:$HK25,csv!$L25:$HD25))</f>
        <v>0</v>
      </c>
      <c r="MG25" s="5">
        <f>IF(ISERROR(LOOKUP(MG$1,$S25:$HK25,csv!$L25:$HD25)),NA(),LOOKUP(MG$1,$S25:$HK25,csv!$L25:$HD25))</f>
        <v>0</v>
      </c>
      <c r="MH25" s="5">
        <f>IF(ISERROR(LOOKUP(MH$1,$S25:$HK25,csv!$L25:$HD25)),NA(),LOOKUP(MH$1,$S25:$HK25,csv!$L25:$HD25))</f>
        <v>0</v>
      </c>
      <c r="MI25" s="5">
        <f>IF(ISERROR(LOOKUP(MI$1,$S25:$HK25,csv!$L25:$HD25)),NA(),LOOKUP(MI$1,$S25:$HK25,csv!$L25:$HD25))</f>
        <v>0</v>
      </c>
      <c r="MJ25" s="5">
        <f>IF(ISERROR(LOOKUP(MJ$1,$S25:$HK25,csv!$L25:$HD25)),NA(),LOOKUP(MJ$1,$S25:$HK25,csv!$L25:$HD25))</f>
        <v>0</v>
      </c>
      <c r="MK25" s="5">
        <f>IF(ISERROR(LOOKUP(MK$1,$S25:$HK25,csv!$L25:$HD25)),NA(),LOOKUP(MK$1,$S25:$HK25,csv!$L25:$HD25))</f>
        <v>0</v>
      </c>
      <c r="ML25" s="5">
        <f>IF(ISERROR(LOOKUP(ML$1,$S25:$HK25,csv!$L25:$HD25)),NA(),LOOKUP(ML$1,$S25:$HK25,csv!$L25:$HD25))</f>
        <v>0</v>
      </c>
      <c r="MM25" s="5">
        <f>IF(ISERROR(LOOKUP(MM$1,$S25:$HK25,csv!$L25:$HD25)),NA(),LOOKUP(MM$1,$S25:$HK25,csv!$L25:$HD25))</f>
        <v>0</v>
      </c>
      <c r="MN25" s="5">
        <f>IF(ISERROR(LOOKUP(MN$1,$S25:$HK25,csv!$L25:$HD25)),NA(),LOOKUP(MN$1,$S25:$HK25,csv!$L25:$HD25))</f>
        <v>0</v>
      </c>
      <c r="MO25" s="5">
        <f>IF(ISERROR(LOOKUP(MO$1,$S25:$HK25,csv!$L25:$HD25)),NA(),LOOKUP(MO$1,$S25:$HK25,csv!$L25:$HD25))</f>
        <v>0</v>
      </c>
      <c r="MP25" s="5">
        <f>IF(ISERROR(LOOKUP(MP$1,$S25:$HK25,csv!$L25:$HD25)),NA(),LOOKUP(MP$1,$S25:$HK25,csv!$L25:$HD25))</f>
        <v>0</v>
      </c>
      <c r="MQ25" s="5">
        <f>IF(ISERROR(LOOKUP(MQ$1,$S25:$HK25,csv!$L25:$HD25)),NA(),LOOKUP(MQ$1,$S25:$HK25,csv!$L25:$HD25))</f>
        <v>0</v>
      </c>
      <c r="MR25" s="5">
        <f>IF(ISERROR(LOOKUP(MR$1,$S25:$HK25,csv!$L25:$HD25)),NA(),LOOKUP(MR$1,$S25:$HK25,csv!$L25:$HD25))</f>
        <v>0</v>
      </c>
      <c r="MS25" s="5">
        <f>IF(ISERROR(LOOKUP(MS$1,$S25:$HK25,csv!$L25:$HD25)),NA(),LOOKUP(MS$1,$S25:$HK25,csv!$L25:$HD25))</f>
        <v>0</v>
      </c>
      <c r="MT25" s="5">
        <f>IF(ISERROR(LOOKUP(MT$1,$S25:$HK25,csv!$L25:$HD25)),NA(),LOOKUP(MT$1,$S25:$HK25,csv!$L25:$HD25))</f>
        <v>0</v>
      </c>
      <c r="MU25" s="5">
        <f>IF(ISERROR(LOOKUP(MU$1,$S25:$HK25,csv!$L25:$HD25)),NA(),LOOKUP(MU$1,$S25:$HK25,csv!$L25:$HD25))</f>
        <v>0</v>
      </c>
      <c r="MV25" s="5">
        <f>IF(ISERROR(LOOKUP(MV$1,$S25:$HK25,csv!$L25:$HD25)),NA(),LOOKUP(MV$1,$S25:$HK25,csv!$L25:$HD25))</f>
        <v>0</v>
      </c>
      <c r="MW25" s="5">
        <f>IF(ISERROR(LOOKUP(MW$1,$S25:$HK25,csv!$L25:$HD25)),NA(),LOOKUP(MW$1,$S25:$HK25,csv!$L25:$HD25))</f>
        <v>0</v>
      </c>
      <c r="MX25" s="5">
        <f>IF(ISERROR(LOOKUP(MX$1,$S25:$HK25,csv!$L25:$HD25)),NA(),LOOKUP(MX$1,$S25:$HK25,csv!$L25:$HD25))</f>
        <v>0</v>
      </c>
      <c r="MY25" s="5">
        <f>IF(ISERROR(LOOKUP(MY$1,$S25:$HK25,csv!$L25:$HD25)),NA(),LOOKUP(MY$1,$S25:$HK25,csv!$L25:$HD25))</f>
        <v>0</v>
      </c>
      <c r="MZ25" s="5">
        <f>IF(ISERROR(LOOKUP(MZ$1,$S25:$HK25,csv!$L25:$HD25)),NA(),LOOKUP(MZ$1,$S25:$HK25,csv!$L25:$HD25))</f>
        <v>0</v>
      </c>
      <c r="NA25" s="5">
        <f>IF(ISERROR(LOOKUP(NA$1,$S25:$HK25,csv!$L25:$HD25)),NA(),LOOKUP(NA$1,$S25:$HK25,csv!$L25:$HD25))</f>
        <v>0</v>
      </c>
      <c r="NB25" s="5">
        <f>IF(ISERROR(LOOKUP(NB$1,$S25:$HK25,csv!$L25:$HD25)),NA(),LOOKUP(NB$1,$S25:$HK25,csv!$L25:$HD25))</f>
        <v>0</v>
      </c>
      <c r="NC25" s="5">
        <f>IF(ISERROR(LOOKUP(NC$1,$S25:$HK25,csv!$L25:$HD25)),NA(),LOOKUP(NC$1,$S25:$HK25,csv!$L25:$HD25))</f>
        <v>0</v>
      </c>
      <c r="ND25" s="5">
        <f>IF(ISERROR(LOOKUP(ND$1,$S25:$HK25,csv!$L25:$HD25)),NA(),LOOKUP(ND$1,$S25:$HK25,csv!$L25:$HD25))</f>
        <v>0</v>
      </c>
      <c r="NE25" s="5">
        <f>IF(ISERROR(LOOKUP(NE$1,$S25:$HK25,csv!$L25:$HD25)),NA(),LOOKUP(NE$1,$S25:$HK25,csv!$L25:$HD25))</f>
        <v>0</v>
      </c>
      <c r="NF25" s="5">
        <f>IF(ISERROR(LOOKUP(NF$1,$S25:$HK25,csv!$L25:$HD25)),NA(),LOOKUP(NF$1,$S25:$HK25,csv!$L25:$HD25))</f>
        <v>0</v>
      </c>
      <c r="NG25" s="5">
        <f>IF(ISERROR(LOOKUP(NG$1,$S25:$HK25,csv!$L25:$HD25)),NA(),LOOKUP(NG$1,$S25:$HK25,csv!$L25:$HD25))</f>
        <v>0</v>
      </c>
      <c r="NH25" s="5">
        <f>IF(ISERROR(LOOKUP(NH$1,$S25:$HK25,csv!$L25:$HD25)),NA(),LOOKUP(NH$1,$S25:$HK25,csv!$L25:$HD25))</f>
        <v>0</v>
      </c>
      <c r="NI25" s="5">
        <f>IF(ISERROR(LOOKUP(NI$1,$S25:$HK25,csv!$L25:$HD25)),NA(),LOOKUP(NI$1,$S25:$HK25,csv!$L25:$HD25))</f>
        <v>0</v>
      </c>
      <c r="NJ25" s="5">
        <f>IF(ISERROR(LOOKUP(NJ$1,$S25:$HK25,csv!$L25:$HD25)),NA(),LOOKUP(NJ$1,$S25:$HK25,csv!$L25:$HD25))</f>
        <v>0</v>
      </c>
      <c r="NK25" s="5">
        <f>IF(ISERROR(LOOKUP(NK$1,$S25:$HK25,csv!$L25:$HD25)),NA(),LOOKUP(NK$1,$S25:$HK25,csv!$L25:$HD25))</f>
        <v>0</v>
      </c>
      <c r="NL25" s="5">
        <f>IF(ISERROR(LOOKUP(NL$1,$S25:$HK25,csv!$L25:$HD25)),NA(),LOOKUP(NL$1,$S25:$HK25,csv!$L25:$HD25))</f>
        <v>0</v>
      </c>
      <c r="NM25" s="5">
        <f>IF(ISERROR(LOOKUP(NM$1,$S25:$HK25,csv!$L25:$HD25)),NA(),LOOKUP(NM$1,$S25:$HK25,csv!$L25:$HD25))</f>
        <v>0</v>
      </c>
      <c r="NN25" s="5">
        <f>IF(ISERROR(LOOKUP(NN$1,$S25:$HK25,csv!$L25:$HD25)),NA(),LOOKUP(NN$1,$S25:$HK25,csv!$L25:$HD25))</f>
        <v>0</v>
      </c>
      <c r="NO25" s="5">
        <f>IF(ISERROR(LOOKUP(NO$1,$S25:$HK25,csv!$L25:$HD25)),NA(),LOOKUP(NO$1,$S25:$HK25,csv!$L25:$HD25))</f>
        <v>0</v>
      </c>
      <c r="NP25" s="5">
        <f>IF(ISERROR(LOOKUP(NP$1,$S25:$HK25,csv!$L25:$HD25)),NA(),LOOKUP(NP$1,$S25:$HK25,csv!$L25:$HD25))</f>
        <v>0</v>
      </c>
      <c r="NQ25" s="5">
        <f>IF(ISERROR(LOOKUP(NQ$1,$S25:$HK25,csv!$L25:$HD25)),NA(),LOOKUP(NQ$1,$S25:$HK25,csv!$L25:$HD25))</f>
        <v>0</v>
      </c>
      <c r="NR25" s="5">
        <f>IF(ISERROR(LOOKUP(NR$1,$S25:$HK25,csv!$L25:$HD25)),NA(),LOOKUP(NR$1,$S25:$HK25,csv!$L25:$HD25))</f>
        <v>0</v>
      </c>
      <c r="NS25" s="5">
        <f>IF(ISERROR(LOOKUP(NS$1,$S25:$HK25,csv!$L25:$HD25)),NA(),LOOKUP(NS$1,$S25:$HK25,csv!$L25:$HD25))</f>
        <v>0</v>
      </c>
      <c r="NT25" s="5">
        <f>IF(ISERROR(LOOKUP(NT$1,$S25:$HK25,csv!$L25:$HD25)),NA(),LOOKUP(NT$1,$S25:$HK25,csv!$L25:$HD25))</f>
        <v>0</v>
      </c>
      <c r="NU25" s="5">
        <f>IF(ISERROR(LOOKUP(NU$1,$S25:$HK25,csv!$L25:$HD25)),NA(),LOOKUP(NU$1,$S25:$HK25,csv!$L25:$HD25))</f>
        <v>0</v>
      </c>
      <c r="NV25" s="5">
        <f>IF(ISERROR(LOOKUP(NV$1,$S25:$HK25,csv!$L25:$HD25)),NA(),LOOKUP(NV$1,$S25:$HK25,csv!$L25:$HD25))</f>
        <v>0</v>
      </c>
      <c r="NW25" s="5">
        <f>IF(ISERROR(LOOKUP(NW$1,$S25:$HK25,csv!$L25:$HD25)),NA(),LOOKUP(NW$1,$S25:$HK25,csv!$L25:$HD25))</f>
        <v>0</v>
      </c>
      <c r="NX25" s="5">
        <f>IF(ISERROR(LOOKUP(NX$1,$S25:$HK25,csv!$L25:$HD25)),NA(),LOOKUP(NX$1,$S25:$HK25,csv!$L25:$HD25))</f>
        <v>0</v>
      </c>
      <c r="NY25" s="5">
        <f>IF(ISERROR(LOOKUP(NY$1,$S25:$HK25,csv!$L25:$HD25)),NA(),LOOKUP(NY$1,$S25:$HK25,csv!$L25:$HD25))</f>
        <v>0</v>
      </c>
      <c r="NZ25" s="5">
        <f>IF(ISERROR(LOOKUP(NZ$1,$S25:$HK25,csv!$L25:$HD25)),NA(),LOOKUP(NZ$1,$S25:$HK25,csv!$L25:$HD25))</f>
        <v>0</v>
      </c>
      <c r="OA25" s="5">
        <f>IF(ISERROR(LOOKUP(OA$1,$S25:$HK25,csv!$L25:$HD25)),NA(),LOOKUP(OA$1,$S25:$HK25,csv!$L25:$HD25))</f>
        <v>0</v>
      </c>
      <c r="OB25" s="5">
        <f>IF(ISERROR(LOOKUP(OB$1,$S25:$HK25,csv!$L25:$HD25)),NA(),LOOKUP(OB$1,$S25:$HK25,csv!$L25:$HD25))</f>
        <v>0</v>
      </c>
      <c r="OC25" s="5">
        <f>IF(ISERROR(LOOKUP(OC$1,$S25:$HK25,csv!$L25:$HD25)),NA(),LOOKUP(OC$1,$S25:$HK25,csv!$L25:$HD25))</f>
        <v>0</v>
      </c>
      <c r="OD25" s="5">
        <f>IF(ISERROR(LOOKUP(OD$1,$S25:$HK25,csv!$L25:$HD25)),NA(),LOOKUP(OD$1,$S25:$HK25,csv!$L25:$HD25))</f>
        <v>0</v>
      </c>
      <c r="OE25" s="5">
        <f>IF(ISERROR(LOOKUP(OE$1,$S25:$HK25,csv!$L25:$HD25)),NA(),LOOKUP(OE$1,$S25:$HK25,csv!$L25:$HD25))</f>
        <v>0</v>
      </c>
      <c r="OF25" s="5">
        <f>IF(ISERROR(LOOKUP(OF$1,$S25:$HK25,csv!$L25:$HD25)),NA(),LOOKUP(OF$1,$S25:$HK25,csv!$L25:$HD25))</f>
        <v>0</v>
      </c>
      <c r="OG25" s="5">
        <f>IF(ISERROR(LOOKUP(OG$1,$S25:$HK25,csv!$L25:$HD25)),NA(),LOOKUP(OG$1,$S25:$HK25,csv!$L25:$HD25))</f>
        <v>0</v>
      </c>
      <c r="OH25" s="5">
        <f>IF(ISERROR(LOOKUP(OH$1,$S25:$HK25,csv!$L25:$HD25)),NA(),LOOKUP(OH$1,$S25:$HK25,csv!$L25:$HD25))</f>
        <v>0</v>
      </c>
      <c r="OI25" s="5">
        <f>IF(ISERROR(LOOKUP(OI$1,$S25:$HK25,csv!$L25:$HD25)),NA(),LOOKUP(OI$1,$S25:$HK25,csv!$L25:$HD25))</f>
        <v>0</v>
      </c>
      <c r="OJ25" s="5">
        <f>IF(ISERROR(LOOKUP(OJ$1,$S25:$HK25,csv!$L25:$HD25)),NA(),LOOKUP(OJ$1,$S25:$HK25,csv!$L25:$HD25))</f>
        <v>0</v>
      </c>
      <c r="OK25" s="5">
        <f>IF(ISERROR(LOOKUP(OK$1,$S25:$HK25,csv!$L25:$HD25)),NA(),LOOKUP(OK$1,$S25:$HK25,csv!$L25:$HD25))</f>
        <v>0</v>
      </c>
      <c r="OL25" s="5">
        <f>IF(ISERROR(LOOKUP(OL$1,$S25:$HK25,csv!$L25:$HD25)),NA(),LOOKUP(OL$1,$S25:$HK25,csv!$L25:$HD25))</f>
        <v>0</v>
      </c>
      <c r="OM25" s="5">
        <f>IF(ISERROR(LOOKUP(OM$1,$S25:$HK25,csv!$L25:$HD25)),NA(),LOOKUP(OM$1,$S25:$HK25,csv!$L25:$HD25))</f>
        <v>0</v>
      </c>
      <c r="ON25" s="5">
        <f>IF(ISERROR(LOOKUP(ON$1,$S25:$HK25,csv!$L25:$HD25)),NA(),LOOKUP(ON$1,$S25:$HK25,csv!$L25:$HD25))</f>
        <v>0</v>
      </c>
      <c r="OO25" s="5">
        <f>IF(ISERROR(LOOKUP(OO$1,$S25:$HK25,csv!$L25:$HD25)),NA(),LOOKUP(OO$1,$S25:$HK25,csv!$L25:$HD25))</f>
        <v>0</v>
      </c>
      <c r="OP25" s="5">
        <f>IF(ISERROR(LOOKUP(OP$1,$S25:$HK25,csv!$L25:$HD25)),NA(),LOOKUP(OP$1,$S25:$HK25,csv!$L25:$HD25))</f>
        <v>0</v>
      </c>
      <c r="OQ25" s="5">
        <f>IF(ISERROR(LOOKUP(OQ$1,$S25:$HK25,csv!$L25:$HD25)),NA(),LOOKUP(OQ$1,$S25:$HK25,csv!$L25:$HD25))</f>
        <v>0</v>
      </c>
      <c r="OR25" s="5">
        <f>IF(ISERROR(LOOKUP(OR$1,$S25:$HK25,csv!$L25:$HD25)),NA(),LOOKUP(OR$1,$S25:$HK25,csv!$L25:$HD25))</f>
        <v>0</v>
      </c>
      <c r="OS25" s="5">
        <f>IF(ISERROR(LOOKUP(OS$1,$S25:$HK25,csv!$L25:$HD25)),NA(),LOOKUP(OS$1,$S25:$HK25,csv!$L25:$HD25))</f>
        <v>0</v>
      </c>
      <c r="OT25" s="5">
        <f>IF(ISERROR(LOOKUP(OT$1,$S25:$HK25,csv!$L25:$HD25)),NA(),LOOKUP(OT$1,$S25:$HK25,csv!$L25:$HD25))</f>
        <v>0</v>
      </c>
      <c r="OU25" s="5">
        <f>IF(ISERROR(LOOKUP(OU$1,$S25:$HK25,csv!$L25:$HD25)),NA(),LOOKUP(OU$1,$S25:$HK25,csv!$L25:$HD25))</f>
        <v>0</v>
      </c>
      <c r="OV25" s="5">
        <f>IF(ISERROR(LOOKUP(OV$1,$S25:$HK25,csv!$L25:$HD25)),NA(),LOOKUP(OV$1,$S25:$HK25,csv!$L25:$HD25))</f>
        <v>0</v>
      </c>
      <c r="OW25" s="5">
        <f>IF(ISERROR(LOOKUP(OW$1,$S25:$HK25,csv!$L25:$HD25)),NA(),LOOKUP(OW$1,$S25:$HK25,csv!$L25:$HD25))</f>
        <v>0</v>
      </c>
      <c r="OX25" s="5">
        <f>IF(ISERROR(LOOKUP(OX$1,$S25:$HK25,csv!$L25:$HD25)),NA(),LOOKUP(OX$1,$S25:$HK25,csv!$L25:$HD25))</f>
        <v>0</v>
      </c>
      <c r="OY25" s="5">
        <f>IF(ISERROR(LOOKUP(OY$1,$S25:$HK25,csv!$L25:$HD25)),NA(),LOOKUP(OY$1,$S25:$HK25,csv!$L25:$HD25))</f>
        <v>0</v>
      </c>
      <c r="OZ25" s="5">
        <f>IF(ISERROR(LOOKUP(OZ$1,$S25:$HK25,csv!$L25:$HD25)),NA(),LOOKUP(OZ$1,$S25:$HK25,csv!$L25:$HD25))</f>
        <v>0</v>
      </c>
      <c r="PA25" s="5">
        <f>IF(ISERROR(LOOKUP(PA$1,$S25:$HK25,csv!$L25:$HD25)),NA(),LOOKUP(PA$1,$S25:$HK25,csv!$L25:$HD25))</f>
        <v>0</v>
      </c>
      <c r="PB25" s="5">
        <f>IF(ISERROR(LOOKUP(PB$1,$S25:$HK25,csv!$L25:$HD25)),NA(),LOOKUP(PB$1,$S25:$HK25,csv!$L25:$HD25))</f>
        <v>0</v>
      </c>
      <c r="PC25" s="5">
        <f>IF(ISERROR(LOOKUP(PC$1,$S25:$HK25,csv!$L25:$HD25)),NA(),LOOKUP(PC$1,$S25:$HK25,csv!$L25:$HD25))</f>
        <v>0</v>
      </c>
      <c r="PD25" s="5">
        <f>IF(ISERROR(LOOKUP(PD$1,$S25:$HK25,csv!$L25:$HD25)),NA(),LOOKUP(PD$1,$S25:$HK25,csv!$L25:$HD25))</f>
        <v>0</v>
      </c>
      <c r="PE25" s="5">
        <f>IF(ISERROR(LOOKUP(PE$1,$S25:$HK25,csv!$L25:$HD25)),NA(),LOOKUP(PE$1,$S25:$HK25,csv!$L25:$HD25))</f>
        <v>0</v>
      </c>
      <c r="PF25" s="5">
        <f>IF(ISERROR(LOOKUP(PF$1,$S25:$HK25,csv!$L25:$HD25)),NA(),LOOKUP(PF$1,$S25:$HK25,csv!$L25:$HD25))</f>
        <v>0</v>
      </c>
      <c r="PG25" s="5">
        <f>IF(ISERROR(LOOKUP(PG$1,$S25:$HK25,csv!$L25:$HD25)),NA(),LOOKUP(PG$1,$S25:$HK25,csv!$L25:$HD25))</f>
        <v>0</v>
      </c>
      <c r="PH25" s="5">
        <f>IF(ISERROR(LOOKUP(PH$1,$S25:$HK25,csv!$L25:$HD25)),NA(),LOOKUP(PH$1,$S25:$HK25,csv!$L25:$HD25))</f>
        <v>0</v>
      </c>
      <c r="PI25" s="5">
        <f>IF(ISERROR(LOOKUP(PI$1,$S25:$HK25,csv!$L25:$HD25)),NA(),LOOKUP(PI$1,$S25:$HK25,csv!$L25:$HD25))</f>
        <v>0</v>
      </c>
      <c r="PJ25" s="5">
        <f>IF(ISERROR(LOOKUP(PJ$1,$S25:$HK25,csv!$L25:$HD25)),NA(),LOOKUP(PJ$1,$S25:$HK25,csv!$L25:$HD25))</f>
        <v>0</v>
      </c>
      <c r="PK25" s="5">
        <f>IF(ISERROR(LOOKUP(PK$1,$S25:$HK25,csv!$L25:$HD25)),NA(),LOOKUP(PK$1,$S25:$HK25,csv!$L25:$HD25))</f>
        <v>0</v>
      </c>
      <c r="PL25" s="5">
        <f>IF(ISERROR(LOOKUP(PL$1,$S25:$HK25,csv!$L25:$HD25)),NA(),LOOKUP(PL$1,$S25:$HK25,csv!$L25:$HD25))</f>
        <v>0</v>
      </c>
      <c r="PM25" s="5">
        <f>IF(ISERROR(LOOKUP(PM$1,$S25:$HK25,csv!$L25:$HD25)),NA(),LOOKUP(PM$1,$S25:$HK25,csv!$L25:$HD25))</f>
        <v>0</v>
      </c>
      <c r="PN25" s="5">
        <f>IF(ISERROR(LOOKUP(PN$1,$S25:$HK25,csv!$L25:$HD25)),NA(),LOOKUP(PN$1,$S25:$HK25,csv!$L25:$HD25))</f>
        <v>0</v>
      </c>
      <c r="PO25" s="5">
        <f>IF(ISERROR(LOOKUP(PO$1,$S25:$HK25,csv!$L25:$HD25)),NA(),LOOKUP(PO$1,$S25:$HK25,csv!$L25:$HD25))</f>
        <v>0</v>
      </c>
      <c r="PP25" s="5">
        <f>IF(ISERROR(LOOKUP(PP$1,$S25:$HK25,csv!$L25:$HD25)),NA(),LOOKUP(PP$1,$S25:$HK25,csv!$L25:$HD25))</f>
        <v>0</v>
      </c>
      <c r="PQ25" s="5">
        <f>IF(ISERROR(LOOKUP(PQ$1,$S25:$HK25,csv!$L25:$HD25)),NA(),LOOKUP(PQ$1,$S25:$HK25,csv!$L25:$HD25))</f>
        <v>0</v>
      </c>
      <c r="PR25" s="5">
        <f>IF(ISERROR(LOOKUP(PR$1,$S25:$HK25,csv!$L25:$HD25)),NA(),LOOKUP(PR$1,$S25:$HK25,csv!$L25:$HD25))</f>
        <v>0</v>
      </c>
      <c r="PS25" s="5">
        <f>IF(ISERROR(LOOKUP(PS$1,$S25:$HK25,csv!$L25:$HD25)),NA(),LOOKUP(PS$1,$S25:$HK25,csv!$L25:$HD25))</f>
        <v>0</v>
      </c>
      <c r="PT25" s="5">
        <f>IF(ISERROR(LOOKUP(PT$1,$S25:$HK25,csv!$L25:$HD25)),NA(),LOOKUP(PT$1,$S25:$HK25,csv!$L25:$HD25))</f>
        <v>0</v>
      </c>
      <c r="PU25" s="5">
        <f>IF(ISERROR(LOOKUP(PU$1,$S25:$HK25,csv!$L25:$HD25)),NA(),LOOKUP(PU$1,$S25:$HK25,csv!$L25:$HD25))</f>
        <v>0</v>
      </c>
      <c r="PV25" s="5">
        <f>IF(ISERROR(LOOKUP(PV$1,$S25:$HK25,csv!$L25:$HD25)),NA(),LOOKUP(PV$1,$S25:$HK25,csv!$L25:$HD25))</f>
        <v>0</v>
      </c>
      <c r="PW25" s="5">
        <f>IF(ISERROR(LOOKUP(PW$1,$S25:$HK25,csv!$L25:$HD25)),NA(),LOOKUP(PW$1,$S25:$HK25,csv!$L25:$HD25))</f>
        <v>0</v>
      </c>
      <c r="PX25" s="5">
        <f>IF(ISERROR(LOOKUP(PX$1,$S25:$HK25,csv!$L25:$HD25)),NA(),LOOKUP(PX$1,$S25:$HK25,csv!$L25:$HD25))</f>
        <v>0</v>
      </c>
      <c r="PY25" s="5">
        <f>IF(ISERROR(LOOKUP(PY$1,$S25:$HK25,csv!$L25:$HD25)),NA(),LOOKUP(PY$1,$S25:$HK25,csv!$L25:$HD25))</f>
        <v>0</v>
      </c>
      <c r="PZ25" s="5">
        <f>IF(ISERROR(LOOKUP(PZ$1,$S25:$HK25,csv!$L25:$HD25)),NA(),LOOKUP(PZ$1,$S25:$HK25,csv!$L25:$HD25))</f>
        <v>0</v>
      </c>
      <c r="QA25" s="5">
        <f>IF(ISERROR(LOOKUP(QA$1,$S25:$HK25,csv!$L25:$HD25)),NA(),LOOKUP(QA$1,$S25:$HK25,csv!$L25:$HD25))</f>
        <v>0</v>
      </c>
      <c r="QB25" s="5">
        <f>IF(ISERROR(LOOKUP(QB$1,$S25:$HK25,csv!$L25:$HD25)),NA(),LOOKUP(QB$1,$S25:$HK25,csv!$L25:$HD25))</f>
        <v>0</v>
      </c>
      <c r="QC25" s="5">
        <f>IF(ISERROR(LOOKUP(QC$1,$S25:$HK25,csv!$L25:$HD25)),NA(),LOOKUP(QC$1,$S25:$HK25,csv!$L25:$HD25))</f>
        <v>0</v>
      </c>
      <c r="QD25" s="5">
        <f>IF(ISERROR(LOOKUP(QD$1,$S25:$HK25,csv!$L25:$HD25)),NA(),LOOKUP(QD$1,$S25:$HK25,csv!$L25:$HD25))</f>
        <v>0</v>
      </c>
      <c r="QE25" s="5">
        <f>IF(ISERROR(LOOKUP(QE$1,$S25:$HK25,csv!$L25:$HD25)),NA(),LOOKUP(QE$1,$S25:$HK25,csv!$L25:$HD25))</f>
        <v>0</v>
      </c>
      <c r="QF25" s="5">
        <f>IF(ISERROR(LOOKUP(QF$1,$S25:$HK25,csv!$L25:$HD25)),NA(),LOOKUP(QF$1,$S25:$HK25,csv!$L25:$HD25))</f>
        <v>0</v>
      </c>
      <c r="QG25" s="5">
        <f>IF(ISERROR(LOOKUP(QG$1,$S25:$HK25,csv!$L25:$HD25)),NA(),LOOKUP(QG$1,$S25:$HK25,csv!$L25:$HD25))</f>
        <v>0</v>
      </c>
      <c r="QH25" s="5">
        <f>IF(ISERROR(LOOKUP(QH$1,$S25:$HK25,csv!$L25:$HD25)),NA(),LOOKUP(QH$1,$S25:$HK25,csv!$L25:$HD25))</f>
        <v>0</v>
      </c>
      <c r="QI25" s="5">
        <f>IF(ISERROR(LOOKUP(QI$1,$S25:$HK25,csv!$L25:$HD25)),NA(),LOOKUP(QI$1,$S25:$HK25,csv!$L25:$HD25))</f>
        <v>0</v>
      </c>
      <c r="QJ25" s="5">
        <f>IF(ISERROR(LOOKUP(QJ$1,$S25:$HK25,csv!$L25:$HD25)),NA(),LOOKUP(QJ$1,$S25:$HK25,csv!$L25:$HD25))</f>
        <v>0</v>
      </c>
      <c r="QK25" s="5">
        <f>IF(ISERROR(LOOKUP(QK$1,$S25:$HK25,csv!$L25:$HD25)),NA(),LOOKUP(QK$1,$S25:$HK25,csv!$L25:$HD25))</f>
        <v>0</v>
      </c>
      <c r="QL25" s="5">
        <f>IF(ISERROR(LOOKUP(QL$1,$S25:$HK25,csv!$L25:$HD25)),NA(),LOOKUP(QL$1,$S25:$HK25,csv!$L25:$HD25))</f>
        <v>0</v>
      </c>
      <c r="QM25" s="5">
        <f>IF(ISERROR(LOOKUP(QM$1,$S25:$HK25,csv!$L25:$HD25)),NA(),LOOKUP(QM$1,$S25:$HK25,csv!$L25:$HD25))</f>
        <v>0</v>
      </c>
      <c r="QN25" s="5">
        <f>IF(ISERROR(LOOKUP(QN$1,$S25:$HK25,csv!$L25:$HD25)),NA(),LOOKUP(QN$1,$S25:$HK25,csv!$L25:$HD25))</f>
        <v>0</v>
      </c>
      <c r="QO25" s="5">
        <f>IF(ISERROR(LOOKUP(QO$1,$S25:$HK25,csv!$L25:$HD25)),NA(),LOOKUP(QO$1,$S25:$HK25,csv!$L25:$HD25))</f>
        <v>0</v>
      </c>
      <c r="QP25" s="5">
        <f>IF(ISERROR(LOOKUP(QP$1,$S25:$HK25,csv!$L25:$HD25)),NA(),LOOKUP(QP$1,$S25:$HK25,csv!$L25:$HD25))</f>
        <v>0</v>
      </c>
      <c r="QQ25" s="5">
        <f>IF(ISERROR(LOOKUP(QQ$1,$S25:$HK25,csv!$L25:$HD25)),NA(),LOOKUP(QQ$1,$S25:$HK25,csv!$L25:$HD25))</f>
        <v>0</v>
      </c>
      <c r="QR25" s="5">
        <f>IF(ISERROR(LOOKUP(QR$1,$S25:$HK25,csv!$L25:$HD25)),NA(),LOOKUP(QR$1,$S25:$HK25,csv!$L25:$HD25))</f>
        <v>0</v>
      </c>
      <c r="QS25" s="5">
        <f>IF(ISERROR(LOOKUP(QS$1,$S25:$HK25,csv!$L25:$HD25)),NA(),LOOKUP(QS$1,$S25:$HK25,csv!$L25:$HD25))</f>
        <v>0</v>
      </c>
      <c r="QT25" s="5">
        <f>IF(ISERROR(LOOKUP(QT$1,$S25:$HK25,csv!$L25:$HD25)),NA(),LOOKUP(QT$1,$S25:$HK25,csv!$L25:$HD25))</f>
        <v>0</v>
      </c>
      <c r="QU25" s="5">
        <f>IF(ISERROR(LOOKUP(QU$1,$S25:$HK25,csv!$L25:$HD25)),NA(),LOOKUP(QU$1,$S25:$HK25,csv!$L25:$HD25))</f>
        <v>0</v>
      </c>
      <c r="QV25" s="5">
        <f>IF(ISERROR(LOOKUP(QV$1,$S25:$HK25,csv!$L25:$HD25)),NA(),LOOKUP(QV$1,$S25:$HK25,csv!$L25:$HD25))</f>
        <v>0</v>
      </c>
      <c r="QW25" s="5">
        <f>IF(ISERROR(LOOKUP(QW$1,$S25:$HK25,csv!$L25:$HD25)),NA(),LOOKUP(QW$1,$S25:$HK25,csv!$L25:$HD25))</f>
        <v>0</v>
      </c>
      <c r="QX25" s="5">
        <f>IF(ISERROR(LOOKUP(QX$1,$S25:$HK25,csv!$L25:$HD25)),NA(),LOOKUP(QX$1,$S25:$HK25,csv!$L25:$HD25))</f>
        <v>0</v>
      </c>
      <c r="QY25" s="5">
        <f>IF(ISERROR(LOOKUP(QY$1,$S25:$HK25,csv!$L25:$HD25)),NA(),LOOKUP(QY$1,$S25:$HK25,csv!$L25:$HD25))</f>
        <v>0</v>
      </c>
      <c r="QZ25" s="5">
        <f>IF(ISERROR(LOOKUP(QZ$1,$S25:$HK25,csv!$L25:$HD25)),NA(),LOOKUP(QZ$1,$S25:$HK25,csv!$L25:$HD25))</f>
        <v>0</v>
      </c>
      <c r="RA25" s="5">
        <f>IF(ISERROR(LOOKUP(RA$1,$S25:$HK25,csv!$L25:$HD25)),NA(),LOOKUP(RA$1,$S25:$HK25,csv!$L25:$HD25))</f>
        <v>0</v>
      </c>
      <c r="RB25" s="5">
        <f>IF(ISERROR(LOOKUP(RB$1,$S25:$HK25,csv!$L25:$HD25)),NA(),LOOKUP(RB$1,$S25:$HK25,csv!$L25:$HD25))</f>
        <v>0</v>
      </c>
      <c r="RC25" s="5">
        <f>IF(ISERROR(LOOKUP(RC$1,$S25:$HK25,csv!$L25:$HD25)),NA(),LOOKUP(RC$1,$S25:$HK25,csv!$L25:$HD25))</f>
        <v>0</v>
      </c>
      <c r="RD25" s="5">
        <f>IF(ISERROR(LOOKUP(RD$1,$S25:$HK25,csv!$L25:$HD25)),NA(),LOOKUP(RD$1,$S25:$HK25,csv!$L25:$HD25))</f>
        <v>0</v>
      </c>
      <c r="RE25" s="5">
        <f>IF(ISERROR(LOOKUP(RE$1,$S25:$HK25,csv!$L25:$HD25)),NA(),LOOKUP(RE$1,$S25:$HK25,csv!$L25:$HD25))</f>
        <v>0</v>
      </c>
      <c r="RF25" s="5">
        <f>IF(ISERROR(LOOKUP(RF$1,$S25:$HK25,csv!$L25:$HD25)),NA(),LOOKUP(RF$1,$S25:$HK25,csv!$L25:$HD25))</f>
        <v>0</v>
      </c>
      <c r="RG25" s="5">
        <f>IF(ISERROR(LOOKUP(RG$1,$S25:$HK25,csv!$L25:$HD25)),NA(),LOOKUP(RG$1,$S25:$HK25,csv!$L25:$HD25))</f>
        <v>0</v>
      </c>
      <c r="RH25" s="5">
        <f>IF(ISERROR(LOOKUP(RH$1,$S25:$HK25,csv!$L25:$HD25)),NA(),LOOKUP(RH$1,$S25:$HK25,csv!$L25:$HD25))</f>
        <v>0</v>
      </c>
      <c r="RI25" s="5">
        <f>IF(ISERROR(LOOKUP(RI$1,$S25:$HK25,csv!$L25:$HD25)),NA(),LOOKUP(RI$1,$S25:$HK25,csv!$L25:$HD25))</f>
        <v>0</v>
      </c>
      <c r="RJ25" s="5">
        <f>IF(ISERROR(LOOKUP(RJ$1,$S25:$HK25,csv!$L25:$HD25)),NA(),LOOKUP(RJ$1,$S25:$HK25,csv!$L25:$HD25))</f>
        <v>0</v>
      </c>
      <c r="RK25" s="5">
        <f>IF(ISERROR(LOOKUP(RK$1,$S25:$HK25,csv!$L25:$HD25)),NA(),LOOKUP(RK$1,$S25:$HK25,csv!$L25:$HD25))</f>
        <v>0</v>
      </c>
      <c r="RL25" s="5">
        <f>IF(ISERROR(LOOKUP(RL$1,$S25:$HK25,csv!$L25:$HD25)),NA(),LOOKUP(RL$1,$S25:$HK25,csv!$L25:$HD25))</f>
        <v>0</v>
      </c>
      <c r="RM25" s="5">
        <f>IF(ISERROR(LOOKUP(RM$1,$S25:$HK25,csv!$L25:$HD25)),NA(),LOOKUP(RM$1,$S25:$HK25,csv!$L25:$HD25))</f>
        <v>0</v>
      </c>
      <c r="RN25" s="5">
        <f>IF(ISERROR(LOOKUP(RN$1,$S25:$HK25,csv!$L25:$HD25)),NA(),LOOKUP(RN$1,$S25:$HK25,csv!$L25:$HD25))</f>
        <v>0</v>
      </c>
      <c r="RO25" s="5">
        <f>IF(ISERROR(LOOKUP(RO$1,$S25:$HK25,csv!$L25:$HD25)),NA(),LOOKUP(RO$1,$S25:$HK25,csv!$L25:$HD25))</f>
        <v>0</v>
      </c>
      <c r="RP25" s="5">
        <f>IF(ISERROR(LOOKUP(RP$1,$S25:$HK25,csv!$L25:$HD25)),NA(),LOOKUP(RP$1,$S25:$HK25,csv!$L25:$HD25))</f>
        <v>0</v>
      </c>
      <c r="RQ25" s="5">
        <f>IF(ISERROR(LOOKUP(RQ$1,$S25:$HK25,csv!$L25:$HD25)),NA(),LOOKUP(RQ$1,$S25:$HK25,csv!$L25:$HD25))</f>
        <v>0</v>
      </c>
      <c r="RR25" s="5">
        <f>IF(ISERROR(LOOKUP(RR$1,$S25:$HK25,csv!$L25:$HD25)),NA(),LOOKUP(RR$1,$S25:$HK25,csv!$L25:$HD25))</f>
        <v>0</v>
      </c>
      <c r="RS25" s="5">
        <f>IF(ISERROR(LOOKUP(RS$1,$S25:$HK25,csv!$L25:$HD25)),NA(),LOOKUP(RS$1,$S25:$HK25,csv!$L25:$HD25))</f>
        <v>0</v>
      </c>
      <c r="RT25" s="5">
        <f>IF(ISERROR(LOOKUP(RT$1,$S25:$HK25,csv!$L25:$HD25)),NA(),LOOKUP(RT$1,$S25:$HK25,csv!$L25:$HD25))</f>
        <v>0</v>
      </c>
      <c r="RU25" s="5">
        <f>IF(ISERROR(LOOKUP(RU$1,$S25:$HK25,csv!$L25:$HD25)),NA(),LOOKUP(RU$1,$S25:$HK25,csv!$L25:$HD25))</f>
        <v>0</v>
      </c>
      <c r="RV25" s="5">
        <f>IF(ISERROR(LOOKUP(RV$1,$S25:$HK25,csv!$L25:$HD25)),NA(),LOOKUP(RV$1,$S25:$HK25,csv!$L25:$HD25))</f>
        <v>0</v>
      </c>
      <c r="RW25" s="5">
        <f>IF(ISERROR(LOOKUP(RW$1,$S25:$HK25,csv!$L25:$HD25)),NA(),LOOKUP(RW$1,$S25:$HK25,csv!$L25:$HD25))</f>
        <v>0</v>
      </c>
      <c r="RX25" s="5">
        <f>IF(ISERROR(LOOKUP(RX$1,$S25:$HK25,csv!$L25:$HD25)),NA(),LOOKUP(RX$1,$S25:$HK25,csv!$L25:$HD25))</f>
        <v>0</v>
      </c>
      <c r="RY25" s="5">
        <f>IF(ISERROR(LOOKUP(RY$1,$S25:$HK25,csv!$L25:$HD25)),NA(),LOOKUP(RY$1,$S25:$HK25,csv!$L25:$HD25))</f>
        <v>0</v>
      </c>
      <c r="RZ25" s="5">
        <f>IF(ISERROR(LOOKUP(RZ$1,$S25:$HK25,csv!$L25:$HD25)),NA(),LOOKUP(RZ$1,$S25:$HK25,csv!$L25:$HD25))</f>
        <v>0</v>
      </c>
      <c r="SA25" s="5">
        <f>IF(ISERROR(LOOKUP(SA$1,$S25:$HK25,csv!$L25:$HD25)),NA(),LOOKUP(SA$1,$S25:$HK25,csv!$L25:$HD25))</f>
        <v>0</v>
      </c>
      <c r="SB25" s="5">
        <f>IF(ISERROR(LOOKUP(SB$1,$S25:$HK25,csv!$L25:$HD25)),NA(),LOOKUP(SB$1,$S25:$HK25,csv!$L25:$HD25))</f>
        <v>0</v>
      </c>
      <c r="SC25" s="5">
        <f>IF(ISERROR(LOOKUP(SC$1,$S25:$HK25,csv!$L25:$HD25)),NA(),LOOKUP(SC$1,$S25:$HK25,csv!$L25:$HD25))</f>
        <v>0</v>
      </c>
      <c r="SD25" s="5">
        <f>IF(ISERROR(LOOKUP(SD$1,$S25:$HK25,csv!$L25:$HD25)),NA(),LOOKUP(SD$1,$S25:$HK25,csv!$L25:$HD25))</f>
        <v>0</v>
      </c>
      <c r="SE25" s="5">
        <f>IF(ISERROR(LOOKUP(SE$1,$S25:$HK25,csv!$L25:$HD25)),NA(),LOOKUP(SE$1,$S25:$HK25,csv!$L25:$HD25))</f>
        <v>0</v>
      </c>
      <c r="SF25" s="5">
        <f>IF(ISERROR(LOOKUP(SF$1,$S25:$HK25,csv!$L25:$HD25)),NA(),LOOKUP(SF$1,$S25:$HK25,csv!$L25:$HD25))</f>
        <v>0</v>
      </c>
      <c r="SG25" s="5">
        <f>IF(ISERROR(LOOKUP(SG$1,$S25:$HK25,csv!$L25:$HD25)),NA(),LOOKUP(SG$1,$S25:$HK25,csv!$L25:$HD25))</f>
        <v>0</v>
      </c>
      <c r="SH25" s="5">
        <f>IF(ISERROR(LOOKUP(SH$1,$S25:$HK25,csv!$L25:$HD25)),NA(),LOOKUP(SH$1,$S25:$HK25,csv!$L25:$HD25))</f>
        <v>0</v>
      </c>
      <c r="SI25" s="5">
        <f>IF(ISERROR(LOOKUP(SI$1,$S25:$HK25,csv!$L25:$HD25)),NA(),LOOKUP(SI$1,$S25:$HK25,csv!$L25:$HD25))</f>
        <v>0</v>
      </c>
      <c r="SJ25" s="5">
        <f>IF(ISERROR(LOOKUP(SJ$1,$S25:$HK25,csv!$L25:$HD25)),NA(),LOOKUP(SJ$1,$S25:$HK25,csv!$L25:$HD25))</f>
        <v>0</v>
      </c>
      <c r="SK25" s="5">
        <f>IF(ISERROR(LOOKUP(SK$1,$S25:$HK25,csv!$L25:$HD25)),NA(),LOOKUP(SK$1,$S25:$HK25,csv!$L25:$HD25))</f>
        <v>0</v>
      </c>
      <c r="SL25" s="5">
        <f>IF(ISERROR(LOOKUP(SL$1,$S25:$HK25,csv!$L25:$HD25)),NA(),LOOKUP(SL$1,$S25:$HK25,csv!$L25:$HD25))</f>
        <v>0</v>
      </c>
      <c r="SM25" s="5">
        <f>IF(ISERROR(LOOKUP(SM$1,$S25:$HK25,csv!$L25:$HD25)),NA(),LOOKUP(SM$1,$S25:$HK25,csv!$L25:$HD25))</f>
        <v>0</v>
      </c>
      <c r="SN25" s="5">
        <f>IF(ISERROR(LOOKUP(SN$1,$S25:$HK25,csv!$L25:$HD25)),NA(),LOOKUP(SN$1,$S25:$HK25,csv!$L25:$HD25))</f>
        <v>0</v>
      </c>
      <c r="SO25" s="5">
        <f>IF(ISERROR(LOOKUP(SO$1,$S25:$HK25,csv!$L25:$HD25)),NA(),LOOKUP(SO$1,$S25:$HK25,csv!$L25:$HD25))</f>
        <v>0</v>
      </c>
      <c r="SP25" s="5">
        <f>IF(ISERROR(LOOKUP(SP$1,$S25:$HK25,csv!$L25:$HD25)),NA(),LOOKUP(SP$1,$S25:$HK25,csv!$L25:$HD25))</f>
        <v>0</v>
      </c>
      <c r="SQ25" s="5">
        <f>IF(ISERROR(LOOKUP(SQ$1,$S25:$HK25,csv!$L25:$HD25)),NA(),LOOKUP(SQ$1,$S25:$HK25,csv!$L25:$HD25))</f>
        <v>0</v>
      </c>
      <c r="SR25" s="5">
        <f>IF(ISERROR(LOOKUP(SR$1,$S25:$HK25,csv!$L25:$HD25)),NA(),LOOKUP(SR$1,$S25:$HK25,csv!$L25:$HD25))</f>
        <v>0</v>
      </c>
      <c r="SS25" s="5">
        <f>IF(ISERROR(LOOKUP(SS$1,$S25:$HK25,csv!$L25:$HD25)),NA(),LOOKUP(SS$1,$S25:$HK25,csv!$L25:$HD25))</f>
        <v>0</v>
      </c>
      <c r="ST25" s="5">
        <f>IF(ISERROR(LOOKUP(ST$1,$S25:$HK25,csv!$L25:$HD25)),NA(),LOOKUP(ST$1,$S25:$HK25,csv!$L25:$HD25))</f>
        <v>0</v>
      </c>
      <c r="SU25" s="5">
        <f>IF(ISERROR(LOOKUP(SU$1,$S25:$HK25,csv!$L25:$HD25)),NA(),LOOKUP(SU$1,$S25:$HK25,csv!$L25:$HD25))</f>
        <v>0</v>
      </c>
      <c r="SV25" s="5">
        <f>IF(ISERROR(LOOKUP(SV$1,$S25:$HK25,csv!$L25:$HD25)),NA(),LOOKUP(SV$1,$S25:$HK25,csv!$L25:$HD25))</f>
        <v>0</v>
      </c>
      <c r="SW25" s="5">
        <f>IF(ISERROR(LOOKUP(SW$1,$S25:$HK25,csv!$L25:$HD25)),NA(),LOOKUP(SW$1,$S25:$HK25,csv!$L25:$HD25))</f>
        <v>0</v>
      </c>
      <c r="SX25" s="5">
        <f>IF(ISERROR(LOOKUP(SX$1,$S25:$HK25,csv!$L25:$HD25)),NA(),LOOKUP(SX$1,$S25:$HK25,csv!$L25:$HD25))</f>
        <v>0</v>
      </c>
      <c r="SY25" s="5">
        <f>IF(ISERROR(LOOKUP(SY$1,$S25:$HK25,csv!$L25:$HD25)),NA(),LOOKUP(SY$1,$S25:$HK25,csv!$L25:$HD25))</f>
        <v>0</v>
      </c>
      <c r="SZ25" s="5">
        <f>IF(ISERROR(LOOKUP(SZ$1,$S25:$HK25,csv!$L25:$HD25)),NA(),LOOKUP(SZ$1,$S25:$HK25,csv!$L25:$HD25))</f>
        <v>0</v>
      </c>
      <c r="TA25" s="5">
        <f>IF(ISERROR(LOOKUP(TA$1,$S25:$HK25,csv!$L25:$HD25)),NA(),LOOKUP(TA$1,$S25:$HK25,csv!$L25:$HD25))</f>
        <v>0</v>
      </c>
      <c r="TB25" s="5">
        <f>IF(ISERROR(LOOKUP(TB$1,$S25:$HK25,csv!$L25:$HD25)),NA(),LOOKUP(TB$1,$S25:$HK25,csv!$L25:$HD25))</f>
        <v>0</v>
      </c>
      <c r="TD25">
        <f>csv!HG25/10</f>
        <v>0</v>
      </c>
    </row>
    <row r="26" spans="3:524" x14ac:dyDescent="0.15">
      <c r="S26" s="4">
        <f>ROUND((csv!$HG26/10+calc!S$1),1)</f>
        <v>-10</v>
      </c>
      <c r="T26" s="4">
        <f>ROUND((csv!$HG26/10+calc!T$1),1)</f>
        <v>-9.9</v>
      </c>
      <c r="U26" s="4">
        <f>ROUND((csv!$HG26/10+calc!U$1),1)</f>
        <v>-9.8000000000000007</v>
      </c>
      <c r="V26" s="4">
        <f>ROUND((csv!$HG26/10+calc!V$1),1)</f>
        <v>-9.6999999999999993</v>
      </c>
      <c r="W26" s="4">
        <f>ROUND((csv!$HG26/10+calc!W$1),1)</f>
        <v>-9.6</v>
      </c>
      <c r="X26" s="4">
        <f>ROUND((csv!$HG26/10+calc!X$1),1)</f>
        <v>-9.5</v>
      </c>
      <c r="Y26" s="4">
        <f>ROUND((csv!$HG26/10+calc!Y$1),1)</f>
        <v>-9.4</v>
      </c>
      <c r="Z26" s="4">
        <f>ROUND((csv!$HG26/10+calc!Z$1),1)</f>
        <v>-9.3000000000000007</v>
      </c>
      <c r="AA26" s="4">
        <f>ROUND((csv!$HG26/10+calc!AA$1),1)</f>
        <v>-9.1999999999999993</v>
      </c>
      <c r="AB26" s="4">
        <f>ROUND((csv!$HG26/10+calc!AB$1),1)</f>
        <v>-9.1</v>
      </c>
      <c r="AC26" s="4">
        <f>ROUND((csv!$HG26/10+calc!AC$1),1)</f>
        <v>-9</v>
      </c>
      <c r="AD26" s="4">
        <f>ROUND((csv!$HG26/10+calc!AD$1),1)</f>
        <v>-8.9</v>
      </c>
      <c r="AE26" s="4">
        <f>ROUND((csv!$HG26/10+calc!AE$1),1)</f>
        <v>-8.8000000000000007</v>
      </c>
      <c r="AF26" s="4">
        <f>ROUND((csv!$HG26/10+calc!AF$1),1)</f>
        <v>-8.6999999999999993</v>
      </c>
      <c r="AG26" s="4">
        <f>ROUND((csv!$HG26/10+calc!AG$1),1)</f>
        <v>-8.6</v>
      </c>
      <c r="AH26" s="4">
        <f>ROUND((csv!$HG26/10+calc!AH$1),1)</f>
        <v>-8.5</v>
      </c>
      <c r="AI26" s="4">
        <f>ROUND((csv!$HG26/10+calc!AI$1),1)</f>
        <v>-8.4</v>
      </c>
      <c r="AJ26" s="4">
        <f>ROUND((csv!$HG26/10+calc!AJ$1),1)</f>
        <v>-8.3000000000000007</v>
      </c>
      <c r="AK26" s="4">
        <f>ROUND((csv!$HG26/10+calc!AK$1),1)</f>
        <v>-8.1999999999999993</v>
      </c>
      <c r="AL26" s="4">
        <f>ROUND((csv!$HG26/10+calc!AL$1),1)</f>
        <v>-8.1</v>
      </c>
      <c r="AM26" s="4">
        <f>ROUND((csv!$HG26/10+calc!AM$1),1)</f>
        <v>-8</v>
      </c>
      <c r="AN26" s="4">
        <f>ROUND((csv!$HG26/10+calc!AN$1),1)</f>
        <v>-7.9</v>
      </c>
      <c r="AO26" s="4">
        <f>ROUND((csv!$HG26/10+calc!AO$1),1)</f>
        <v>-7.8</v>
      </c>
      <c r="AP26" s="4">
        <f>ROUND((csv!$HG26/10+calc!AP$1),1)</f>
        <v>-7.7</v>
      </c>
      <c r="AQ26" s="4">
        <f>ROUND((csv!$HG26/10+calc!AQ$1),1)</f>
        <v>-7.6</v>
      </c>
      <c r="AR26" s="4">
        <f>ROUND((csv!$HG26/10+calc!AR$1),1)</f>
        <v>-7.5</v>
      </c>
      <c r="AS26" s="4">
        <f>ROUND((csv!$HG26/10+calc!AS$1),1)</f>
        <v>-7.4</v>
      </c>
      <c r="AT26" s="4">
        <f>ROUND((csv!$HG26/10+calc!AT$1),1)</f>
        <v>-7.3</v>
      </c>
      <c r="AU26" s="4">
        <f>ROUND((csv!$HG26/10+calc!AU$1),1)</f>
        <v>-7.2</v>
      </c>
      <c r="AV26" s="4">
        <f>ROUND((csv!$HG26/10+calc!AV$1),1)</f>
        <v>-7.1</v>
      </c>
      <c r="AW26" s="4">
        <f>ROUND((csv!$HG26/10+calc!AW$1),1)</f>
        <v>-7</v>
      </c>
      <c r="AX26" s="4">
        <f>ROUND((csv!$HG26/10+calc!AX$1),1)</f>
        <v>-6.9</v>
      </c>
      <c r="AY26" s="4">
        <f>ROUND((csv!$HG26/10+calc!AY$1),1)</f>
        <v>-6.8</v>
      </c>
      <c r="AZ26" s="4">
        <f>ROUND((csv!$HG26/10+calc!AZ$1),1)</f>
        <v>-6.7</v>
      </c>
      <c r="BA26" s="4">
        <f>ROUND((csv!$HG26/10+calc!BA$1),1)</f>
        <v>-6.6</v>
      </c>
      <c r="BB26" s="4">
        <f>ROUND((csv!$HG26/10+calc!BB$1),1)</f>
        <v>-6.5</v>
      </c>
      <c r="BC26" s="4">
        <f>ROUND((csv!$HG26/10+calc!BC$1),1)</f>
        <v>-6.4</v>
      </c>
      <c r="BD26" s="4">
        <f>ROUND((csv!$HG26/10+calc!BD$1),1)</f>
        <v>-6.3</v>
      </c>
      <c r="BE26" s="4">
        <f>ROUND((csv!$HG26/10+calc!BE$1),1)</f>
        <v>-6.2</v>
      </c>
      <c r="BF26" s="4">
        <f>ROUND((csv!$HG26/10+calc!BF$1),1)</f>
        <v>-6.1</v>
      </c>
      <c r="BG26" s="4">
        <f>ROUND((csv!$HG26/10+calc!BG$1),1)</f>
        <v>-6</v>
      </c>
      <c r="BH26" s="4">
        <f>ROUND((csv!$HG26/10+calc!BH$1),1)</f>
        <v>-5.9</v>
      </c>
      <c r="BI26" s="4">
        <f>ROUND((csv!$HG26/10+calc!BI$1),1)</f>
        <v>-5.8</v>
      </c>
      <c r="BJ26" s="4">
        <f>ROUND((csv!$HG26/10+calc!BJ$1),1)</f>
        <v>-5.7</v>
      </c>
      <c r="BK26" s="4">
        <f>ROUND((csv!$HG26/10+calc!BK$1),1)</f>
        <v>-5.6</v>
      </c>
      <c r="BL26" s="4">
        <f>ROUND((csv!$HG26/10+calc!BL$1),1)</f>
        <v>-5.5</v>
      </c>
      <c r="BM26" s="4">
        <f>ROUND((csv!$HG26/10+calc!BM$1),1)</f>
        <v>-5.4</v>
      </c>
      <c r="BN26" s="4">
        <f>ROUND((csv!$HG26/10+calc!BN$1),1)</f>
        <v>-5.3</v>
      </c>
      <c r="BO26" s="4">
        <f>ROUND((csv!$HG26/10+calc!BO$1),1)</f>
        <v>-5.2</v>
      </c>
      <c r="BP26" s="4">
        <f>ROUND((csv!$HG26/10+calc!BP$1),1)</f>
        <v>-5.0999999999999996</v>
      </c>
      <c r="BQ26" s="4">
        <f>ROUND((csv!$HG26/10+calc!BQ$1),1)</f>
        <v>-5</v>
      </c>
      <c r="BR26" s="4">
        <f>ROUND((csv!$HG26/10+calc!BR$1),1)</f>
        <v>-4.9000000000000004</v>
      </c>
      <c r="BS26" s="4">
        <f>ROUND((csv!$HG26/10+calc!BS$1),1)</f>
        <v>-4.8</v>
      </c>
      <c r="BT26" s="4">
        <f>ROUND((csv!$HG26/10+calc!BT$1),1)</f>
        <v>-4.7</v>
      </c>
      <c r="BU26" s="4">
        <f>ROUND((csv!$HG26/10+calc!BU$1),1)</f>
        <v>-4.5999999999999996</v>
      </c>
      <c r="BV26" s="4">
        <f>ROUND((csv!$HG26/10+calc!BV$1),1)</f>
        <v>-4.5</v>
      </c>
      <c r="BW26" s="4">
        <f>ROUND((csv!$HG26/10+calc!BW$1),1)</f>
        <v>-4.4000000000000004</v>
      </c>
      <c r="BX26" s="4">
        <f>ROUND((csv!$HG26/10+calc!BX$1),1)</f>
        <v>-4.3</v>
      </c>
      <c r="BY26" s="4">
        <f>ROUND((csv!$HG26/10+calc!BY$1),1)</f>
        <v>-4.2</v>
      </c>
      <c r="BZ26" s="4">
        <f>ROUND((csv!$HG26/10+calc!BZ$1),1)</f>
        <v>-4.0999999999999996</v>
      </c>
      <c r="CA26" s="4">
        <f>ROUND((csv!$HG26/10+calc!CA$1),1)</f>
        <v>-4</v>
      </c>
      <c r="CB26" s="4">
        <f>ROUND((csv!$HG26/10+calc!CB$1),1)</f>
        <v>-3.9</v>
      </c>
      <c r="CC26" s="4">
        <f>ROUND((csv!$HG26/10+calc!CC$1),1)</f>
        <v>-3.8</v>
      </c>
      <c r="CD26" s="4">
        <f>ROUND((csv!$HG26/10+calc!CD$1),1)</f>
        <v>-3.7</v>
      </c>
      <c r="CE26" s="4">
        <f>ROUND((csv!$HG26/10+calc!CE$1),1)</f>
        <v>-3.6</v>
      </c>
      <c r="CF26" s="4">
        <f>ROUND((csv!$HG26/10+calc!CF$1),1)</f>
        <v>-3.5</v>
      </c>
      <c r="CG26" s="4">
        <f>ROUND((csv!$HG26/10+calc!CG$1),1)</f>
        <v>-3.4</v>
      </c>
      <c r="CH26" s="4">
        <f>ROUND((csv!$HG26/10+calc!CH$1),1)</f>
        <v>-3.3</v>
      </c>
      <c r="CI26" s="4">
        <f>ROUND((csv!$HG26/10+calc!CI$1),1)</f>
        <v>-3.2</v>
      </c>
      <c r="CJ26" s="4">
        <f>ROUND((csv!$HG26/10+calc!CJ$1),1)</f>
        <v>-3.1</v>
      </c>
      <c r="CK26" s="4">
        <f>ROUND((csv!$HG26/10+calc!CK$1),1)</f>
        <v>-3</v>
      </c>
      <c r="CL26" s="4">
        <f>ROUND((csv!$HG26/10+calc!CL$1),1)</f>
        <v>-2.9</v>
      </c>
      <c r="CM26" s="4">
        <f>ROUND((csv!$HG26/10+calc!CM$1),1)</f>
        <v>-2.8</v>
      </c>
      <c r="CN26" s="4">
        <f>ROUND((csv!$HG26/10+calc!CN$1),1)</f>
        <v>-2.7</v>
      </c>
      <c r="CO26" s="4">
        <f>ROUND((csv!$HG26/10+calc!CO$1),1)</f>
        <v>-2.6</v>
      </c>
      <c r="CP26" s="4">
        <f>ROUND((csv!$HG26/10+calc!CP$1),1)</f>
        <v>-2.5</v>
      </c>
      <c r="CQ26" s="4">
        <f>ROUND((csv!$HG26/10+calc!CQ$1),1)</f>
        <v>-2.4</v>
      </c>
      <c r="CR26" s="4">
        <f>ROUND((csv!$HG26/10+calc!CR$1),1)</f>
        <v>-2.2999999999999998</v>
      </c>
      <c r="CS26" s="4">
        <f>ROUND((csv!$HG26/10+calc!CS$1),1)</f>
        <v>-2.2000000000000002</v>
      </c>
      <c r="CT26" s="4">
        <f>ROUND((csv!$HG26/10+calc!CT$1),1)</f>
        <v>-2.1</v>
      </c>
      <c r="CU26" s="4">
        <f>ROUND((csv!$HG26/10+calc!CU$1),1)</f>
        <v>-2</v>
      </c>
      <c r="CV26" s="4">
        <f>ROUND((csv!$HG26/10+calc!CV$1),1)</f>
        <v>-1.9</v>
      </c>
      <c r="CW26" s="4">
        <f>ROUND((csv!$HG26/10+calc!CW$1),1)</f>
        <v>-1.8</v>
      </c>
      <c r="CX26" s="4">
        <f>ROUND((csv!$HG26/10+calc!CX$1),1)</f>
        <v>-1.7</v>
      </c>
      <c r="CY26" s="4">
        <f>ROUND((csv!$HG26/10+calc!CY$1),1)</f>
        <v>-1.6</v>
      </c>
      <c r="CZ26" s="4">
        <f>ROUND((csv!$HG26/10+calc!CZ$1),1)</f>
        <v>-1.5</v>
      </c>
      <c r="DA26" s="4">
        <f>ROUND((csv!$HG26/10+calc!DA$1),1)</f>
        <v>-1.4</v>
      </c>
      <c r="DB26" s="4">
        <f>ROUND((csv!$HG26/10+calc!DB$1),1)</f>
        <v>-1.3</v>
      </c>
      <c r="DC26" s="4">
        <f>ROUND((csv!$HG26/10+calc!DC$1),1)</f>
        <v>-1.2</v>
      </c>
      <c r="DD26" s="4">
        <f>ROUND((csv!$HG26/10+calc!DD$1),1)</f>
        <v>-1.1000000000000001</v>
      </c>
      <c r="DE26" s="4">
        <f>ROUND((csv!$HG26/10+calc!DE$1),1)</f>
        <v>-1</v>
      </c>
      <c r="DF26" s="4">
        <f>ROUND((csv!$HG26/10+calc!DF$1),1)</f>
        <v>-0.9</v>
      </c>
      <c r="DG26" s="4">
        <f>ROUND((csv!$HG26/10+calc!DG$1),1)</f>
        <v>-0.8</v>
      </c>
      <c r="DH26" s="4">
        <f>ROUND((csv!$HG26/10+calc!DH$1),1)</f>
        <v>-0.7</v>
      </c>
      <c r="DI26" s="4">
        <f>ROUND((csv!$HG26/10+calc!DI$1),1)</f>
        <v>-0.6</v>
      </c>
      <c r="DJ26" s="4">
        <f>ROUND((csv!$HG26/10+calc!DJ$1),1)</f>
        <v>-0.5</v>
      </c>
      <c r="DK26" s="4">
        <f>ROUND((csv!$HG26/10+calc!DK$1),1)</f>
        <v>-0.4</v>
      </c>
      <c r="DL26" s="4">
        <f>ROUND((csv!$HG26/10+calc!DL$1),1)</f>
        <v>-0.3</v>
      </c>
      <c r="DM26" s="4">
        <f>ROUND((csv!$HG26/10+calc!DM$1),1)</f>
        <v>-0.2</v>
      </c>
      <c r="DN26" s="4">
        <f>ROUND((csv!$HG26/10+calc!DN$1),1)</f>
        <v>-0.1</v>
      </c>
      <c r="DO26" s="4">
        <f>ROUND((csv!$HG26/10+calc!DO$1),1)</f>
        <v>0</v>
      </c>
      <c r="DP26" s="4">
        <f>ROUND((csv!$HG26/10+calc!DP$1),1)</f>
        <v>0.1</v>
      </c>
      <c r="DQ26" s="4">
        <f>ROUND((csv!$HG26/10+calc!DQ$1),1)</f>
        <v>0.2</v>
      </c>
      <c r="DR26" s="4">
        <f>ROUND((csv!$HG26/10+calc!DR$1),1)</f>
        <v>0.3</v>
      </c>
      <c r="DS26" s="4">
        <f>ROUND((csv!$HG26/10+calc!DS$1),1)</f>
        <v>0.4</v>
      </c>
      <c r="DT26" s="4">
        <f>ROUND((csv!$HG26/10+calc!DT$1),1)</f>
        <v>0.5</v>
      </c>
      <c r="DU26" s="4">
        <f>ROUND((csv!$HG26/10+calc!DU$1),1)</f>
        <v>0.6</v>
      </c>
      <c r="DV26" s="4">
        <f>ROUND((csv!$HG26/10+calc!DV$1),1)</f>
        <v>0.7</v>
      </c>
      <c r="DW26" s="4">
        <f>ROUND((csv!$HG26/10+calc!DW$1),1)</f>
        <v>0.8</v>
      </c>
      <c r="DX26" s="4">
        <f>ROUND((csv!$HG26/10+calc!DX$1),1)</f>
        <v>0.9</v>
      </c>
      <c r="DY26" s="4">
        <f>ROUND((csv!$HG26/10+calc!DY$1),1)</f>
        <v>1</v>
      </c>
      <c r="DZ26" s="4">
        <f>ROUND((csv!$HG26/10+calc!DZ$1),1)</f>
        <v>1.1000000000000001</v>
      </c>
      <c r="EA26" s="4">
        <f>ROUND((csv!$HG26/10+calc!EA$1),1)</f>
        <v>1.2</v>
      </c>
      <c r="EB26" s="4">
        <f>ROUND((csv!$HG26/10+calc!EB$1),1)</f>
        <v>1.3</v>
      </c>
      <c r="EC26" s="4">
        <f>ROUND((csv!$HG26/10+calc!EC$1),1)</f>
        <v>1.4</v>
      </c>
      <c r="ED26" s="4">
        <f>ROUND((csv!$HG26/10+calc!ED$1),1)</f>
        <v>1.5</v>
      </c>
      <c r="EE26" s="4">
        <f>ROUND((csv!$HG26/10+calc!EE$1),1)</f>
        <v>1.6</v>
      </c>
      <c r="EF26" s="4">
        <f>ROUND((csv!$HG26/10+calc!EF$1),1)</f>
        <v>1.7</v>
      </c>
      <c r="EG26" s="4">
        <f>ROUND((csv!$HG26/10+calc!EG$1),1)</f>
        <v>1.8</v>
      </c>
      <c r="EH26" s="4">
        <f>ROUND((csv!$HG26/10+calc!EH$1),1)</f>
        <v>1.9</v>
      </c>
      <c r="EI26" s="4">
        <f>ROUND((csv!$HG26/10+calc!EI$1),1)</f>
        <v>2</v>
      </c>
      <c r="EJ26" s="4">
        <f>ROUND((csv!$HG26/10+calc!EJ$1),1)</f>
        <v>2.1</v>
      </c>
      <c r="EK26" s="4">
        <f>ROUND((csv!$HG26/10+calc!EK$1),1)</f>
        <v>2.2000000000000002</v>
      </c>
      <c r="EL26" s="4">
        <f>ROUND((csv!$HG26/10+calc!EL$1),1)</f>
        <v>2.2999999999999998</v>
      </c>
      <c r="EM26" s="4">
        <f>ROUND((csv!$HG26/10+calc!EM$1),1)</f>
        <v>2.4</v>
      </c>
      <c r="EN26" s="4">
        <f>ROUND((csv!$HG26/10+calc!EN$1),1)</f>
        <v>2.5</v>
      </c>
      <c r="EO26" s="4">
        <f>ROUND((csv!$HG26/10+calc!EO$1),1)</f>
        <v>2.6</v>
      </c>
      <c r="EP26" s="4">
        <f>ROUND((csv!$HG26/10+calc!EP$1),1)</f>
        <v>2.7</v>
      </c>
      <c r="EQ26" s="4">
        <f>ROUND((csv!$HG26/10+calc!EQ$1),1)</f>
        <v>2.8</v>
      </c>
      <c r="ER26" s="4">
        <f>ROUND((csv!$HG26/10+calc!ER$1),1)</f>
        <v>2.9</v>
      </c>
      <c r="ES26" s="4">
        <f>ROUND((csv!$HG26/10+calc!ES$1),1)</f>
        <v>3</v>
      </c>
      <c r="ET26" s="4">
        <f>ROUND((csv!$HG26/10+calc!ET$1),1)</f>
        <v>3.1</v>
      </c>
      <c r="EU26" s="4">
        <f>ROUND((csv!$HG26/10+calc!EU$1),1)</f>
        <v>3.2</v>
      </c>
      <c r="EV26" s="4">
        <f>ROUND((csv!$HG26/10+calc!EV$1),1)</f>
        <v>3.3</v>
      </c>
      <c r="EW26" s="4">
        <f>ROUND((csv!$HG26/10+calc!EW$1),1)</f>
        <v>3.4</v>
      </c>
      <c r="EX26" s="4">
        <f>ROUND((csv!$HG26/10+calc!EX$1),1)</f>
        <v>3.5</v>
      </c>
      <c r="EY26" s="4">
        <f>ROUND((csv!$HG26/10+calc!EY$1),1)</f>
        <v>3.6</v>
      </c>
      <c r="EZ26" s="4">
        <f>ROUND((csv!$HG26/10+calc!EZ$1),1)</f>
        <v>3.7</v>
      </c>
      <c r="FA26" s="4">
        <f>ROUND((csv!$HG26/10+calc!FA$1),1)</f>
        <v>3.8</v>
      </c>
      <c r="FB26" s="4">
        <f>ROUND((csv!$HG26/10+calc!FB$1),1)</f>
        <v>3.9</v>
      </c>
      <c r="FC26" s="4">
        <f>ROUND((csv!$HG26/10+calc!FC$1),1)</f>
        <v>4</v>
      </c>
      <c r="FD26" s="4">
        <f>ROUND((csv!$HG26/10+calc!FD$1),1)</f>
        <v>4.0999999999999996</v>
      </c>
      <c r="FE26" s="4">
        <f>ROUND((csv!$HG26/10+calc!FE$1),1)</f>
        <v>4.2</v>
      </c>
      <c r="FF26" s="4">
        <f>ROUND((csv!$HG26/10+calc!FF$1),1)</f>
        <v>4.3</v>
      </c>
      <c r="FG26" s="4">
        <f>ROUND((csv!$HG26/10+calc!FG$1),1)</f>
        <v>4.4000000000000004</v>
      </c>
      <c r="FH26" s="4">
        <f>ROUND((csv!$HG26/10+calc!FH$1),1)</f>
        <v>4.5</v>
      </c>
      <c r="FI26" s="4">
        <f>ROUND((csv!$HG26/10+calc!FI$1),1)</f>
        <v>4.5999999999999996</v>
      </c>
      <c r="FJ26" s="4">
        <f>ROUND((csv!$HG26/10+calc!FJ$1),1)</f>
        <v>4.7</v>
      </c>
      <c r="FK26" s="4">
        <f>ROUND((csv!$HG26/10+calc!FK$1),1)</f>
        <v>4.8</v>
      </c>
      <c r="FL26" s="4">
        <f>ROUND((csv!$HG26/10+calc!FL$1),1)</f>
        <v>4.9000000000000004</v>
      </c>
      <c r="FM26" s="4">
        <f>ROUND((csv!$HG26/10+calc!FM$1),1)</f>
        <v>5</v>
      </c>
      <c r="FN26" s="4">
        <f>ROUND((csv!$HG26/10+calc!FN$1),1)</f>
        <v>5.0999999999999996</v>
      </c>
      <c r="FO26" s="4">
        <f>ROUND((csv!$HG26/10+calc!FO$1),1)</f>
        <v>5.2</v>
      </c>
      <c r="FP26" s="4">
        <f>ROUND((csv!$HG26/10+calc!FP$1),1)</f>
        <v>5.3</v>
      </c>
      <c r="FQ26" s="4">
        <f>ROUND((csv!$HG26/10+calc!FQ$1),1)</f>
        <v>5.4</v>
      </c>
      <c r="FR26" s="4">
        <f>ROUND((csv!$HG26/10+calc!FR$1),1)</f>
        <v>5.5</v>
      </c>
      <c r="FS26" s="4">
        <f>ROUND((csv!$HG26/10+calc!FS$1),1)</f>
        <v>5.6</v>
      </c>
      <c r="FT26" s="4">
        <f>ROUND((csv!$HG26/10+calc!FT$1),1)</f>
        <v>5.7</v>
      </c>
      <c r="FU26" s="4">
        <f>ROUND((csv!$HG26/10+calc!FU$1),1)</f>
        <v>5.8</v>
      </c>
      <c r="FV26" s="4">
        <f>ROUND((csv!$HG26/10+calc!FV$1),1)</f>
        <v>5.9</v>
      </c>
      <c r="FW26" s="4">
        <f>ROUND((csv!$HG26/10+calc!FW$1),1)</f>
        <v>6</v>
      </c>
      <c r="FX26" s="4">
        <f>ROUND((csv!$HG26/10+calc!FX$1),1)</f>
        <v>6.1</v>
      </c>
      <c r="FY26" s="4">
        <f>ROUND((csv!$HG26/10+calc!FY$1),1)</f>
        <v>6.2</v>
      </c>
      <c r="FZ26" s="4">
        <f>ROUND((csv!$HG26/10+calc!FZ$1),1)</f>
        <v>6.3</v>
      </c>
      <c r="GA26" s="4">
        <f>ROUND((csv!$HG26/10+calc!GA$1),1)</f>
        <v>6.4</v>
      </c>
      <c r="GB26" s="4">
        <f>ROUND((csv!$HG26/10+calc!GB$1),1)</f>
        <v>6.5</v>
      </c>
      <c r="GC26" s="4">
        <f>ROUND((csv!$HG26/10+calc!GC$1),1)</f>
        <v>6.6</v>
      </c>
      <c r="GD26" s="4">
        <f>ROUND((csv!$HG26/10+calc!GD$1),1)</f>
        <v>6.7</v>
      </c>
      <c r="GE26" s="4">
        <f>ROUND((csv!$HG26/10+calc!GE$1),1)</f>
        <v>6.8</v>
      </c>
      <c r="GF26" s="4">
        <f>ROUND((csv!$HG26/10+calc!GF$1),1)</f>
        <v>6.9</v>
      </c>
      <c r="GG26" s="4">
        <f>ROUND((csv!$HG26/10+calc!GG$1),1)</f>
        <v>7</v>
      </c>
      <c r="GH26" s="4">
        <f>ROUND((csv!$HG26/10+calc!GH$1),1)</f>
        <v>7.1</v>
      </c>
      <c r="GI26" s="4">
        <f>ROUND((csv!$HG26/10+calc!GI$1),1)</f>
        <v>7.2</v>
      </c>
      <c r="GJ26" s="4">
        <f>ROUND((csv!$HG26/10+calc!GJ$1),1)</f>
        <v>7.3</v>
      </c>
      <c r="GK26" s="4">
        <f>ROUND((csv!$HG26/10+calc!GK$1),1)</f>
        <v>7.4</v>
      </c>
      <c r="GL26" s="4">
        <f>ROUND((csv!$HG26/10+calc!GL$1),1)</f>
        <v>7.5</v>
      </c>
      <c r="GM26" s="4">
        <f>ROUND((csv!$HG26/10+calc!GM$1),1)</f>
        <v>7.6</v>
      </c>
      <c r="GN26" s="4">
        <f>ROUND((csv!$HG26/10+calc!GN$1),1)</f>
        <v>7.7</v>
      </c>
      <c r="GO26" s="4">
        <f>ROUND((csv!$HG26/10+calc!GO$1),1)</f>
        <v>7.8</v>
      </c>
      <c r="GP26" s="4">
        <f>ROUND((csv!$HG26/10+calc!GP$1),1)</f>
        <v>7.9</v>
      </c>
      <c r="GQ26" s="4">
        <f>ROUND((csv!$HG26/10+calc!GQ$1),1)</f>
        <v>8</v>
      </c>
      <c r="GR26" s="4">
        <f>ROUND((csv!$HG26/10+calc!GR$1),1)</f>
        <v>8.1</v>
      </c>
      <c r="GS26" s="4">
        <f>ROUND((csv!$HG26/10+calc!GS$1),1)</f>
        <v>8.1999999999999993</v>
      </c>
      <c r="GT26" s="4">
        <f>ROUND((csv!$HG26/10+calc!GT$1),1)</f>
        <v>8.3000000000000007</v>
      </c>
      <c r="GU26" s="4">
        <f>ROUND((csv!$HG26/10+calc!GU$1),1)</f>
        <v>8.4</v>
      </c>
      <c r="GV26" s="4">
        <f>ROUND((csv!$HG26/10+calc!GV$1),1)</f>
        <v>8.5</v>
      </c>
      <c r="GW26" s="4">
        <f>ROUND((csv!$HG26/10+calc!GW$1),1)</f>
        <v>8.6</v>
      </c>
      <c r="GX26" s="4">
        <f>ROUND((csv!$HG26/10+calc!GX$1),1)</f>
        <v>8.6999999999999993</v>
      </c>
      <c r="GY26" s="4">
        <f>ROUND((csv!$HG26/10+calc!GY$1),1)</f>
        <v>8.8000000000000007</v>
      </c>
      <c r="GZ26" s="4">
        <f>ROUND((csv!$HG26/10+calc!GZ$1),1)</f>
        <v>8.9</v>
      </c>
      <c r="HA26" s="4">
        <f>ROUND((csv!$HG26/10+calc!HA$1),1)</f>
        <v>9</v>
      </c>
      <c r="HB26" s="4">
        <f>ROUND((csv!$HG26/10+calc!HB$1),1)</f>
        <v>9.1</v>
      </c>
      <c r="HC26" s="4">
        <f>ROUND((csv!$HG26/10+calc!HC$1),1)</f>
        <v>9.1999999999999993</v>
      </c>
      <c r="HD26" s="4">
        <f>ROUND((csv!$HG26/10+calc!HD$1),1)</f>
        <v>9.3000000000000007</v>
      </c>
      <c r="HE26" s="4">
        <f>ROUND((csv!$HG26/10+calc!HE$1),1)</f>
        <v>9.4</v>
      </c>
      <c r="HF26" s="4">
        <f>ROUND((csv!$HG26/10+calc!HF$1),1)</f>
        <v>9.5</v>
      </c>
      <c r="HG26" s="4">
        <f>ROUND((csv!$HG26/10+calc!HG$1),1)</f>
        <v>9.6</v>
      </c>
      <c r="HH26" s="4">
        <f>ROUND((csv!$HG26/10+calc!HH$1),1)</f>
        <v>9.6999999999999993</v>
      </c>
      <c r="HI26" s="4">
        <f>ROUND((csv!$HG26/10+calc!HI$1),1)</f>
        <v>9.8000000000000007</v>
      </c>
      <c r="HJ26" s="4">
        <f>ROUND((csv!$HG26/10+calc!HJ$1),1)</f>
        <v>9.9</v>
      </c>
      <c r="HK26" s="4">
        <f>ROUND((csv!$HG26/10+calc!HK$1),1)</f>
        <v>10</v>
      </c>
      <c r="HM26" s="2">
        <f>csv!A26*10000+csv!B26*100+csv!C26</f>
        <v>0</v>
      </c>
      <c r="HN26" s="5">
        <f>IF(ISERROR(LOOKUP(HN$1,$S26:$HK26,csv!$L26:$HD26)),NA(),LOOKUP(HN$1,$S26:$HK26,csv!$L26:$HD26))</f>
        <v>0</v>
      </c>
      <c r="HO26" s="5">
        <f>IF(ISERROR(LOOKUP(HO$1,$S26:$HK26,csv!$L26:$HD26)),NA(),LOOKUP(HO$1,$S26:$HK26,csv!$L26:$HD26))</f>
        <v>0</v>
      </c>
      <c r="HP26" s="5">
        <f>IF(ISERROR(LOOKUP(HP$1,$S26:$HK26,csv!$L26:$HD26)),NA(),LOOKUP(HP$1,$S26:$HK26,csv!$L26:$HD26))</f>
        <v>0</v>
      </c>
      <c r="HQ26" s="5">
        <f>IF(ISERROR(LOOKUP(HQ$1,$S26:$HK26,csv!$L26:$HD26)),NA(),LOOKUP(HQ$1,$S26:$HK26,csv!$L26:$HD26))</f>
        <v>0</v>
      </c>
      <c r="HR26" s="5">
        <f>IF(ISERROR(LOOKUP(HR$1,$S26:$HK26,csv!$L26:$HD26)),NA(),LOOKUP(HR$1,$S26:$HK26,csv!$L26:$HD26))</f>
        <v>0</v>
      </c>
      <c r="HS26" s="5">
        <f>IF(ISERROR(LOOKUP(HS$1,$S26:$HK26,csv!$L26:$HD26)),NA(),LOOKUP(HS$1,$S26:$HK26,csv!$L26:$HD26))</f>
        <v>0</v>
      </c>
      <c r="HT26" s="5">
        <f>IF(ISERROR(LOOKUP(HT$1,$S26:$HK26,csv!$L26:$HD26)),NA(),LOOKUP(HT$1,$S26:$HK26,csv!$L26:$HD26))</f>
        <v>0</v>
      </c>
      <c r="HU26" s="5">
        <f>IF(ISERROR(LOOKUP(HU$1,$S26:$HK26,csv!$L26:$HD26)),NA(),LOOKUP(HU$1,$S26:$HK26,csv!$L26:$HD26))</f>
        <v>0</v>
      </c>
      <c r="HV26" s="5">
        <f>IF(ISERROR(LOOKUP(HV$1,$S26:$HK26,csv!$L26:$HD26)),NA(),LOOKUP(HV$1,$S26:$HK26,csv!$L26:$HD26))</f>
        <v>0</v>
      </c>
      <c r="HW26" s="5">
        <f>IF(ISERROR(LOOKUP(HW$1,$S26:$HK26,csv!$L26:$HD26)),NA(),LOOKUP(HW$1,$S26:$HK26,csv!$L26:$HD26))</f>
        <v>0</v>
      </c>
      <c r="HX26" s="5">
        <f>IF(ISERROR(LOOKUP(HX$1,$S26:$HK26,csv!$L26:$HD26)),NA(),LOOKUP(HX$1,$S26:$HK26,csv!$L26:$HD26))</f>
        <v>0</v>
      </c>
      <c r="HY26" s="5">
        <f>IF(ISERROR(LOOKUP(HY$1,$S26:$HK26,csv!$L26:$HD26)),NA(),LOOKUP(HY$1,$S26:$HK26,csv!$L26:$HD26))</f>
        <v>0</v>
      </c>
      <c r="HZ26" s="5">
        <f>IF(ISERROR(LOOKUP(HZ$1,$S26:$HK26,csv!$L26:$HD26)),NA(),LOOKUP(HZ$1,$S26:$HK26,csv!$L26:$HD26))</f>
        <v>0</v>
      </c>
      <c r="IA26" s="5">
        <f>IF(ISERROR(LOOKUP(IA$1,$S26:$HK26,csv!$L26:$HD26)),NA(),LOOKUP(IA$1,$S26:$HK26,csv!$L26:$HD26))</f>
        <v>0</v>
      </c>
      <c r="IB26" s="5">
        <f>IF(ISERROR(LOOKUP(IB$1,$S26:$HK26,csv!$L26:$HD26)),NA(),LOOKUP(IB$1,$S26:$HK26,csv!$L26:$HD26))</f>
        <v>0</v>
      </c>
      <c r="IC26" s="5">
        <f>IF(ISERROR(LOOKUP(IC$1,$S26:$HK26,csv!$L26:$HD26)),NA(),LOOKUP(IC$1,$S26:$HK26,csv!$L26:$HD26))</f>
        <v>0</v>
      </c>
      <c r="ID26" s="5">
        <f>IF(ISERROR(LOOKUP(ID$1,$S26:$HK26,csv!$L26:$HD26)),NA(),LOOKUP(ID$1,$S26:$HK26,csv!$L26:$HD26))</f>
        <v>0</v>
      </c>
      <c r="IE26" s="5">
        <f>IF(ISERROR(LOOKUP(IE$1,$S26:$HK26,csv!$L26:$HD26)),NA(),LOOKUP(IE$1,$S26:$HK26,csv!$L26:$HD26))</f>
        <v>0</v>
      </c>
      <c r="IF26" s="5">
        <f>IF(ISERROR(LOOKUP(IF$1,$S26:$HK26,csv!$L26:$HD26)),NA(),LOOKUP(IF$1,$S26:$HK26,csv!$L26:$HD26))</f>
        <v>0</v>
      </c>
      <c r="IG26" s="5">
        <f>IF(ISERROR(LOOKUP(IG$1,$S26:$HK26,csv!$L26:$HD26)),NA(),LOOKUP(IG$1,$S26:$HK26,csv!$L26:$HD26))</f>
        <v>0</v>
      </c>
      <c r="IH26" s="5">
        <f>IF(ISERROR(LOOKUP(IH$1,$S26:$HK26,csv!$L26:$HD26)),NA(),LOOKUP(IH$1,$S26:$HK26,csv!$L26:$HD26))</f>
        <v>0</v>
      </c>
      <c r="II26" s="5">
        <f>IF(ISERROR(LOOKUP(II$1,$S26:$HK26,csv!$L26:$HD26)),NA(),LOOKUP(II$1,$S26:$HK26,csv!$L26:$HD26))</f>
        <v>0</v>
      </c>
      <c r="IJ26" s="5">
        <f>IF(ISERROR(LOOKUP(IJ$1,$S26:$HK26,csv!$L26:$HD26)),NA(),LOOKUP(IJ$1,$S26:$HK26,csv!$L26:$HD26))</f>
        <v>0</v>
      </c>
      <c r="IK26" s="5">
        <f>IF(ISERROR(LOOKUP(IK$1,$S26:$HK26,csv!$L26:$HD26)),NA(),LOOKUP(IK$1,$S26:$HK26,csv!$L26:$HD26))</f>
        <v>0</v>
      </c>
      <c r="IL26" s="5">
        <f>IF(ISERROR(LOOKUP(IL$1,$S26:$HK26,csv!$L26:$HD26)),NA(),LOOKUP(IL$1,$S26:$HK26,csv!$L26:$HD26))</f>
        <v>0</v>
      </c>
      <c r="IM26" s="5">
        <f>IF(ISERROR(LOOKUP(IM$1,$S26:$HK26,csv!$L26:$HD26)),NA(),LOOKUP(IM$1,$S26:$HK26,csv!$L26:$HD26))</f>
        <v>0</v>
      </c>
      <c r="IN26" s="5">
        <f>IF(ISERROR(LOOKUP(IN$1,$S26:$HK26,csv!$L26:$HD26)),NA(),LOOKUP(IN$1,$S26:$HK26,csv!$L26:$HD26))</f>
        <v>0</v>
      </c>
      <c r="IO26" s="5">
        <f>IF(ISERROR(LOOKUP(IO$1,$S26:$HK26,csv!$L26:$HD26)),NA(),LOOKUP(IO$1,$S26:$HK26,csv!$L26:$HD26))</f>
        <v>0</v>
      </c>
      <c r="IP26" s="5">
        <f>IF(ISERROR(LOOKUP(IP$1,$S26:$HK26,csv!$L26:$HD26)),NA(),LOOKUP(IP$1,$S26:$HK26,csv!$L26:$HD26))</f>
        <v>0</v>
      </c>
      <c r="IQ26" s="5">
        <f>IF(ISERROR(LOOKUP(IQ$1,$S26:$HK26,csv!$L26:$HD26)),NA(),LOOKUP(IQ$1,$S26:$HK26,csv!$L26:$HD26))</f>
        <v>0</v>
      </c>
      <c r="IR26" s="5">
        <f>IF(ISERROR(LOOKUP(IR$1,$S26:$HK26,csv!$L26:$HD26)),NA(),LOOKUP(IR$1,$S26:$HK26,csv!$L26:$HD26))</f>
        <v>0</v>
      </c>
      <c r="IS26" s="5">
        <f>IF(ISERROR(LOOKUP(IS$1,$S26:$HK26,csv!$L26:$HD26)),NA(),LOOKUP(IS$1,$S26:$HK26,csv!$L26:$HD26))</f>
        <v>0</v>
      </c>
      <c r="IT26" s="5">
        <f>IF(ISERROR(LOOKUP(IT$1,$S26:$HK26,csv!$L26:$HD26)),NA(),LOOKUP(IT$1,$S26:$HK26,csv!$L26:$HD26))</f>
        <v>0</v>
      </c>
      <c r="IU26" s="5">
        <f>IF(ISERROR(LOOKUP(IU$1,$S26:$HK26,csv!$L26:$HD26)),NA(),LOOKUP(IU$1,$S26:$HK26,csv!$L26:$HD26))</f>
        <v>0</v>
      </c>
      <c r="IV26" s="5">
        <f>IF(ISERROR(LOOKUP(IV$1,$S26:$HK26,csv!$L26:$HD26)),NA(),LOOKUP(IV$1,$S26:$HK26,csv!$L26:$HD26))</f>
        <v>0</v>
      </c>
      <c r="IW26" s="5">
        <f>IF(ISERROR(LOOKUP(IW$1,$S26:$HK26,csv!$L26:$HD26)),NA(),LOOKUP(IW$1,$S26:$HK26,csv!$L26:$HD26))</f>
        <v>0</v>
      </c>
      <c r="IX26" s="5">
        <f>IF(ISERROR(LOOKUP(IX$1,$S26:$HK26,csv!$L26:$HD26)),NA(),LOOKUP(IX$1,$S26:$HK26,csv!$L26:$HD26))</f>
        <v>0</v>
      </c>
      <c r="IY26" s="5">
        <f>IF(ISERROR(LOOKUP(IY$1,$S26:$HK26,csv!$L26:$HD26)),NA(),LOOKUP(IY$1,$S26:$HK26,csv!$L26:$HD26))</f>
        <v>0</v>
      </c>
      <c r="IZ26" s="5">
        <f>IF(ISERROR(LOOKUP(IZ$1,$S26:$HK26,csv!$L26:$HD26)),NA(),LOOKUP(IZ$1,$S26:$HK26,csv!$L26:$HD26))</f>
        <v>0</v>
      </c>
      <c r="JA26" s="5">
        <f>IF(ISERROR(LOOKUP(JA$1,$S26:$HK26,csv!$L26:$HD26)),NA(),LOOKUP(JA$1,$S26:$HK26,csv!$L26:$HD26))</f>
        <v>0</v>
      </c>
      <c r="JB26" s="5">
        <f>IF(ISERROR(LOOKUP(JB$1,$S26:$HK26,csv!$L26:$HD26)),NA(),LOOKUP(JB$1,$S26:$HK26,csv!$L26:$HD26))</f>
        <v>0</v>
      </c>
      <c r="JC26" s="5">
        <f>IF(ISERROR(LOOKUP(JC$1,$S26:$HK26,csv!$L26:$HD26)),NA(),LOOKUP(JC$1,$S26:$HK26,csv!$L26:$HD26))</f>
        <v>0</v>
      </c>
      <c r="JD26" s="5">
        <f>IF(ISERROR(LOOKUP(JD$1,$S26:$HK26,csv!$L26:$HD26)),NA(),LOOKUP(JD$1,$S26:$HK26,csv!$L26:$HD26))</f>
        <v>0</v>
      </c>
      <c r="JE26" s="5">
        <f>IF(ISERROR(LOOKUP(JE$1,$S26:$HK26,csv!$L26:$HD26)),NA(),LOOKUP(JE$1,$S26:$HK26,csv!$L26:$HD26))</f>
        <v>0</v>
      </c>
      <c r="JF26" s="5">
        <f>IF(ISERROR(LOOKUP(JF$1,$S26:$HK26,csv!$L26:$HD26)),NA(),LOOKUP(JF$1,$S26:$HK26,csv!$L26:$HD26))</f>
        <v>0</v>
      </c>
      <c r="JG26" s="5">
        <f>IF(ISERROR(LOOKUP(JG$1,$S26:$HK26,csv!$L26:$HD26)),NA(),LOOKUP(JG$1,$S26:$HK26,csv!$L26:$HD26))</f>
        <v>0</v>
      </c>
      <c r="JH26" s="5">
        <f>IF(ISERROR(LOOKUP(JH$1,$S26:$HK26,csv!$L26:$HD26)),NA(),LOOKUP(JH$1,$S26:$HK26,csv!$L26:$HD26))</f>
        <v>0</v>
      </c>
      <c r="JI26" s="5">
        <f>IF(ISERROR(LOOKUP(JI$1,$S26:$HK26,csv!$L26:$HD26)),NA(),LOOKUP(JI$1,$S26:$HK26,csv!$L26:$HD26))</f>
        <v>0</v>
      </c>
      <c r="JJ26" s="5">
        <f>IF(ISERROR(LOOKUP(JJ$1,$S26:$HK26,csv!$L26:$HD26)),NA(),LOOKUP(JJ$1,$S26:$HK26,csv!$L26:$HD26))</f>
        <v>0</v>
      </c>
      <c r="JK26" s="5">
        <f>IF(ISERROR(LOOKUP(JK$1,$S26:$HK26,csv!$L26:$HD26)),NA(),LOOKUP(JK$1,$S26:$HK26,csv!$L26:$HD26))</f>
        <v>0</v>
      </c>
      <c r="JL26" s="5">
        <f>IF(ISERROR(LOOKUP(JL$1,$S26:$HK26,csv!$L26:$HD26)),NA(),LOOKUP(JL$1,$S26:$HK26,csv!$L26:$HD26))</f>
        <v>0</v>
      </c>
      <c r="JM26" s="5">
        <f>IF(ISERROR(LOOKUP(JM$1,$S26:$HK26,csv!$L26:$HD26)),NA(),LOOKUP(JM$1,$S26:$HK26,csv!$L26:$HD26))</f>
        <v>0</v>
      </c>
      <c r="JN26" s="5">
        <f>IF(ISERROR(LOOKUP(JN$1,$S26:$HK26,csv!$L26:$HD26)),NA(),LOOKUP(JN$1,$S26:$HK26,csv!$L26:$HD26))</f>
        <v>0</v>
      </c>
      <c r="JO26" s="5">
        <f>IF(ISERROR(LOOKUP(JO$1,$S26:$HK26,csv!$L26:$HD26)),NA(),LOOKUP(JO$1,$S26:$HK26,csv!$L26:$HD26))</f>
        <v>0</v>
      </c>
      <c r="JP26" s="5">
        <f>IF(ISERROR(LOOKUP(JP$1,$S26:$HK26,csv!$L26:$HD26)),NA(),LOOKUP(JP$1,$S26:$HK26,csv!$L26:$HD26))</f>
        <v>0</v>
      </c>
      <c r="JQ26" s="5">
        <f>IF(ISERROR(LOOKUP(JQ$1,$S26:$HK26,csv!$L26:$HD26)),NA(),LOOKUP(JQ$1,$S26:$HK26,csv!$L26:$HD26))</f>
        <v>0</v>
      </c>
      <c r="JR26" s="5">
        <f>IF(ISERROR(LOOKUP(JR$1,$S26:$HK26,csv!$L26:$HD26)),NA(),LOOKUP(JR$1,$S26:$HK26,csv!$L26:$HD26))</f>
        <v>0</v>
      </c>
      <c r="JS26" s="5">
        <f>IF(ISERROR(LOOKUP(JS$1,$S26:$HK26,csv!$L26:$HD26)),NA(),LOOKUP(JS$1,$S26:$HK26,csv!$L26:$HD26))</f>
        <v>0</v>
      </c>
      <c r="JT26" s="5">
        <f>IF(ISERROR(LOOKUP(JT$1,$S26:$HK26,csv!$L26:$HD26)),NA(),LOOKUP(JT$1,$S26:$HK26,csv!$L26:$HD26))</f>
        <v>0</v>
      </c>
      <c r="JU26" s="5">
        <f>IF(ISERROR(LOOKUP(JU$1,$S26:$HK26,csv!$L26:$HD26)),NA(),LOOKUP(JU$1,$S26:$HK26,csv!$L26:$HD26))</f>
        <v>0</v>
      </c>
      <c r="JV26" s="5">
        <f>IF(ISERROR(LOOKUP(JV$1,$S26:$HK26,csv!$L26:$HD26)),NA(),LOOKUP(JV$1,$S26:$HK26,csv!$L26:$HD26))</f>
        <v>0</v>
      </c>
      <c r="JW26" s="5">
        <f>IF(ISERROR(LOOKUP(JW$1,$S26:$HK26,csv!$L26:$HD26)),NA(),LOOKUP(JW$1,$S26:$HK26,csv!$L26:$HD26))</f>
        <v>0</v>
      </c>
      <c r="JX26" s="5">
        <f>IF(ISERROR(LOOKUP(JX$1,$S26:$HK26,csv!$L26:$HD26)),NA(),LOOKUP(JX$1,$S26:$HK26,csv!$L26:$HD26))</f>
        <v>0</v>
      </c>
      <c r="JY26" s="5">
        <f>IF(ISERROR(LOOKUP(JY$1,$S26:$HK26,csv!$L26:$HD26)),NA(),LOOKUP(JY$1,$S26:$HK26,csv!$L26:$HD26))</f>
        <v>0</v>
      </c>
      <c r="JZ26" s="5">
        <f>IF(ISERROR(LOOKUP(JZ$1,$S26:$HK26,csv!$L26:$HD26)),NA(),LOOKUP(JZ$1,$S26:$HK26,csv!$L26:$HD26))</f>
        <v>0</v>
      </c>
      <c r="KA26" s="5">
        <f>IF(ISERROR(LOOKUP(KA$1,$S26:$HK26,csv!$L26:$HD26)),NA(),LOOKUP(KA$1,$S26:$HK26,csv!$L26:$HD26))</f>
        <v>0</v>
      </c>
      <c r="KB26" s="5">
        <f>IF(ISERROR(LOOKUP(KB$1,$S26:$HK26,csv!$L26:$HD26)),NA(),LOOKUP(KB$1,$S26:$HK26,csv!$L26:$HD26))</f>
        <v>0</v>
      </c>
      <c r="KC26" s="5">
        <f>IF(ISERROR(LOOKUP(KC$1,$S26:$HK26,csv!$L26:$HD26)),NA(),LOOKUP(KC$1,$S26:$HK26,csv!$L26:$HD26))</f>
        <v>0</v>
      </c>
      <c r="KD26" s="5">
        <f>IF(ISERROR(LOOKUP(KD$1,$S26:$HK26,csv!$L26:$HD26)),NA(),LOOKUP(KD$1,$S26:$HK26,csv!$L26:$HD26))</f>
        <v>0</v>
      </c>
      <c r="KE26" s="5">
        <f>IF(ISERROR(LOOKUP(KE$1,$S26:$HK26,csv!$L26:$HD26)),NA(),LOOKUP(KE$1,$S26:$HK26,csv!$L26:$HD26))</f>
        <v>0</v>
      </c>
      <c r="KF26" s="5">
        <f>IF(ISERROR(LOOKUP(KF$1,$S26:$HK26,csv!$L26:$HD26)),NA(),LOOKUP(KF$1,$S26:$HK26,csv!$L26:$HD26))</f>
        <v>0</v>
      </c>
      <c r="KG26" s="5">
        <f>IF(ISERROR(LOOKUP(KG$1,$S26:$HK26,csv!$L26:$HD26)),NA(),LOOKUP(KG$1,$S26:$HK26,csv!$L26:$HD26))</f>
        <v>0</v>
      </c>
      <c r="KH26" s="5">
        <f>IF(ISERROR(LOOKUP(KH$1,$S26:$HK26,csv!$L26:$HD26)),NA(),LOOKUP(KH$1,$S26:$HK26,csv!$L26:$HD26))</f>
        <v>0</v>
      </c>
      <c r="KI26" s="5">
        <f>IF(ISERROR(LOOKUP(KI$1,$S26:$HK26,csv!$L26:$HD26)),NA(),LOOKUP(KI$1,$S26:$HK26,csv!$L26:$HD26))</f>
        <v>0</v>
      </c>
      <c r="KJ26" s="5">
        <f>IF(ISERROR(LOOKUP(KJ$1,$S26:$HK26,csv!$L26:$HD26)),NA(),LOOKUP(KJ$1,$S26:$HK26,csv!$L26:$HD26))</f>
        <v>0</v>
      </c>
      <c r="KK26" s="5">
        <f>IF(ISERROR(LOOKUP(KK$1,$S26:$HK26,csv!$L26:$HD26)),NA(),LOOKUP(KK$1,$S26:$HK26,csv!$L26:$HD26))</f>
        <v>0</v>
      </c>
      <c r="KL26" s="5">
        <f>IF(ISERROR(LOOKUP(KL$1,$S26:$HK26,csv!$L26:$HD26)),NA(),LOOKUP(KL$1,$S26:$HK26,csv!$L26:$HD26))</f>
        <v>0</v>
      </c>
      <c r="KM26" s="5">
        <f>IF(ISERROR(LOOKUP(KM$1,$S26:$HK26,csv!$L26:$HD26)),NA(),LOOKUP(KM$1,$S26:$HK26,csv!$L26:$HD26))</f>
        <v>0</v>
      </c>
      <c r="KN26" s="5">
        <f>IF(ISERROR(LOOKUP(KN$1,$S26:$HK26,csv!$L26:$HD26)),NA(),LOOKUP(KN$1,$S26:$HK26,csv!$L26:$HD26))</f>
        <v>0</v>
      </c>
      <c r="KO26" s="5">
        <f>IF(ISERROR(LOOKUP(KO$1,$S26:$HK26,csv!$L26:$HD26)),NA(),LOOKUP(KO$1,$S26:$HK26,csv!$L26:$HD26))</f>
        <v>0</v>
      </c>
      <c r="KP26" s="5">
        <f>IF(ISERROR(LOOKUP(KP$1,$S26:$HK26,csv!$L26:$HD26)),NA(),LOOKUP(KP$1,$S26:$HK26,csv!$L26:$HD26))</f>
        <v>0</v>
      </c>
      <c r="KQ26" s="5">
        <f>IF(ISERROR(LOOKUP(KQ$1,$S26:$HK26,csv!$L26:$HD26)),NA(),LOOKUP(KQ$1,$S26:$HK26,csv!$L26:$HD26))</f>
        <v>0</v>
      </c>
      <c r="KR26" s="5">
        <f>IF(ISERROR(LOOKUP(KR$1,$S26:$HK26,csv!$L26:$HD26)),NA(),LOOKUP(KR$1,$S26:$HK26,csv!$L26:$HD26))</f>
        <v>0</v>
      </c>
      <c r="KS26" s="5">
        <f>IF(ISERROR(LOOKUP(KS$1,$S26:$HK26,csv!$L26:$HD26)),NA(),LOOKUP(KS$1,$S26:$HK26,csv!$L26:$HD26))</f>
        <v>0</v>
      </c>
      <c r="KT26" s="5">
        <f>IF(ISERROR(LOOKUP(KT$1,$S26:$HK26,csv!$L26:$HD26)),NA(),LOOKUP(KT$1,$S26:$HK26,csv!$L26:$HD26))</f>
        <v>0</v>
      </c>
      <c r="KU26" s="5">
        <f>IF(ISERROR(LOOKUP(KU$1,$S26:$HK26,csv!$L26:$HD26)),NA(),LOOKUP(KU$1,$S26:$HK26,csv!$L26:$HD26))</f>
        <v>0</v>
      </c>
      <c r="KV26" s="5">
        <f>IF(ISERROR(LOOKUP(KV$1,$S26:$HK26,csv!$L26:$HD26)),NA(),LOOKUP(KV$1,$S26:$HK26,csv!$L26:$HD26))</f>
        <v>0</v>
      </c>
      <c r="KW26" s="5">
        <f>IF(ISERROR(LOOKUP(KW$1,$S26:$HK26,csv!$L26:$HD26)),NA(),LOOKUP(KW$1,$S26:$HK26,csv!$L26:$HD26))</f>
        <v>0</v>
      </c>
      <c r="KX26" s="5">
        <f>IF(ISERROR(LOOKUP(KX$1,$S26:$HK26,csv!$L26:$HD26)),NA(),LOOKUP(KX$1,$S26:$HK26,csv!$L26:$HD26))</f>
        <v>0</v>
      </c>
      <c r="KY26" s="5">
        <f>IF(ISERROR(LOOKUP(KY$1,$S26:$HK26,csv!$L26:$HD26)),NA(),LOOKUP(KY$1,$S26:$HK26,csv!$L26:$HD26))</f>
        <v>0</v>
      </c>
      <c r="KZ26" s="5">
        <f>IF(ISERROR(LOOKUP(KZ$1,$S26:$HK26,csv!$L26:$HD26)),NA(),LOOKUP(KZ$1,$S26:$HK26,csv!$L26:$HD26))</f>
        <v>0</v>
      </c>
      <c r="LA26" s="5">
        <f>IF(ISERROR(LOOKUP(LA$1,$S26:$HK26,csv!$L26:$HD26)),NA(),LOOKUP(LA$1,$S26:$HK26,csv!$L26:$HD26))</f>
        <v>0</v>
      </c>
      <c r="LB26" s="5">
        <f>IF(ISERROR(LOOKUP(LB$1,$S26:$HK26,csv!$L26:$HD26)),NA(),LOOKUP(LB$1,$S26:$HK26,csv!$L26:$HD26))</f>
        <v>0</v>
      </c>
      <c r="LC26" s="5">
        <f>IF(ISERROR(LOOKUP(LC$1,$S26:$HK26,csv!$L26:$HD26)),NA(),LOOKUP(LC$1,$S26:$HK26,csv!$L26:$HD26))</f>
        <v>0</v>
      </c>
      <c r="LD26" s="5">
        <f>IF(ISERROR(LOOKUP(LD$1,$S26:$HK26,csv!$L26:$HD26)),NA(),LOOKUP(LD$1,$S26:$HK26,csv!$L26:$HD26))</f>
        <v>0</v>
      </c>
      <c r="LE26" s="5">
        <f>IF(ISERROR(LOOKUP(LE$1,$S26:$HK26,csv!$L26:$HD26)),NA(),LOOKUP(LE$1,$S26:$HK26,csv!$L26:$HD26))</f>
        <v>0</v>
      </c>
      <c r="LF26" s="5">
        <f>IF(ISERROR(LOOKUP(LF$1,$S26:$HK26,csv!$L26:$HD26)),NA(),LOOKUP(LF$1,$S26:$HK26,csv!$L26:$HD26))</f>
        <v>0</v>
      </c>
      <c r="LG26" s="5">
        <f>IF(ISERROR(LOOKUP(LG$1,$S26:$HK26,csv!$L26:$HD26)),NA(),LOOKUP(LG$1,$S26:$HK26,csv!$L26:$HD26))</f>
        <v>0</v>
      </c>
      <c r="LH26" s="5">
        <f>IF(ISERROR(LOOKUP(LH$1,$S26:$HK26,csv!$L26:$HD26)),NA(),LOOKUP(LH$1,$S26:$HK26,csv!$L26:$HD26))</f>
        <v>0</v>
      </c>
      <c r="LI26" s="5">
        <f>IF(ISERROR(LOOKUP(LI$1,$S26:$HK26,csv!$L26:$HD26)),NA(),LOOKUP(LI$1,$S26:$HK26,csv!$L26:$HD26))</f>
        <v>0</v>
      </c>
      <c r="LJ26" s="5">
        <f>IF(ISERROR(LOOKUP(LJ$1,$S26:$HK26,csv!$L26:$HD26)),NA(),LOOKUP(LJ$1,$S26:$HK26,csv!$L26:$HD26))</f>
        <v>0</v>
      </c>
      <c r="LK26" s="5">
        <f>IF(ISERROR(LOOKUP(LK$1,$S26:$HK26,csv!$L26:$HD26)),NA(),LOOKUP(LK$1,$S26:$HK26,csv!$L26:$HD26))</f>
        <v>0</v>
      </c>
      <c r="LL26" s="5">
        <f>IF(ISERROR(LOOKUP(LL$1,$S26:$HK26,csv!$L26:$HD26)),NA(),LOOKUP(LL$1,$S26:$HK26,csv!$L26:$HD26))</f>
        <v>0</v>
      </c>
      <c r="LM26" s="5">
        <f>IF(ISERROR(LOOKUP(LM$1,$S26:$HK26,csv!$L26:$HD26)),NA(),LOOKUP(LM$1,$S26:$HK26,csv!$L26:$HD26))</f>
        <v>0</v>
      </c>
      <c r="LN26" s="5">
        <f>IF(ISERROR(LOOKUP(LN$1,$S26:$HK26,csv!$L26:$HD26)),NA(),LOOKUP(LN$1,$S26:$HK26,csv!$L26:$HD26))</f>
        <v>0</v>
      </c>
      <c r="LO26" s="5">
        <f>IF(ISERROR(LOOKUP(LO$1,$S26:$HK26,csv!$L26:$HD26)),NA(),LOOKUP(LO$1,$S26:$HK26,csv!$L26:$HD26))</f>
        <v>0</v>
      </c>
      <c r="LP26" s="5">
        <f>IF(ISERROR(LOOKUP(LP$1,$S26:$HK26,csv!$L26:$HD26)),NA(),LOOKUP(LP$1,$S26:$HK26,csv!$L26:$HD26))</f>
        <v>0</v>
      </c>
      <c r="LQ26" s="5">
        <f>IF(ISERROR(LOOKUP(LQ$1,$S26:$HK26,csv!$L26:$HD26)),NA(),LOOKUP(LQ$1,$S26:$HK26,csv!$L26:$HD26))</f>
        <v>0</v>
      </c>
      <c r="LR26" s="5">
        <f>IF(ISERROR(LOOKUP(LR$1,$S26:$HK26,csv!$L26:$HD26)),NA(),LOOKUP(LR$1,$S26:$HK26,csv!$L26:$HD26))</f>
        <v>0</v>
      </c>
      <c r="LS26" s="5">
        <f>IF(ISERROR(LOOKUP(LS$1,$S26:$HK26,csv!$L26:$HD26)),NA(),LOOKUP(LS$1,$S26:$HK26,csv!$L26:$HD26))</f>
        <v>0</v>
      </c>
      <c r="LT26" s="5">
        <f>IF(ISERROR(LOOKUP(LT$1,$S26:$HK26,csv!$L26:$HD26)),NA(),LOOKUP(LT$1,$S26:$HK26,csv!$L26:$HD26))</f>
        <v>0</v>
      </c>
      <c r="LU26" s="5">
        <f>IF(ISERROR(LOOKUP(LU$1,$S26:$HK26,csv!$L26:$HD26)),NA(),LOOKUP(LU$1,$S26:$HK26,csv!$L26:$HD26))</f>
        <v>0</v>
      </c>
      <c r="LV26" s="5">
        <f>IF(ISERROR(LOOKUP(LV$1,$S26:$HK26,csv!$L26:$HD26)),NA(),LOOKUP(LV$1,$S26:$HK26,csv!$L26:$HD26))</f>
        <v>0</v>
      </c>
      <c r="LW26" s="5">
        <f>IF(ISERROR(LOOKUP(LW$1,$S26:$HK26,csv!$L26:$HD26)),NA(),LOOKUP(LW$1,$S26:$HK26,csv!$L26:$HD26))</f>
        <v>0</v>
      </c>
      <c r="LX26" s="5">
        <f>IF(ISERROR(LOOKUP(LX$1,$S26:$HK26,csv!$L26:$HD26)),NA(),LOOKUP(LX$1,$S26:$HK26,csv!$L26:$HD26))</f>
        <v>0</v>
      </c>
      <c r="LY26" s="5">
        <f>IF(ISERROR(LOOKUP(LY$1,$S26:$HK26,csv!$L26:$HD26)),NA(),LOOKUP(LY$1,$S26:$HK26,csv!$L26:$HD26))</f>
        <v>0</v>
      </c>
      <c r="LZ26" s="5">
        <f>IF(ISERROR(LOOKUP(LZ$1,$S26:$HK26,csv!$L26:$HD26)),NA(),LOOKUP(LZ$1,$S26:$HK26,csv!$L26:$HD26))</f>
        <v>0</v>
      </c>
      <c r="MA26" s="5">
        <f>IF(ISERROR(LOOKUP(MA$1,$S26:$HK26,csv!$L26:$HD26)),NA(),LOOKUP(MA$1,$S26:$HK26,csv!$L26:$HD26))</f>
        <v>0</v>
      </c>
      <c r="MB26" s="5">
        <f>IF(ISERROR(LOOKUP(MB$1,$S26:$HK26,csv!$L26:$HD26)),NA(),LOOKUP(MB$1,$S26:$HK26,csv!$L26:$HD26))</f>
        <v>0</v>
      </c>
      <c r="MC26" s="5">
        <f>IF(ISERROR(LOOKUP(MC$1,$S26:$HK26,csv!$L26:$HD26)),NA(),LOOKUP(MC$1,$S26:$HK26,csv!$L26:$HD26))</f>
        <v>0</v>
      </c>
      <c r="MD26" s="5">
        <f>IF(ISERROR(LOOKUP(MD$1,$S26:$HK26,csv!$L26:$HD26)),NA(),LOOKUP(MD$1,$S26:$HK26,csv!$L26:$HD26))</f>
        <v>0</v>
      </c>
      <c r="ME26" s="5">
        <f>IF(ISERROR(LOOKUP(ME$1,$S26:$HK26,csv!$L26:$HD26)),NA(),LOOKUP(ME$1,$S26:$HK26,csv!$L26:$HD26))</f>
        <v>0</v>
      </c>
      <c r="MF26" s="5">
        <f>IF(ISERROR(LOOKUP(MF$1,$S26:$HK26,csv!$L26:$HD26)),NA(),LOOKUP(MF$1,$S26:$HK26,csv!$L26:$HD26))</f>
        <v>0</v>
      </c>
      <c r="MG26" s="5">
        <f>IF(ISERROR(LOOKUP(MG$1,$S26:$HK26,csv!$L26:$HD26)),NA(),LOOKUP(MG$1,$S26:$HK26,csv!$L26:$HD26))</f>
        <v>0</v>
      </c>
      <c r="MH26" s="5">
        <f>IF(ISERROR(LOOKUP(MH$1,$S26:$HK26,csv!$L26:$HD26)),NA(),LOOKUP(MH$1,$S26:$HK26,csv!$L26:$HD26))</f>
        <v>0</v>
      </c>
      <c r="MI26" s="5">
        <f>IF(ISERROR(LOOKUP(MI$1,$S26:$HK26,csv!$L26:$HD26)),NA(),LOOKUP(MI$1,$S26:$HK26,csv!$L26:$HD26))</f>
        <v>0</v>
      </c>
      <c r="MJ26" s="5">
        <f>IF(ISERROR(LOOKUP(MJ$1,$S26:$HK26,csv!$L26:$HD26)),NA(),LOOKUP(MJ$1,$S26:$HK26,csv!$L26:$HD26))</f>
        <v>0</v>
      </c>
      <c r="MK26" s="5">
        <f>IF(ISERROR(LOOKUP(MK$1,$S26:$HK26,csv!$L26:$HD26)),NA(),LOOKUP(MK$1,$S26:$HK26,csv!$L26:$HD26))</f>
        <v>0</v>
      </c>
      <c r="ML26" s="5">
        <f>IF(ISERROR(LOOKUP(ML$1,$S26:$HK26,csv!$L26:$HD26)),NA(),LOOKUP(ML$1,$S26:$HK26,csv!$L26:$HD26))</f>
        <v>0</v>
      </c>
      <c r="MM26" s="5">
        <f>IF(ISERROR(LOOKUP(MM$1,$S26:$HK26,csv!$L26:$HD26)),NA(),LOOKUP(MM$1,$S26:$HK26,csv!$L26:$HD26))</f>
        <v>0</v>
      </c>
      <c r="MN26" s="5">
        <f>IF(ISERROR(LOOKUP(MN$1,$S26:$HK26,csv!$L26:$HD26)),NA(),LOOKUP(MN$1,$S26:$HK26,csv!$L26:$HD26))</f>
        <v>0</v>
      </c>
      <c r="MO26" s="5">
        <f>IF(ISERROR(LOOKUP(MO$1,$S26:$HK26,csv!$L26:$HD26)),NA(),LOOKUP(MO$1,$S26:$HK26,csv!$L26:$HD26))</f>
        <v>0</v>
      </c>
      <c r="MP26" s="5">
        <f>IF(ISERROR(LOOKUP(MP$1,$S26:$HK26,csv!$L26:$HD26)),NA(),LOOKUP(MP$1,$S26:$HK26,csv!$L26:$HD26))</f>
        <v>0</v>
      </c>
      <c r="MQ26" s="5">
        <f>IF(ISERROR(LOOKUP(MQ$1,$S26:$HK26,csv!$L26:$HD26)),NA(),LOOKUP(MQ$1,$S26:$HK26,csv!$L26:$HD26))</f>
        <v>0</v>
      </c>
      <c r="MR26" s="5">
        <f>IF(ISERROR(LOOKUP(MR$1,$S26:$HK26,csv!$L26:$HD26)),NA(),LOOKUP(MR$1,$S26:$HK26,csv!$L26:$HD26))</f>
        <v>0</v>
      </c>
      <c r="MS26" s="5">
        <f>IF(ISERROR(LOOKUP(MS$1,$S26:$HK26,csv!$L26:$HD26)),NA(),LOOKUP(MS$1,$S26:$HK26,csv!$L26:$HD26))</f>
        <v>0</v>
      </c>
      <c r="MT26" s="5">
        <f>IF(ISERROR(LOOKUP(MT$1,$S26:$HK26,csv!$L26:$HD26)),NA(),LOOKUP(MT$1,$S26:$HK26,csv!$L26:$HD26))</f>
        <v>0</v>
      </c>
      <c r="MU26" s="5">
        <f>IF(ISERROR(LOOKUP(MU$1,$S26:$HK26,csv!$L26:$HD26)),NA(),LOOKUP(MU$1,$S26:$HK26,csv!$L26:$HD26))</f>
        <v>0</v>
      </c>
      <c r="MV26" s="5">
        <f>IF(ISERROR(LOOKUP(MV$1,$S26:$HK26,csv!$L26:$HD26)),NA(),LOOKUP(MV$1,$S26:$HK26,csv!$L26:$HD26))</f>
        <v>0</v>
      </c>
      <c r="MW26" s="5">
        <f>IF(ISERROR(LOOKUP(MW$1,$S26:$HK26,csv!$L26:$HD26)),NA(),LOOKUP(MW$1,$S26:$HK26,csv!$L26:$HD26))</f>
        <v>0</v>
      </c>
      <c r="MX26" s="5">
        <f>IF(ISERROR(LOOKUP(MX$1,$S26:$HK26,csv!$L26:$HD26)),NA(),LOOKUP(MX$1,$S26:$HK26,csv!$L26:$HD26))</f>
        <v>0</v>
      </c>
      <c r="MY26" s="5">
        <f>IF(ISERROR(LOOKUP(MY$1,$S26:$HK26,csv!$L26:$HD26)),NA(),LOOKUP(MY$1,$S26:$HK26,csv!$L26:$HD26))</f>
        <v>0</v>
      </c>
      <c r="MZ26" s="5">
        <f>IF(ISERROR(LOOKUP(MZ$1,$S26:$HK26,csv!$L26:$HD26)),NA(),LOOKUP(MZ$1,$S26:$HK26,csv!$L26:$HD26))</f>
        <v>0</v>
      </c>
      <c r="NA26" s="5">
        <f>IF(ISERROR(LOOKUP(NA$1,$S26:$HK26,csv!$L26:$HD26)),NA(),LOOKUP(NA$1,$S26:$HK26,csv!$L26:$HD26))</f>
        <v>0</v>
      </c>
      <c r="NB26" s="5">
        <f>IF(ISERROR(LOOKUP(NB$1,$S26:$HK26,csv!$L26:$HD26)),NA(),LOOKUP(NB$1,$S26:$HK26,csv!$L26:$HD26))</f>
        <v>0</v>
      </c>
      <c r="NC26" s="5">
        <f>IF(ISERROR(LOOKUP(NC$1,$S26:$HK26,csv!$L26:$HD26)),NA(),LOOKUP(NC$1,$S26:$HK26,csv!$L26:$HD26))</f>
        <v>0</v>
      </c>
      <c r="ND26" s="5">
        <f>IF(ISERROR(LOOKUP(ND$1,$S26:$HK26,csv!$L26:$HD26)),NA(),LOOKUP(ND$1,$S26:$HK26,csv!$L26:$HD26))</f>
        <v>0</v>
      </c>
      <c r="NE26" s="5">
        <f>IF(ISERROR(LOOKUP(NE$1,$S26:$HK26,csv!$L26:$HD26)),NA(),LOOKUP(NE$1,$S26:$HK26,csv!$L26:$HD26))</f>
        <v>0</v>
      </c>
      <c r="NF26" s="5">
        <f>IF(ISERROR(LOOKUP(NF$1,$S26:$HK26,csv!$L26:$HD26)),NA(),LOOKUP(NF$1,$S26:$HK26,csv!$L26:$HD26))</f>
        <v>0</v>
      </c>
      <c r="NG26" s="5">
        <f>IF(ISERROR(LOOKUP(NG$1,$S26:$HK26,csv!$L26:$HD26)),NA(),LOOKUP(NG$1,$S26:$HK26,csv!$L26:$HD26))</f>
        <v>0</v>
      </c>
      <c r="NH26" s="5">
        <f>IF(ISERROR(LOOKUP(NH$1,$S26:$HK26,csv!$L26:$HD26)),NA(),LOOKUP(NH$1,$S26:$HK26,csv!$L26:$HD26))</f>
        <v>0</v>
      </c>
      <c r="NI26" s="5">
        <f>IF(ISERROR(LOOKUP(NI$1,$S26:$HK26,csv!$L26:$HD26)),NA(),LOOKUP(NI$1,$S26:$HK26,csv!$L26:$HD26))</f>
        <v>0</v>
      </c>
      <c r="NJ26" s="5">
        <f>IF(ISERROR(LOOKUP(NJ$1,$S26:$HK26,csv!$L26:$HD26)),NA(),LOOKUP(NJ$1,$S26:$HK26,csv!$L26:$HD26))</f>
        <v>0</v>
      </c>
      <c r="NK26" s="5">
        <f>IF(ISERROR(LOOKUP(NK$1,$S26:$HK26,csv!$L26:$HD26)),NA(),LOOKUP(NK$1,$S26:$HK26,csv!$L26:$HD26))</f>
        <v>0</v>
      </c>
      <c r="NL26" s="5">
        <f>IF(ISERROR(LOOKUP(NL$1,$S26:$HK26,csv!$L26:$HD26)),NA(),LOOKUP(NL$1,$S26:$HK26,csv!$L26:$HD26))</f>
        <v>0</v>
      </c>
      <c r="NM26" s="5">
        <f>IF(ISERROR(LOOKUP(NM$1,$S26:$HK26,csv!$L26:$HD26)),NA(),LOOKUP(NM$1,$S26:$HK26,csv!$L26:$HD26))</f>
        <v>0</v>
      </c>
      <c r="NN26" s="5">
        <f>IF(ISERROR(LOOKUP(NN$1,$S26:$HK26,csv!$L26:$HD26)),NA(),LOOKUP(NN$1,$S26:$HK26,csv!$L26:$HD26))</f>
        <v>0</v>
      </c>
      <c r="NO26" s="5">
        <f>IF(ISERROR(LOOKUP(NO$1,$S26:$HK26,csv!$L26:$HD26)),NA(),LOOKUP(NO$1,$S26:$HK26,csv!$L26:$HD26))</f>
        <v>0</v>
      </c>
      <c r="NP26" s="5">
        <f>IF(ISERROR(LOOKUP(NP$1,$S26:$HK26,csv!$L26:$HD26)),NA(),LOOKUP(NP$1,$S26:$HK26,csv!$L26:$HD26))</f>
        <v>0</v>
      </c>
      <c r="NQ26" s="5">
        <f>IF(ISERROR(LOOKUP(NQ$1,$S26:$HK26,csv!$L26:$HD26)),NA(),LOOKUP(NQ$1,$S26:$HK26,csv!$L26:$HD26))</f>
        <v>0</v>
      </c>
      <c r="NR26" s="5">
        <f>IF(ISERROR(LOOKUP(NR$1,$S26:$HK26,csv!$L26:$HD26)),NA(),LOOKUP(NR$1,$S26:$HK26,csv!$L26:$HD26))</f>
        <v>0</v>
      </c>
      <c r="NS26" s="5">
        <f>IF(ISERROR(LOOKUP(NS$1,$S26:$HK26,csv!$L26:$HD26)),NA(),LOOKUP(NS$1,$S26:$HK26,csv!$L26:$HD26))</f>
        <v>0</v>
      </c>
      <c r="NT26" s="5">
        <f>IF(ISERROR(LOOKUP(NT$1,$S26:$HK26,csv!$L26:$HD26)),NA(),LOOKUP(NT$1,$S26:$HK26,csv!$L26:$HD26))</f>
        <v>0</v>
      </c>
      <c r="NU26" s="5">
        <f>IF(ISERROR(LOOKUP(NU$1,$S26:$HK26,csv!$L26:$HD26)),NA(),LOOKUP(NU$1,$S26:$HK26,csv!$L26:$HD26))</f>
        <v>0</v>
      </c>
      <c r="NV26" s="5">
        <f>IF(ISERROR(LOOKUP(NV$1,$S26:$HK26,csv!$L26:$HD26)),NA(),LOOKUP(NV$1,$S26:$HK26,csv!$L26:$HD26))</f>
        <v>0</v>
      </c>
      <c r="NW26" s="5">
        <f>IF(ISERROR(LOOKUP(NW$1,$S26:$HK26,csv!$L26:$HD26)),NA(),LOOKUP(NW$1,$S26:$HK26,csv!$L26:$HD26))</f>
        <v>0</v>
      </c>
      <c r="NX26" s="5">
        <f>IF(ISERROR(LOOKUP(NX$1,$S26:$HK26,csv!$L26:$HD26)),NA(),LOOKUP(NX$1,$S26:$HK26,csv!$L26:$HD26))</f>
        <v>0</v>
      </c>
      <c r="NY26" s="5">
        <f>IF(ISERROR(LOOKUP(NY$1,$S26:$HK26,csv!$L26:$HD26)),NA(),LOOKUP(NY$1,$S26:$HK26,csv!$L26:$HD26))</f>
        <v>0</v>
      </c>
      <c r="NZ26" s="5">
        <f>IF(ISERROR(LOOKUP(NZ$1,$S26:$HK26,csv!$L26:$HD26)),NA(),LOOKUP(NZ$1,$S26:$HK26,csv!$L26:$HD26))</f>
        <v>0</v>
      </c>
      <c r="OA26" s="5">
        <f>IF(ISERROR(LOOKUP(OA$1,$S26:$HK26,csv!$L26:$HD26)),NA(),LOOKUP(OA$1,$S26:$HK26,csv!$L26:$HD26))</f>
        <v>0</v>
      </c>
      <c r="OB26" s="5">
        <f>IF(ISERROR(LOOKUP(OB$1,$S26:$HK26,csv!$L26:$HD26)),NA(),LOOKUP(OB$1,$S26:$HK26,csv!$L26:$HD26))</f>
        <v>0</v>
      </c>
      <c r="OC26" s="5">
        <f>IF(ISERROR(LOOKUP(OC$1,$S26:$HK26,csv!$L26:$HD26)),NA(),LOOKUP(OC$1,$S26:$HK26,csv!$L26:$HD26))</f>
        <v>0</v>
      </c>
      <c r="OD26" s="5">
        <f>IF(ISERROR(LOOKUP(OD$1,$S26:$HK26,csv!$L26:$HD26)),NA(),LOOKUP(OD$1,$S26:$HK26,csv!$L26:$HD26))</f>
        <v>0</v>
      </c>
      <c r="OE26" s="5">
        <f>IF(ISERROR(LOOKUP(OE$1,$S26:$HK26,csv!$L26:$HD26)),NA(),LOOKUP(OE$1,$S26:$HK26,csv!$L26:$HD26))</f>
        <v>0</v>
      </c>
      <c r="OF26" s="5">
        <f>IF(ISERROR(LOOKUP(OF$1,$S26:$HK26,csv!$L26:$HD26)),NA(),LOOKUP(OF$1,$S26:$HK26,csv!$L26:$HD26))</f>
        <v>0</v>
      </c>
      <c r="OG26" s="5">
        <f>IF(ISERROR(LOOKUP(OG$1,$S26:$HK26,csv!$L26:$HD26)),NA(),LOOKUP(OG$1,$S26:$HK26,csv!$L26:$HD26))</f>
        <v>0</v>
      </c>
      <c r="OH26" s="5">
        <f>IF(ISERROR(LOOKUP(OH$1,$S26:$HK26,csv!$L26:$HD26)),NA(),LOOKUP(OH$1,$S26:$HK26,csv!$L26:$HD26))</f>
        <v>0</v>
      </c>
      <c r="OI26" s="5">
        <f>IF(ISERROR(LOOKUP(OI$1,$S26:$HK26,csv!$L26:$HD26)),NA(),LOOKUP(OI$1,$S26:$HK26,csv!$L26:$HD26))</f>
        <v>0</v>
      </c>
      <c r="OJ26" s="5">
        <f>IF(ISERROR(LOOKUP(OJ$1,$S26:$HK26,csv!$L26:$HD26)),NA(),LOOKUP(OJ$1,$S26:$HK26,csv!$L26:$HD26))</f>
        <v>0</v>
      </c>
      <c r="OK26" s="5">
        <f>IF(ISERROR(LOOKUP(OK$1,$S26:$HK26,csv!$L26:$HD26)),NA(),LOOKUP(OK$1,$S26:$HK26,csv!$L26:$HD26))</f>
        <v>0</v>
      </c>
      <c r="OL26" s="5">
        <f>IF(ISERROR(LOOKUP(OL$1,$S26:$HK26,csv!$L26:$HD26)),NA(),LOOKUP(OL$1,$S26:$HK26,csv!$L26:$HD26))</f>
        <v>0</v>
      </c>
      <c r="OM26" s="5">
        <f>IF(ISERROR(LOOKUP(OM$1,$S26:$HK26,csv!$L26:$HD26)),NA(),LOOKUP(OM$1,$S26:$HK26,csv!$L26:$HD26))</f>
        <v>0</v>
      </c>
      <c r="ON26" s="5">
        <f>IF(ISERROR(LOOKUP(ON$1,$S26:$HK26,csv!$L26:$HD26)),NA(),LOOKUP(ON$1,$S26:$HK26,csv!$L26:$HD26))</f>
        <v>0</v>
      </c>
      <c r="OO26" s="5">
        <f>IF(ISERROR(LOOKUP(OO$1,$S26:$HK26,csv!$L26:$HD26)),NA(),LOOKUP(OO$1,$S26:$HK26,csv!$L26:$HD26))</f>
        <v>0</v>
      </c>
      <c r="OP26" s="5">
        <f>IF(ISERROR(LOOKUP(OP$1,$S26:$HK26,csv!$L26:$HD26)),NA(),LOOKUP(OP$1,$S26:$HK26,csv!$L26:$HD26))</f>
        <v>0</v>
      </c>
      <c r="OQ26" s="5">
        <f>IF(ISERROR(LOOKUP(OQ$1,$S26:$HK26,csv!$L26:$HD26)),NA(),LOOKUP(OQ$1,$S26:$HK26,csv!$L26:$HD26))</f>
        <v>0</v>
      </c>
      <c r="OR26" s="5">
        <f>IF(ISERROR(LOOKUP(OR$1,$S26:$HK26,csv!$L26:$HD26)),NA(),LOOKUP(OR$1,$S26:$HK26,csv!$L26:$HD26))</f>
        <v>0</v>
      </c>
      <c r="OS26" s="5">
        <f>IF(ISERROR(LOOKUP(OS$1,$S26:$HK26,csv!$L26:$HD26)),NA(),LOOKUP(OS$1,$S26:$HK26,csv!$L26:$HD26))</f>
        <v>0</v>
      </c>
      <c r="OT26" s="5">
        <f>IF(ISERROR(LOOKUP(OT$1,$S26:$HK26,csv!$L26:$HD26)),NA(),LOOKUP(OT$1,$S26:$HK26,csv!$L26:$HD26))</f>
        <v>0</v>
      </c>
      <c r="OU26" s="5">
        <f>IF(ISERROR(LOOKUP(OU$1,$S26:$HK26,csv!$L26:$HD26)),NA(),LOOKUP(OU$1,$S26:$HK26,csv!$L26:$HD26))</f>
        <v>0</v>
      </c>
      <c r="OV26" s="5">
        <f>IF(ISERROR(LOOKUP(OV$1,$S26:$HK26,csv!$L26:$HD26)),NA(),LOOKUP(OV$1,$S26:$HK26,csv!$L26:$HD26))</f>
        <v>0</v>
      </c>
      <c r="OW26" s="5">
        <f>IF(ISERROR(LOOKUP(OW$1,$S26:$HK26,csv!$L26:$HD26)),NA(),LOOKUP(OW$1,$S26:$HK26,csv!$L26:$HD26))</f>
        <v>0</v>
      </c>
      <c r="OX26" s="5">
        <f>IF(ISERROR(LOOKUP(OX$1,$S26:$HK26,csv!$L26:$HD26)),NA(),LOOKUP(OX$1,$S26:$HK26,csv!$L26:$HD26))</f>
        <v>0</v>
      </c>
      <c r="OY26" s="5">
        <f>IF(ISERROR(LOOKUP(OY$1,$S26:$HK26,csv!$L26:$HD26)),NA(),LOOKUP(OY$1,$S26:$HK26,csv!$L26:$HD26))</f>
        <v>0</v>
      </c>
      <c r="OZ26" s="5">
        <f>IF(ISERROR(LOOKUP(OZ$1,$S26:$HK26,csv!$L26:$HD26)),NA(),LOOKUP(OZ$1,$S26:$HK26,csv!$L26:$HD26))</f>
        <v>0</v>
      </c>
      <c r="PA26" s="5">
        <f>IF(ISERROR(LOOKUP(PA$1,$S26:$HK26,csv!$L26:$HD26)),NA(),LOOKUP(PA$1,$S26:$HK26,csv!$L26:$HD26))</f>
        <v>0</v>
      </c>
      <c r="PB26" s="5">
        <f>IF(ISERROR(LOOKUP(PB$1,$S26:$HK26,csv!$L26:$HD26)),NA(),LOOKUP(PB$1,$S26:$HK26,csv!$L26:$HD26))</f>
        <v>0</v>
      </c>
      <c r="PC26" s="5">
        <f>IF(ISERROR(LOOKUP(PC$1,$S26:$HK26,csv!$L26:$HD26)),NA(),LOOKUP(PC$1,$S26:$HK26,csv!$L26:$HD26))</f>
        <v>0</v>
      </c>
      <c r="PD26" s="5">
        <f>IF(ISERROR(LOOKUP(PD$1,$S26:$HK26,csv!$L26:$HD26)),NA(),LOOKUP(PD$1,$S26:$HK26,csv!$L26:$HD26))</f>
        <v>0</v>
      </c>
      <c r="PE26" s="5">
        <f>IF(ISERROR(LOOKUP(PE$1,$S26:$HK26,csv!$L26:$HD26)),NA(),LOOKUP(PE$1,$S26:$HK26,csv!$L26:$HD26))</f>
        <v>0</v>
      </c>
      <c r="PF26" s="5">
        <f>IF(ISERROR(LOOKUP(PF$1,$S26:$HK26,csv!$L26:$HD26)),NA(),LOOKUP(PF$1,$S26:$HK26,csv!$L26:$HD26))</f>
        <v>0</v>
      </c>
      <c r="PG26" s="5">
        <f>IF(ISERROR(LOOKUP(PG$1,$S26:$HK26,csv!$L26:$HD26)),NA(),LOOKUP(PG$1,$S26:$HK26,csv!$L26:$HD26))</f>
        <v>0</v>
      </c>
      <c r="PH26" s="5">
        <f>IF(ISERROR(LOOKUP(PH$1,$S26:$HK26,csv!$L26:$HD26)),NA(),LOOKUP(PH$1,$S26:$HK26,csv!$L26:$HD26))</f>
        <v>0</v>
      </c>
      <c r="PI26" s="5">
        <f>IF(ISERROR(LOOKUP(PI$1,$S26:$HK26,csv!$L26:$HD26)),NA(),LOOKUP(PI$1,$S26:$HK26,csv!$L26:$HD26))</f>
        <v>0</v>
      </c>
      <c r="PJ26" s="5">
        <f>IF(ISERROR(LOOKUP(PJ$1,$S26:$HK26,csv!$L26:$HD26)),NA(),LOOKUP(PJ$1,$S26:$HK26,csv!$L26:$HD26))</f>
        <v>0</v>
      </c>
      <c r="PK26" s="5">
        <f>IF(ISERROR(LOOKUP(PK$1,$S26:$HK26,csv!$L26:$HD26)),NA(),LOOKUP(PK$1,$S26:$HK26,csv!$L26:$HD26))</f>
        <v>0</v>
      </c>
      <c r="PL26" s="5">
        <f>IF(ISERROR(LOOKUP(PL$1,$S26:$HK26,csv!$L26:$HD26)),NA(),LOOKUP(PL$1,$S26:$HK26,csv!$L26:$HD26))</f>
        <v>0</v>
      </c>
      <c r="PM26" s="5">
        <f>IF(ISERROR(LOOKUP(PM$1,$S26:$HK26,csv!$L26:$HD26)),NA(),LOOKUP(PM$1,$S26:$HK26,csv!$L26:$HD26))</f>
        <v>0</v>
      </c>
      <c r="PN26" s="5">
        <f>IF(ISERROR(LOOKUP(PN$1,$S26:$HK26,csv!$L26:$HD26)),NA(),LOOKUP(PN$1,$S26:$HK26,csv!$L26:$HD26))</f>
        <v>0</v>
      </c>
      <c r="PO26" s="5">
        <f>IF(ISERROR(LOOKUP(PO$1,$S26:$HK26,csv!$L26:$HD26)),NA(),LOOKUP(PO$1,$S26:$HK26,csv!$L26:$HD26))</f>
        <v>0</v>
      </c>
      <c r="PP26" s="5">
        <f>IF(ISERROR(LOOKUP(PP$1,$S26:$HK26,csv!$L26:$HD26)),NA(),LOOKUP(PP$1,$S26:$HK26,csv!$L26:$HD26))</f>
        <v>0</v>
      </c>
      <c r="PQ26" s="5">
        <f>IF(ISERROR(LOOKUP(PQ$1,$S26:$HK26,csv!$L26:$HD26)),NA(),LOOKUP(PQ$1,$S26:$HK26,csv!$L26:$HD26))</f>
        <v>0</v>
      </c>
      <c r="PR26" s="5">
        <f>IF(ISERROR(LOOKUP(PR$1,$S26:$HK26,csv!$L26:$HD26)),NA(),LOOKUP(PR$1,$S26:$HK26,csv!$L26:$HD26))</f>
        <v>0</v>
      </c>
      <c r="PS26" s="5">
        <f>IF(ISERROR(LOOKUP(PS$1,$S26:$HK26,csv!$L26:$HD26)),NA(),LOOKUP(PS$1,$S26:$HK26,csv!$L26:$HD26))</f>
        <v>0</v>
      </c>
      <c r="PT26" s="5">
        <f>IF(ISERROR(LOOKUP(PT$1,$S26:$HK26,csv!$L26:$HD26)),NA(),LOOKUP(PT$1,$S26:$HK26,csv!$L26:$HD26))</f>
        <v>0</v>
      </c>
      <c r="PU26" s="5">
        <f>IF(ISERROR(LOOKUP(PU$1,$S26:$HK26,csv!$L26:$HD26)),NA(),LOOKUP(PU$1,$S26:$HK26,csv!$L26:$HD26))</f>
        <v>0</v>
      </c>
      <c r="PV26" s="5">
        <f>IF(ISERROR(LOOKUP(PV$1,$S26:$HK26,csv!$L26:$HD26)),NA(),LOOKUP(PV$1,$S26:$HK26,csv!$L26:$HD26))</f>
        <v>0</v>
      </c>
      <c r="PW26" s="5">
        <f>IF(ISERROR(LOOKUP(PW$1,$S26:$HK26,csv!$L26:$HD26)),NA(),LOOKUP(PW$1,$S26:$HK26,csv!$L26:$HD26))</f>
        <v>0</v>
      </c>
      <c r="PX26" s="5">
        <f>IF(ISERROR(LOOKUP(PX$1,$S26:$HK26,csv!$L26:$HD26)),NA(),LOOKUP(PX$1,$S26:$HK26,csv!$L26:$HD26))</f>
        <v>0</v>
      </c>
      <c r="PY26" s="5">
        <f>IF(ISERROR(LOOKUP(PY$1,$S26:$HK26,csv!$L26:$HD26)),NA(),LOOKUP(PY$1,$S26:$HK26,csv!$L26:$HD26))</f>
        <v>0</v>
      </c>
      <c r="PZ26" s="5">
        <f>IF(ISERROR(LOOKUP(PZ$1,$S26:$HK26,csv!$L26:$HD26)),NA(),LOOKUP(PZ$1,$S26:$HK26,csv!$L26:$HD26))</f>
        <v>0</v>
      </c>
      <c r="QA26" s="5">
        <f>IF(ISERROR(LOOKUP(QA$1,$S26:$HK26,csv!$L26:$HD26)),NA(),LOOKUP(QA$1,$S26:$HK26,csv!$L26:$HD26))</f>
        <v>0</v>
      </c>
      <c r="QB26" s="5">
        <f>IF(ISERROR(LOOKUP(QB$1,$S26:$HK26,csv!$L26:$HD26)),NA(),LOOKUP(QB$1,$S26:$HK26,csv!$L26:$HD26))</f>
        <v>0</v>
      </c>
      <c r="QC26" s="5">
        <f>IF(ISERROR(LOOKUP(QC$1,$S26:$HK26,csv!$L26:$HD26)),NA(),LOOKUP(QC$1,$S26:$HK26,csv!$L26:$HD26))</f>
        <v>0</v>
      </c>
      <c r="QD26" s="5">
        <f>IF(ISERROR(LOOKUP(QD$1,$S26:$HK26,csv!$L26:$HD26)),NA(),LOOKUP(QD$1,$S26:$HK26,csv!$L26:$HD26))</f>
        <v>0</v>
      </c>
      <c r="QE26" s="5">
        <f>IF(ISERROR(LOOKUP(QE$1,$S26:$HK26,csv!$L26:$HD26)),NA(),LOOKUP(QE$1,$S26:$HK26,csv!$L26:$HD26))</f>
        <v>0</v>
      </c>
      <c r="QF26" s="5">
        <f>IF(ISERROR(LOOKUP(QF$1,$S26:$HK26,csv!$L26:$HD26)),NA(),LOOKUP(QF$1,$S26:$HK26,csv!$L26:$HD26))</f>
        <v>0</v>
      </c>
      <c r="QG26" s="5">
        <f>IF(ISERROR(LOOKUP(QG$1,$S26:$HK26,csv!$L26:$HD26)),NA(),LOOKUP(QG$1,$S26:$HK26,csv!$L26:$HD26))</f>
        <v>0</v>
      </c>
      <c r="QH26" s="5">
        <f>IF(ISERROR(LOOKUP(QH$1,$S26:$HK26,csv!$L26:$HD26)),NA(),LOOKUP(QH$1,$S26:$HK26,csv!$L26:$HD26))</f>
        <v>0</v>
      </c>
      <c r="QI26" s="5">
        <f>IF(ISERROR(LOOKUP(QI$1,$S26:$HK26,csv!$L26:$HD26)),NA(),LOOKUP(QI$1,$S26:$HK26,csv!$L26:$HD26))</f>
        <v>0</v>
      </c>
      <c r="QJ26" s="5">
        <f>IF(ISERROR(LOOKUP(QJ$1,$S26:$HK26,csv!$L26:$HD26)),NA(),LOOKUP(QJ$1,$S26:$HK26,csv!$L26:$HD26))</f>
        <v>0</v>
      </c>
      <c r="QK26" s="5">
        <f>IF(ISERROR(LOOKUP(QK$1,$S26:$HK26,csv!$L26:$HD26)),NA(),LOOKUP(QK$1,$S26:$HK26,csv!$L26:$HD26))</f>
        <v>0</v>
      </c>
      <c r="QL26" s="5">
        <f>IF(ISERROR(LOOKUP(QL$1,$S26:$HK26,csv!$L26:$HD26)),NA(),LOOKUP(QL$1,$S26:$HK26,csv!$L26:$HD26))</f>
        <v>0</v>
      </c>
      <c r="QM26" s="5">
        <f>IF(ISERROR(LOOKUP(QM$1,$S26:$HK26,csv!$L26:$HD26)),NA(),LOOKUP(QM$1,$S26:$HK26,csv!$L26:$HD26))</f>
        <v>0</v>
      </c>
      <c r="QN26" s="5">
        <f>IF(ISERROR(LOOKUP(QN$1,$S26:$HK26,csv!$L26:$HD26)),NA(),LOOKUP(QN$1,$S26:$HK26,csv!$L26:$HD26))</f>
        <v>0</v>
      </c>
      <c r="QO26" s="5">
        <f>IF(ISERROR(LOOKUP(QO$1,$S26:$HK26,csv!$L26:$HD26)),NA(),LOOKUP(QO$1,$S26:$HK26,csv!$L26:$HD26))</f>
        <v>0</v>
      </c>
      <c r="QP26" s="5">
        <f>IF(ISERROR(LOOKUP(QP$1,$S26:$HK26,csv!$L26:$HD26)),NA(),LOOKUP(QP$1,$S26:$HK26,csv!$L26:$HD26))</f>
        <v>0</v>
      </c>
      <c r="QQ26" s="5">
        <f>IF(ISERROR(LOOKUP(QQ$1,$S26:$HK26,csv!$L26:$HD26)),NA(),LOOKUP(QQ$1,$S26:$HK26,csv!$L26:$HD26))</f>
        <v>0</v>
      </c>
      <c r="QR26" s="5">
        <f>IF(ISERROR(LOOKUP(QR$1,$S26:$HK26,csv!$L26:$HD26)),NA(),LOOKUP(QR$1,$S26:$HK26,csv!$L26:$HD26))</f>
        <v>0</v>
      </c>
      <c r="QS26" s="5">
        <f>IF(ISERROR(LOOKUP(QS$1,$S26:$HK26,csv!$L26:$HD26)),NA(),LOOKUP(QS$1,$S26:$HK26,csv!$L26:$HD26))</f>
        <v>0</v>
      </c>
      <c r="QT26" s="5">
        <f>IF(ISERROR(LOOKUP(QT$1,$S26:$HK26,csv!$L26:$HD26)),NA(),LOOKUP(QT$1,$S26:$HK26,csv!$L26:$HD26))</f>
        <v>0</v>
      </c>
      <c r="QU26" s="5">
        <f>IF(ISERROR(LOOKUP(QU$1,$S26:$HK26,csv!$L26:$HD26)),NA(),LOOKUP(QU$1,$S26:$HK26,csv!$L26:$HD26))</f>
        <v>0</v>
      </c>
      <c r="QV26" s="5">
        <f>IF(ISERROR(LOOKUP(QV$1,$S26:$HK26,csv!$L26:$HD26)),NA(),LOOKUP(QV$1,$S26:$HK26,csv!$L26:$HD26))</f>
        <v>0</v>
      </c>
      <c r="QW26" s="5">
        <f>IF(ISERROR(LOOKUP(QW$1,$S26:$HK26,csv!$L26:$HD26)),NA(),LOOKUP(QW$1,$S26:$HK26,csv!$L26:$HD26))</f>
        <v>0</v>
      </c>
      <c r="QX26" s="5">
        <f>IF(ISERROR(LOOKUP(QX$1,$S26:$HK26,csv!$L26:$HD26)),NA(),LOOKUP(QX$1,$S26:$HK26,csv!$L26:$HD26))</f>
        <v>0</v>
      </c>
      <c r="QY26" s="5">
        <f>IF(ISERROR(LOOKUP(QY$1,$S26:$HK26,csv!$L26:$HD26)),NA(),LOOKUP(QY$1,$S26:$HK26,csv!$L26:$HD26))</f>
        <v>0</v>
      </c>
      <c r="QZ26" s="5">
        <f>IF(ISERROR(LOOKUP(QZ$1,$S26:$HK26,csv!$L26:$HD26)),NA(),LOOKUP(QZ$1,$S26:$HK26,csv!$L26:$HD26))</f>
        <v>0</v>
      </c>
      <c r="RA26" s="5">
        <f>IF(ISERROR(LOOKUP(RA$1,$S26:$HK26,csv!$L26:$HD26)),NA(),LOOKUP(RA$1,$S26:$HK26,csv!$L26:$HD26))</f>
        <v>0</v>
      </c>
      <c r="RB26" s="5">
        <f>IF(ISERROR(LOOKUP(RB$1,$S26:$HK26,csv!$L26:$HD26)),NA(),LOOKUP(RB$1,$S26:$HK26,csv!$L26:$HD26))</f>
        <v>0</v>
      </c>
      <c r="RC26" s="5">
        <f>IF(ISERROR(LOOKUP(RC$1,$S26:$HK26,csv!$L26:$HD26)),NA(),LOOKUP(RC$1,$S26:$HK26,csv!$L26:$HD26))</f>
        <v>0</v>
      </c>
      <c r="RD26" s="5">
        <f>IF(ISERROR(LOOKUP(RD$1,$S26:$HK26,csv!$L26:$HD26)),NA(),LOOKUP(RD$1,$S26:$HK26,csv!$L26:$HD26))</f>
        <v>0</v>
      </c>
      <c r="RE26" s="5">
        <f>IF(ISERROR(LOOKUP(RE$1,$S26:$HK26,csv!$L26:$HD26)),NA(),LOOKUP(RE$1,$S26:$HK26,csv!$L26:$HD26))</f>
        <v>0</v>
      </c>
      <c r="RF26" s="5">
        <f>IF(ISERROR(LOOKUP(RF$1,$S26:$HK26,csv!$L26:$HD26)),NA(),LOOKUP(RF$1,$S26:$HK26,csv!$L26:$HD26))</f>
        <v>0</v>
      </c>
      <c r="RG26" s="5">
        <f>IF(ISERROR(LOOKUP(RG$1,$S26:$HK26,csv!$L26:$HD26)),NA(),LOOKUP(RG$1,$S26:$HK26,csv!$L26:$HD26))</f>
        <v>0</v>
      </c>
      <c r="RH26" s="5">
        <f>IF(ISERROR(LOOKUP(RH$1,$S26:$HK26,csv!$L26:$HD26)),NA(),LOOKUP(RH$1,$S26:$HK26,csv!$L26:$HD26))</f>
        <v>0</v>
      </c>
      <c r="RI26" s="5">
        <f>IF(ISERROR(LOOKUP(RI$1,$S26:$HK26,csv!$L26:$HD26)),NA(),LOOKUP(RI$1,$S26:$HK26,csv!$L26:$HD26))</f>
        <v>0</v>
      </c>
      <c r="RJ26" s="5">
        <f>IF(ISERROR(LOOKUP(RJ$1,$S26:$HK26,csv!$L26:$HD26)),NA(),LOOKUP(RJ$1,$S26:$HK26,csv!$L26:$HD26))</f>
        <v>0</v>
      </c>
      <c r="RK26" s="5">
        <f>IF(ISERROR(LOOKUP(RK$1,$S26:$HK26,csv!$L26:$HD26)),NA(),LOOKUP(RK$1,$S26:$HK26,csv!$L26:$HD26))</f>
        <v>0</v>
      </c>
      <c r="RL26" s="5">
        <f>IF(ISERROR(LOOKUP(RL$1,$S26:$HK26,csv!$L26:$HD26)),NA(),LOOKUP(RL$1,$S26:$HK26,csv!$L26:$HD26))</f>
        <v>0</v>
      </c>
      <c r="RM26" s="5">
        <f>IF(ISERROR(LOOKUP(RM$1,$S26:$HK26,csv!$L26:$HD26)),NA(),LOOKUP(RM$1,$S26:$HK26,csv!$L26:$HD26))</f>
        <v>0</v>
      </c>
      <c r="RN26" s="5">
        <f>IF(ISERROR(LOOKUP(RN$1,$S26:$HK26,csv!$L26:$HD26)),NA(),LOOKUP(RN$1,$S26:$HK26,csv!$L26:$HD26))</f>
        <v>0</v>
      </c>
      <c r="RO26" s="5">
        <f>IF(ISERROR(LOOKUP(RO$1,$S26:$HK26,csv!$L26:$HD26)),NA(),LOOKUP(RO$1,$S26:$HK26,csv!$L26:$HD26))</f>
        <v>0</v>
      </c>
      <c r="RP26" s="5">
        <f>IF(ISERROR(LOOKUP(RP$1,$S26:$HK26,csv!$L26:$HD26)),NA(),LOOKUP(RP$1,$S26:$HK26,csv!$L26:$HD26))</f>
        <v>0</v>
      </c>
      <c r="RQ26" s="5">
        <f>IF(ISERROR(LOOKUP(RQ$1,$S26:$HK26,csv!$L26:$HD26)),NA(),LOOKUP(RQ$1,$S26:$HK26,csv!$L26:$HD26))</f>
        <v>0</v>
      </c>
      <c r="RR26" s="5">
        <f>IF(ISERROR(LOOKUP(RR$1,$S26:$HK26,csv!$L26:$HD26)),NA(),LOOKUP(RR$1,$S26:$HK26,csv!$L26:$HD26))</f>
        <v>0</v>
      </c>
      <c r="RS26" s="5">
        <f>IF(ISERROR(LOOKUP(RS$1,$S26:$HK26,csv!$L26:$HD26)),NA(),LOOKUP(RS$1,$S26:$HK26,csv!$L26:$HD26))</f>
        <v>0</v>
      </c>
      <c r="RT26" s="5">
        <f>IF(ISERROR(LOOKUP(RT$1,$S26:$HK26,csv!$L26:$HD26)),NA(),LOOKUP(RT$1,$S26:$HK26,csv!$L26:$HD26))</f>
        <v>0</v>
      </c>
      <c r="RU26" s="5">
        <f>IF(ISERROR(LOOKUP(RU$1,$S26:$HK26,csv!$L26:$HD26)),NA(),LOOKUP(RU$1,$S26:$HK26,csv!$L26:$HD26))</f>
        <v>0</v>
      </c>
      <c r="RV26" s="5">
        <f>IF(ISERROR(LOOKUP(RV$1,$S26:$HK26,csv!$L26:$HD26)),NA(),LOOKUP(RV$1,$S26:$HK26,csv!$L26:$HD26))</f>
        <v>0</v>
      </c>
      <c r="RW26" s="5">
        <f>IF(ISERROR(LOOKUP(RW$1,$S26:$HK26,csv!$L26:$HD26)),NA(),LOOKUP(RW$1,$S26:$HK26,csv!$L26:$HD26))</f>
        <v>0</v>
      </c>
      <c r="RX26" s="5">
        <f>IF(ISERROR(LOOKUP(RX$1,$S26:$HK26,csv!$L26:$HD26)),NA(),LOOKUP(RX$1,$S26:$HK26,csv!$L26:$HD26))</f>
        <v>0</v>
      </c>
      <c r="RY26" s="5">
        <f>IF(ISERROR(LOOKUP(RY$1,$S26:$HK26,csv!$L26:$HD26)),NA(),LOOKUP(RY$1,$S26:$HK26,csv!$L26:$HD26))</f>
        <v>0</v>
      </c>
      <c r="RZ26" s="5">
        <f>IF(ISERROR(LOOKUP(RZ$1,$S26:$HK26,csv!$L26:$HD26)),NA(),LOOKUP(RZ$1,$S26:$HK26,csv!$L26:$HD26))</f>
        <v>0</v>
      </c>
      <c r="SA26" s="5">
        <f>IF(ISERROR(LOOKUP(SA$1,$S26:$HK26,csv!$L26:$HD26)),NA(),LOOKUP(SA$1,$S26:$HK26,csv!$L26:$HD26))</f>
        <v>0</v>
      </c>
      <c r="SB26" s="5">
        <f>IF(ISERROR(LOOKUP(SB$1,$S26:$HK26,csv!$L26:$HD26)),NA(),LOOKUP(SB$1,$S26:$HK26,csv!$L26:$HD26))</f>
        <v>0</v>
      </c>
      <c r="SC26" s="5">
        <f>IF(ISERROR(LOOKUP(SC$1,$S26:$HK26,csv!$L26:$HD26)),NA(),LOOKUP(SC$1,$S26:$HK26,csv!$L26:$HD26))</f>
        <v>0</v>
      </c>
      <c r="SD26" s="5">
        <f>IF(ISERROR(LOOKUP(SD$1,$S26:$HK26,csv!$L26:$HD26)),NA(),LOOKUP(SD$1,$S26:$HK26,csv!$L26:$HD26))</f>
        <v>0</v>
      </c>
      <c r="SE26" s="5">
        <f>IF(ISERROR(LOOKUP(SE$1,$S26:$HK26,csv!$L26:$HD26)),NA(),LOOKUP(SE$1,$S26:$HK26,csv!$L26:$HD26))</f>
        <v>0</v>
      </c>
      <c r="SF26" s="5">
        <f>IF(ISERROR(LOOKUP(SF$1,$S26:$HK26,csv!$L26:$HD26)),NA(),LOOKUP(SF$1,$S26:$HK26,csv!$L26:$HD26))</f>
        <v>0</v>
      </c>
      <c r="SG26" s="5">
        <f>IF(ISERROR(LOOKUP(SG$1,$S26:$HK26,csv!$L26:$HD26)),NA(),LOOKUP(SG$1,$S26:$HK26,csv!$L26:$HD26))</f>
        <v>0</v>
      </c>
      <c r="SH26" s="5">
        <f>IF(ISERROR(LOOKUP(SH$1,$S26:$HK26,csv!$L26:$HD26)),NA(),LOOKUP(SH$1,$S26:$HK26,csv!$L26:$HD26))</f>
        <v>0</v>
      </c>
      <c r="SI26" s="5">
        <f>IF(ISERROR(LOOKUP(SI$1,$S26:$HK26,csv!$L26:$HD26)),NA(),LOOKUP(SI$1,$S26:$HK26,csv!$L26:$HD26))</f>
        <v>0</v>
      </c>
      <c r="SJ26" s="5">
        <f>IF(ISERROR(LOOKUP(SJ$1,$S26:$HK26,csv!$L26:$HD26)),NA(),LOOKUP(SJ$1,$S26:$HK26,csv!$L26:$HD26))</f>
        <v>0</v>
      </c>
      <c r="SK26" s="5">
        <f>IF(ISERROR(LOOKUP(SK$1,$S26:$HK26,csv!$L26:$HD26)),NA(),LOOKUP(SK$1,$S26:$HK26,csv!$L26:$HD26))</f>
        <v>0</v>
      </c>
      <c r="SL26" s="5">
        <f>IF(ISERROR(LOOKUP(SL$1,$S26:$HK26,csv!$L26:$HD26)),NA(),LOOKUP(SL$1,$S26:$HK26,csv!$L26:$HD26))</f>
        <v>0</v>
      </c>
      <c r="SM26" s="5">
        <f>IF(ISERROR(LOOKUP(SM$1,$S26:$HK26,csv!$L26:$HD26)),NA(),LOOKUP(SM$1,$S26:$HK26,csv!$L26:$HD26))</f>
        <v>0</v>
      </c>
      <c r="SN26" s="5">
        <f>IF(ISERROR(LOOKUP(SN$1,$S26:$HK26,csv!$L26:$HD26)),NA(),LOOKUP(SN$1,$S26:$HK26,csv!$L26:$HD26))</f>
        <v>0</v>
      </c>
      <c r="SO26" s="5">
        <f>IF(ISERROR(LOOKUP(SO$1,$S26:$HK26,csv!$L26:$HD26)),NA(),LOOKUP(SO$1,$S26:$HK26,csv!$L26:$HD26))</f>
        <v>0</v>
      </c>
      <c r="SP26" s="5">
        <f>IF(ISERROR(LOOKUP(SP$1,$S26:$HK26,csv!$L26:$HD26)),NA(),LOOKUP(SP$1,$S26:$HK26,csv!$L26:$HD26))</f>
        <v>0</v>
      </c>
      <c r="SQ26" s="5">
        <f>IF(ISERROR(LOOKUP(SQ$1,$S26:$HK26,csv!$L26:$HD26)),NA(),LOOKUP(SQ$1,$S26:$HK26,csv!$L26:$HD26))</f>
        <v>0</v>
      </c>
      <c r="SR26" s="5">
        <f>IF(ISERROR(LOOKUP(SR$1,$S26:$HK26,csv!$L26:$HD26)),NA(),LOOKUP(SR$1,$S26:$HK26,csv!$L26:$HD26))</f>
        <v>0</v>
      </c>
      <c r="SS26" s="5">
        <f>IF(ISERROR(LOOKUP(SS$1,$S26:$HK26,csv!$L26:$HD26)),NA(),LOOKUP(SS$1,$S26:$HK26,csv!$L26:$HD26))</f>
        <v>0</v>
      </c>
      <c r="ST26" s="5">
        <f>IF(ISERROR(LOOKUP(ST$1,$S26:$HK26,csv!$L26:$HD26)),NA(),LOOKUP(ST$1,$S26:$HK26,csv!$L26:$HD26))</f>
        <v>0</v>
      </c>
      <c r="SU26" s="5">
        <f>IF(ISERROR(LOOKUP(SU$1,$S26:$HK26,csv!$L26:$HD26)),NA(),LOOKUP(SU$1,$S26:$HK26,csv!$L26:$HD26))</f>
        <v>0</v>
      </c>
      <c r="SV26" s="5">
        <f>IF(ISERROR(LOOKUP(SV$1,$S26:$HK26,csv!$L26:$HD26)),NA(),LOOKUP(SV$1,$S26:$HK26,csv!$L26:$HD26))</f>
        <v>0</v>
      </c>
      <c r="SW26" s="5">
        <f>IF(ISERROR(LOOKUP(SW$1,$S26:$HK26,csv!$L26:$HD26)),NA(),LOOKUP(SW$1,$S26:$HK26,csv!$L26:$HD26))</f>
        <v>0</v>
      </c>
      <c r="SX26" s="5">
        <f>IF(ISERROR(LOOKUP(SX$1,$S26:$HK26,csv!$L26:$HD26)),NA(),LOOKUP(SX$1,$S26:$HK26,csv!$L26:$HD26))</f>
        <v>0</v>
      </c>
      <c r="SY26" s="5">
        <f>IF(ISERROR(LOOKUP(SY$1,$S26:$HK26,csv!$L26:$HD26)),NA(),LOOKUP(SY$1,$S26:$HK26,csv!$L26:$HD26))</f>
        <v>0</v>
      </c>
      <c r="SZ26" s="5">
        <f>IF(ISERROR(LOOKUP(SZ$1,$S26:$HK26,csv!$L26:$HD26)),NA(),LOOKUP(SZ$1,$S26:$HK26,csv!$L26:$HD26))</f>
        <v>0</v>
      </c>
      <c r="TA26" s="5">
        <f>IF(ISERROR(LOOKUP(TA$1,$S26:$HK26,csv!$L26:$HD26)),NA(),LOOKUP(TA$1,$S26:$HK26,csv!$L26:$HD26))</f>
        <v>0</v>
      </c>
      <c r="TB26" s="5">
        <f>IF(ISERROR(LOOKUP(TB$1,$S26:$HK26,csv!$L26:$HD26)),NA(),LOOKUP(TB$1,$S26:$HK26,csv!$L26:$HD26))</f>
        <v>0</v>
      </c>
      <c r="TD26">
        <f>csv!HG26/10</f>
        <v>0</v>
      </c>
    </row>
    <row r="27" spans="3:524" x14ac:dyDescent="0.15">
      <c r="S27" s="4">
        <f>ROUND((csv!$HG27/10+calc!S$1),1)</f>
        <v>-10</v>
      </c>
      <c r="T27" s="4">
        <f>ROUND((csv!$HG27/10+calc!T$1),1)</f>
        <v>-9.9</v>
      </c>
      <c r="U27" s="4">
        <f>ROUND((csv!$HG27/10+calc!U$1),1)</f>
        <v>-9.8000000000000007</v>
      </c>
      <c r="V27" s="4">
        <f>ROUND((csv!$HG27/10+calc!V$1),1)</f>
        <v>-9.6999999999999993</v>
      </c>
      <c r="W27" s="4">
        <f>ROUND((csv!$HG27/10+calc!W$1),1)</f>
        <v>-9.6</v>
      </c>
      <c r="X27" s="4">
        <f>ROUND((csv!$HG27/10+calc!X$1),1)</f>
        <v>-9.5</v>
      </c>
      <c r="Y27" s="4">
        <f>ROUND((csv!$HG27/10+calc!Y$1),1)</f>
        <v>-9.4</v>
      </c>
      <c r="Z27" s="4">
        <f>ROUND((csv!$HG27/10+calc!Z$1),1)</f>
        <v>-9.3000000000000007</v>
      </c>
      <c r="AA27" s="4">
        <f>ROUND((csv!$HG27/10+calc!AA$1),1)</f>
        <v>-9.1999999999999993</v>
      </c>
      <c r="AB27" s="4">
        <f>ROUND((csv!$HG27/10+calc!AB$1),1)</f>
        <v>-9.1</v>
      </c>
      <c r="AC27" s="4">
        <f>ROUND((csv!$HG27/10+calc!AC$1),1)</f>
        <v>-9</v>
      </c>
      <c r="AD27" s="4">
        <f>ROUND((csv!$HG27/10+calc!AD$1),1)</f>
        <v>-8.9</v>
      </c>
      <c r="AE27" s="4">
        <f>ROUND((csv!$HG27/10+calc!AE$1),1)</f>
        <v>-8.8000000000000007</v>
      </c>
      <c r="AF27" s="4">
        <f>ROUND((csv!$HG27/10+calc!AF$1),1)</f>
        <v>-8.6999999999999993</v>
      </c>
      <c r="AG27" s="4">
        <f>ROUND((csv!$HG27/10+calc!AG$1),1)</f>
        <v>-8.6</v>
      </c>
      <c r="AH27" s="4">
        <f>ROUND((csv!$HG27/10+calc!AH$1),1)</f>
        <v>-8.5</v>
      </c>
      <c r="AI27" s="4">
        <f>ROUND((csv!$HG27/10+calc!AI$1),1)</f>
        <v>-8.4</v>
      </c>
      <c r="AJ27" s="4">
        <f>ROUND((csv!$HG27/10+calc!AJ$1),1)</f>
        <v>-8.3000000000000007</v>
      </c>
      <c r="AK27" s="4">
        <f>ROUND((csv!$HG27/10+calc!AK$1),1)</f>
        <v>-8.1999999999999993</v>
      </c>
      <c r="AL27" s="4">
        <f>ROUND((csv!$HG27/10+calc!AL$1),1)</f>
        <v>-8.1</v>
      </c>
      <c r="AM27" s="4">
        <f>ROUND((csv!$HG27/10+calc!AM$1),1)</f>
        <v>-8</v>
      </c>
      <c r="AN27" s="4">
        <f>ROUND((csv!$HG27/10+calc!AN$1),1)</f>
        <v>-7.9</v>
      </c>
      <c r="AO27" s="4">
        <f>ROUND((csv!$HG27/10+calc!AO$1),1)</f>
        <v>-7.8</v>
      </c>
      <c r="AP27" s="4">
        <f>ROUND((csv!$HG27/10+calc!AP$1),1)</f>
        <v>-7.7</v>
      </c>
      <c r="AQ27" s="4">
        <f>ROUND((csv!$HG27/10+calc!AQ$1),1)</f>
        <v>-7.6</v>
      </c>
      <c r="AR27" s="4">
        <f>ROUND((csv!$HG27/10+calc!AR$1),1)</f>
        <v>-7.5</v>
      </c>
      <c r="AS27" s="4">
        <f>ROUND((csv!$HG27/10+calc!AS$1),1)</f>
        <v>-7.4</v>
      </c>
      <c r="AT27" s="4">
        <f>ROUND((csv!$HG27/10+calc!AT$1),1)</f>
        <v>-7.3</v>
      </c>
      <c r="AU27" s="4">
        <f>ROUND((csv!$HG27/10+calc!AU$1),1)</f>
        <v>-7.2</v>
      </c>
      <c r="AV27" s="4">
        <f>ROUND((csv!$HG27/10+calc!AV$1),1)</f>
        <v>-7.1</v>
      </c>
      <c r="AW27" s="4">
        <f>ROUND((csv!$HG27/10+calc!AW$1),1)</f>
        <v>-7</v>
      </c>
      <c r="AX27" s="4">
        <f>ROUND((csv!$HG27/10+calc!AX$1),1)</f>
        <v>-6.9</v>
      </c>
      <c r="AY27" s="4">
        <f>ROUND((csv!$HG27/10+calc!AY$1),1)</f>
        <v>-6.8</v>
      </c>
      <c r="AZ27" s="4">
        <f>ROUND((csv!$HG27/10+calc!AZ$1),1)</f>
        <v>-6.7</v>
      </c>
      <c r="BA27" s="4">
        <f>ROUND((csv!$HG27/10+calc!BA$1),1)</f>
        <v>-6.6</v>
      </c>
      <c r="BB27" s="4">
        <f>ROUND((csv!$HG27/10+calc!BB$1),1)</f>
        <v>-6.5</v>
      </c>
      <c r="BC27" s="4">
        <f>ROUND((csv!$HG27/10+calc!BC$1),1)</f>
        <v>-6.4</v>
      </c>
      <c r="BD27" s="4">
        <f>ROUND((csv!$HG27/10+calc!BD$1),1)</f>
        <v>-6.3</v>
      </c>
      <c r="BE27" s="4">
        <f>ROUND((csv!$HG27/10+calc!BE$1),1)</f>
        <v>-6.2</v>
      </c>
      <c r="BF27" s="4">
        <f>ROUND((csv!$HG27/10+calc!BF$1),1)</f>
        <v>-6.1</v>
      </c>
      <c r="BG27" s="4">
        <f>ROUND((csv!$HG27/10+calc!BG$1),1)</f>
        <v>-6</v>
      </c>
      <c r="BH27" s="4">
        <f>ROUND((csv!$HG27/10+calc!BH$1),1)</f>
        <v>-5.9</v>
      </c>
      <c r="BI27" s="4">
        <f>ROUND((csv!$HG27/10+calc!BI$1),1)</f>
        <v>-5.8</v>
      </c>
      <c r="BJ27" s="4">
        <f>ROUND((csv!$HG27/10+calc!BJ$1),1)</f>
        <v>-5.7</v>
      </c>
      <c r="BK27" s="4">
        <f>ROUND((csv!$HG27/10+calc!BK$1),1)</f>
        <v>-5.6</v>
      </c>
      <c r="BL27" s="4">
        <f>ROUND((csv!$HG27/10+calc!BL$1),1)</f>
        <v>-5.5</v>
      </c>
      <c r="BM27" s="4">
        <f>ROUND((csv!$HG27/10+calc!BM$1),1)</f>
        <v>-5.4</v>
      </c>
      <c r="BN27" s="4">
        <f>ROUND((csv!$HG27/10+calc!BN$1),1)</f>
        <v>-5.3</v>
      </c>
      <c r="BO27" s="4">
        <f>ROUND((csv!$HG27/10+calc!BO$1),1)</f>
        <v>-5.2</v>
      </c>
      <c r="BP27" s="4">
        <f>ROUND((csv!$HG27/10+calc!BP$1),1)</f>
        <v>-5.0999999999999996</v>
      </c>
      <c r="BQ27" s="4">
        <f>ROUND((csv!$HG27/10+calc!BQ$1),1)</f>
        <v>-5</v>
      </c>
      <c r="BR27" s="4">
        <f>ROUND((csv!$HG27/10+calc!BR$1),1)</f>
        <v>-4.9000000000000004</v>
      </c>
      <c r="BS27" s="4">
        <f>ROUND((csv!$HG27/10+calc!BS$1),1)</f>
        <v>-4.8</v>
      </c>
      <c r="BT27" s="4">
        <f>ROUND((csv!$HG27/10+calc!BT$1),1)</f>
        <v>-4.7</v>
      </c>
      <c r="BU27" s="4">
        <f>ROUND((csv!$HG27/10+calc!BU$1),1)</f>
        <v>-4.5999999999999996</v>
      </c>
      <c r="BV27" s="4">
        <f>ROUND((csv!$HG27/10+calc!BV$1),1)</f>
        <v>-4.5</v>
      </c>
      <c r="BW27" s="4">
        <f>ROUND((csv!$HG27/10+calc!BW$1),1)</f>
        <v>-4.4000000000000004</v>
      </c>
      <c r="BX27" s="4">
        <f>ROUND((csv!$HG27/10+calc!BX$1),1)</f>
        <v>-4.3</v>
      </c>
      <c r="BY27" s="4">
        <f>ROUND((csv!$HG27/10+calc!BY$1),1)</f>
        <v>-4.2</v>
      </c>
      <c r="BZ27" s="4">
        <f>ROUND((csv!$HG27/10+calc!BZ$1),1)</f>
        <v>-4.0999999999999996</v>
      </c>
      <c r="CA27" s="4">
        <f>ROUND((csv!$HG27/10+calc!CA$1),1)</f>
        <v>-4</v>
      </c>
      <c r="CB27" s="4">
        <f>ROUND((csv!$HG27/10+calc!CB$1),1)</f>
        <v>-3.9</v>
      </c>
      <c r="CC27" s="4">
        <f>ROUND((csv!$HG27/10+calc!CC$1),1)</f>
        <v>-3.8</v>
      </c>
      <c r="CD27" s="4">
        <f>ROUND((csv!$HG27/10+calc!CD$1),1)</f>
        <v>-3.7</v>
      </c>
      <c r="CE27" s="4">
        <f>ROUND((csv!$HG27/10+calc!CE$1),1)</f>
        <v>-3.6</v>
      </c>
      <c r="CF27" s="4">
        <f>ROUND((csv!$HG27/10+calc!CF$1),1)</f>
        <v>-3.5</v>
      </c>
      <c r="CG27" s="4">
        <f>ROUND((csv!$HG27/10+calc!CG$1),1)</f>
        <v>-3.4</v>
      </c>
      <c r="CH27" s="4">
        <f>ROUND((csv!$HG27/10+calc!CH$1),1)</f>
        <v>-3.3</v>
      </c>
      <c r="CI27" s="4">
        <f>ROUND((csv!$HG27/10+calc!CI$1),1)</f>
        <v>-3.2</v>
      </c>
      <c r="CJ27" s="4">
        <f>ROUND((csv!$HG27/10+calc!CJ$1),1)</f>
        <v>-3.1</v>
      </c>
      <c r="CK27" s="4">
        <f>ROUND((csv!$HG27/10+calc!CK$1),1)</f>
        <v>-3</v>
      </c>
      <c r="CL27" s="4">
        <f>ROUND((csv!$HG27/10+calc!CL$1),1)</f>
        <v>-2.9</v>
      </c>
      <c r="CM27" s="4">
        <f>ROUND((csv!$HG27/10+calc!CM$1),1)</f>
        <v>-2.8</v>
      </c>
      <c r="CN27" s="4">
        <f>ROUND((csv!$HG27/10+calc!CN$1),1)</f>
        <v>-2.7</v>
      </c>
      <c r="CO27" s="4">
        <f>ROUND((csv!$HG27/10+calc!CO$1),1)</f>
        <v>-2.6</v>
      </c>
      <c r="CP27" s="4">
        <f>ROUND((csv!$HG27/10+calc!CP$1),1)</f>
        <v>-2.5</v>
      </c>
      <c r="CQ27" s="4">
        <f>ROUND((csv!$HG27/10+calc!CQ$1),1)</f>
        <v>-2.4</v>
      </c>
      <c r="CR27" s="4">
        <f>ROUND((csv!$HG27/10+calc!CR$1),1)</f>
        <v>-2.2999999999999998</v>
      </c>
      <c r="CS27" s="4">
        <f>ROUND((csv!$HG27/10+calc!CS$1),1)</f>
        <v>-2.2000000000000002</v>
      </c>
      <c r="CT27" s="4">
        <f>ROUND((csv!$HG27/10+calc!CT$1),1)</f>
        <v>-2.1</v>
      </c>
      <c r="CU27" s="4">
        <f>ROUND((csv!$HG27/10+calc!CU$1),1)</f>
        <v>-2</v>
      </c>
      <c r="CV27" s="4">
        <f>ROUND((csv!$HG27/10+calc!CV$1),1)</f>
        <v>-1.9</v>
      </c>
      <c r="CW27" s="4">
        <f>ROUND((csv!$HG27/10+calc!CW$1),1)</f>
        <v>-1.8</v>
      </c>
      <c r="CX27" s="4">
        <f>ROUND((csv!$HG27/10+calc!CX$1),1)</f>
        <v>-1.7</v>
      </c>
      <c r="CY27" s="4">
        <f>ROUND((csv!$HG27/10+calc!CY$1),1)</f>
        <v>-1.6</v>
      </c>
      <c r="CZ27" s="4">
        <f>ROUND((csv!$HG27/10+calc!CZ$1),1)</f>
        <v>-1.5</v>
      </c>
      <c r="DA27" s="4">
        <f>ROUND((csv!$HG27/10+calc!DA$1),1)</f>
        <v>-1.4</v>
      </c>
      <c r="DB27" s="4">
        <f>ROUND((csv!$HG27/10+calc!DB$1),1)</f>
        <v>-1.3</v>
      </c>
      <c r="DC27" s="4">
        <f>ROUND((csv!$HG27/10+calc!DC$1),1)</f>
        <v>-1.2</v>
      </c>
      <c r="DD27" s="4">
        <f>ROUND((csv!$HG27/10+calc!DD$1),1)</f>
        <v>-1.1000000000000001</v>
      </c>
      <c r="DE27" s="4">
        <f>ROUND((csv!$HG27/10+calc!DE$1),1)</f>
        <v>-1</v>
      </c>
      <c r="DF27" s="4">
        <f>ROUND((csv!$HG27/10+calc!DF$1),1)</f>
        <v>-0.9</v>
      </c>
      <c r="DG27" s="4">
        <f>ROUND((csv!$HG27/10+calc!DG$1),1)</f>
        <v>-0.8</v>
      </c>
      <c r="DH27" s="4">
        <f>ROUND((csv!$HG27/10+calc!DH$1),1)</f>
        <v>-0.7</v>
      </c>
      <c r="DI27" s="4">
        <f>ROUND((csv!$HG27/10+calc!DI$1),1)</f>
        <v>-0.6</v>
      </c>
      <c r="DJ27" s="4">
        <f>ROUND((csv!$HG27/10+calc!DJ$1),1)</f>
        <v>-0.5</v>
      </c>
      <c r="DK27" s="4">
        <f>ROUND((csv!$HG27/10+calc!DK$1),1)</f>
        <v>-0.4</v>
      </c>
      <c r="DL27" s="4">
        <f>ROUND((csv!$HG27/10+calc!DL$1),1)</f>
        <v>-0.3</v>
      </c>
      <c r="DM27" s="4">
        <f>ROUND((csv!$HG27/10+calc!DM$1),1)</f>
        <v>-0.2</v>
      </c>
      <c r="DN27" s="4">
        <f>ROUND((csv!$HG27/10+calc!DN$1),1)</f>
        <v>-0.1</v>
      </c>
      <c r="DO27" s="4">
        <f>ROUND((csv!$HG27/10+calc!DO$1),1)</f>
        <v>0</v>
      </c>
      <c r="DP27" s="4">
        <f>ROUND((csv!$HG27/10+calc!DP$1),1)</f>
        <v>0.1</v>
      </c>
      <c r="DQ27" s="4">
        <f>ROUND((csv!$HG27/10+calc!DQ$1),1)</f>
        <v>0.2</v>
      </c>
      <c r="DR27" s="4">
        <f>ROUND((csv!$HG27/10+calc!DR$1),1)</f>
        <v>0.3</v>
      </c>
      <c r="DS27" s="4">
        <f>ROUND((csv!$HG27/10+calc!DS$1),1)</f>
        <v>0.4</v>
      </c>
      <c r="DT27" s="4">
        <f>ROUND((csv!$HG27/10+calc!DT$1),1)</f>
        <v>0.5</v>
      </c>
      <c r="DU27" s="4">
        <f>ROUND((csv!$HG27/10+calc!DU$1),1)</f>
        <v>0.6</v>
      </c>
      <c r="DV27" s="4">
        <f>ROUND((csv!$HG27/10+calc!DV$1),1)</f>
        <v>0.7</v>
      </c>
      <c r="DW27" s="4">
        <f>ROUND((csv!$HG27/10+calc!DW$1),1)</f>
        <v>0.8</v>
      </c>
      <c r="DX27" s="4">
        <f>ROUND((csv!$HG27/10+calc!DX$1),1)</f>
        <v>0.9</v>
      </c>
      <c r="DY27" s="4">
        <f>ROUND((csv!$HG27/10+calc!DY$1),1)</f>
        <v>1</v>
      </c>
      <c r="DZ27" s="4">
        <f>ROUND((csv!$HG27/10+calc!DZ$1),1)</f>
        <v>1.1000000000000001</v>
      </c>
      <c r="EA27" s="4">
        <f>ROUND((csv!$HG27/10+calc!EA$1),1)</f>
        <v>1.2</v>
      </c>
      <c r="EB27" s="4">
        <f>ROUND((csv!$HG27/10+calc!EB$1),1)</f>
        <v>1.3</v>
      </c>
      <c r="EC27" s="4">
        <f>ROUND((csv!$HG27/10+calc!EC$1),1)</f>
        <v>1.4</v>
      </c>
      <c r="ED27" s="4">
        <f>ROUND((csv!$HG27/10+calc!ED$1),1)</f>
        <v>1.5</v>
      </c>
      <c r="EE27" s="4">
        <f>ROUND((csv!$HG27/10+calc!EE$1),1)</f>
        <v>1.6</v>
      </c>
      <c r="EF27" s="4">
        <f>ROUND((csv!$HG27/10+calc!EF$1),1)</f>
        <v>1.7</v>
      </c>
      <c r="EG27" s="4">
        <f>ROUND((csv!$HG27/10+calc!EG$1),1)</f>
        <v>1.8</v>
      </c>
      <c r="EH27" s="4">
        <f>ROUND((csv!$HG27/10+calc!EH$1),1)</f>
        <v>1.9</v>
      </c>
      <c r="EI27" s="4">
        <f>ROUND((csv!$HG27/10+calc!EI$1),1)</f>
        <v>2</v>
      </c>
      <c r="EJ27" s="4">
        <f>ROUND((csv!$HG27/10+calc!EJ$1),1)</f>
        <v>2.1</v>
      </c>
      <c r="EK27" s="4">
        <f>ROUND((csv!$HG27/10+calc!EK$1),1)</f>
        <v>2.2000000000000002</v>
      </c>
      <c r="EL27" s="4">
        <f>ROUND((csv!$HG27/10+calc!EL$1),1)</f>
        <v>2.2999999999999998</v>
      </c>
      <c r="EM27" s="4">
        <f>ROUND((csv!$HG27/10+calc!EM$1),1)</f>
        <v>2.4</v>
      </c>
      <c r="EN27" s="4">
        <f>ROUND((csv!$HG27/10+calc!EN$1),1)</f>
        <v>2.5</v>
      </c>
      <c r="EO27" s="4">
        <f>ROUND((csv!$HG27/10+calc!EO$1),1)</f>
        <v>2.6</v>
      </c>
      <c r="EP27" s="4">
        <f>ROUND((csv!$HG27/10+calc!EP$1),1)</f>
        <v>2.7</v>
      </c>
      <c r="EQ27" s="4">
        <f>ROUND((csv!$HG27/10+calc!EQ$1),1)</f>
        <v>2.8</v>
      </c>
      <c r="ER27" s="4">
        <f>ROUND((csv!$HG27/10+calc!ER$1),1)</f>
        <v>2.9</v>
      </c>
      <c r="ES27" s="4">
        <f>ROUND((csv!$HG27/10+calc!ES$1),1)</f>
        <v>3</v>
      </c>
      <c r="ET27" s="4">
        <f>ROUND((csv!$HG27/10+calc!ET$1),1)</f>
        <v>3.1</v>
      </c>
      <c r="EU27" s="4">
        <f>ROUND((csv!$HG27/10+calc!EU$1),1)</f>
        <v>3.2</v>
      </c>
      <c r="EV27" s="4">
        <f>ROUND((csv!$HG27/10+calc!EV$1),1)</f>
        <v>3.3</v>
      </c>
      <c r="EW27" s="4">
        <f>ROUND((csv!$HG27/10+calc!EW$1),1)</f>
        <v>3.4</v>
      </c>
      <c r="EX27" s="4">
        <f>ROUND((csv!$HG27/10+calc!EX$1),1)</f>
        <v>3.5</v>
      </c>
      <c r="EY27" s="4">
        <f>ROUND((csv!$HG27/10+calc!EY$1),1)</f>
        <v>3.6</v>
      </c>
      <c r="EZ27" s="4">
        <f>ROUND((csv!$HG27/10+calc!EZ$1),1)</f>
        <v>3.7</v>
      </c>
      <c r="FA27" s="4">
        <f>ROUND((csv!$HG27/10+calc!FA$1),1)</f>
        <v>3.8</v>
      </c>
      <c r="FB27" s="4">
        <f>ROUND((csv!$HG27/10+calc!FB$1),1)</f>
        <v>3.9</v>
      </c>
      <c r="FC27" s="4">
        <f>ROUND((csv!$HG27/10+calc!FC$1),1)</f>
        <v>4</v>
      </c>
      <c r="FD27" s="4">
        <f>ROUND((csv!$HG27/10+calc!FD$1),1)</f>
        <v>4.0999999999999996</v>
      </c>
      <c r="FE27" s="4">
        <f>ROUND((csv!$HG27/10+calc!FE$1),1)</f>
        <v>4.2</v>
      </c>
      <c r="FF27" s="4">
        <f>ROUND((csv!$HG27/10+calc!FF$1),1)</f>
        <v>4.3</v>
      </c>
      <c r="FG27" s="4">
        <f>ROUND((csv!$HG27/10+calc!FG$1),1)</f>
        <v>4.4000000000000004</v>
      </c>
      <c r="FH27" s="4">
        <f>ROUND((csv!$HG27/10+calc!FH$1),1)</f>
        <v>4.5</v>
      </c>
      <c r="FI27" s="4">
        <f>ROUND((csv!$HG27/10+calc!FI$1),1)</f>
        <v>4.5999999999999996</v>
      </c>
      <c r="FJ27" s="4">
        <f>ROUND((csv!$HG27/10+calc!FJ$1),1)</f>
        <v>4.7</v>
      </c>
      <c r="FK27" s="4">
        <f>ROUND((csv!$HG27/10+calc!FK$1),1)</f>
        <v>4.8</v>
      </c>
      <c r="FL27" s="4">
        <f>ROUND((csv!$HG27/10+calc!FL$1),1)</f>
        <v>4.9000000000000004</v>
      </c>
      <c r="FM27" s="4">
        <f>ROUND((csv!$HG27/10+calc!FM$1),1)</f>
        <v>5</v>
      </c>
      <c r="FN27" s="4">
        <f>ROUND((csv!$HG27/10+calc!FN$1),1)</f>
        <v>5.0999999999999996</v>
      </c>
      <c r="FO27" s="4">
        <f>ROUND((csv!$HG27/10+calc!FO$1),1)</f>
        <v>5.2</v>
      </c>
      <c r="FP27" s="4">
        <f>ROUND((csv!$HG27/10+calc!FP$1),1)</f>
        <v>5.3</v>
      </c>
      <c r="FQ27" s="4">
        <f>ROUND((csv!$HG27/10+calc!FQ$1),1)</f>
        <v>5.4</v>
      </c>
      <c r="FR27" s="4">
        <f>ROUND((csv!$HG27/10+calc!FR$1),1)</f>
        <v>5.5</v>
      </c>
      <c r="FS27" s="4">
        <f>ROUND((csv!$HG27/10+calc!FS$1),1)</f>
        <v>5.6</v>
      </c>
      <c r="FT27" s="4">
        <f>ROUND((csv!$HG27/10+calc!FT$1),1)</f>
        <v>5.7</v>
      </c>
      <c r="FU27" s="4">
        <f>ROUND((csv!$HG27/10+calc!FU$1),1)</f>
        <v>5.8</v>
      </c>
      <c r="FV27" s="4">
        <f>ROUND((csv!$HG27/10+calc!FV$1),1)</f>
        <v>5.9</v>
      </c>
      <c r="FW27" s="4">
        <f>ROUND((csv!$HG27/10+calc!FW$1),1)</f>
        <v>6</v>
      </c>
      <c r="FX27" s="4">
        <f>ROUND((csv!$HG27/10+calc!FX$1),1)</f>
        <v>6.1</v>
      </c>
      <c r="FY27" s="4">
        <f>ROUND((csv!$HG27/10+calc!FY$1),1)</f>
        <v>6.2</v>
      </c>
      <c r="FZ27" s="4">
        <f>ROUND((csv!$HG27/10+calc!FZ$1),1)</f>
        <v>6.3</v>
      </c>
      <c r="GA27" s="4">
        <f>ROUND((csv!$HG27/10+calc!GA$1),1)</f>
        <v>6.4</v>
      </c>
      <c r="GB27" s="4">
        <f>ROUND((csv!$HG27/10+calc!GB$1),1)</f>
        <v>6.5</v>
      </c>
      <c r="GC27" s="4">
        <f>ROUND((csv!$HG27/10+calc!GC$1),1)</f>
        <v>6.6</v>
      </c>
      <c r="GD27" s="4">
        <f>ROUND((csv!$HG27/10+calc!GD$1),1)</f>
        <v>6.7</v>
      </c>
      <c r="GE27" s="4">
        <f>ROUND((csv!$HG27/10+calc!GE$1),1)</f>
        <v>6.8</v>
      </c>
      <c r="GF27" s="4">
        <f>ROUND((csv!$HG27/10+calc!GF$1),1)</f>
        <v>6.9</v>
      </c>
      <c r="GG27" s="4">
        <f>ROUND((csv!$HG27/10+calc!GG$1),1)</f>
        <v>7</v>
      </c>
      <c r="GH27" s="4">
        <f>ROUND((csv!$HG27/10+calc!GH$1),1)</f>
        <v>7.1</v>
      </c>
      <c r="GI27" s="4">
        <f>ROUND((csv!$HG27/10+calc!GI$1),1)</f>
        <v>7.2</v>
      </c>
      <c r="GJ27" s="4">
        <f>ROUND((csv!$HG27/10+calc!GJ$1),1)</f>
        <v>7.3</v>
      </c>
      <c r="GK27" s="4">
        <f>ROUND((csv!$HG27/10+calc!GK$1),1)</f>
        <v>7.4</v>
      </c>
      <c r="GL27" s="4">
        <f>ROUND((csv!$HG27/10+calc!GL$1),1)</f>
        <v>7.5</v>
      </c>
      <c r="GM27" s="4">
        <f>ROUND((csv!$HG27/10+calc!GM$1),1)</f>
        <v>7.6</v>
      </c>
      <c r="GN27" s="4">
        <f>ROUND((csv!$HG27/10+calc!GN$1),1)</f>
        <v>7.7</v>
      </c>
      <c r="GO27" s="4">
        <f>ROUND((csv!$HG27/10+calc!GO$1),1)</f>
        <v>7.8</v>
      </c>
      <c r="GP27" s="4">
        <f>ROUND((csv!$HG27/10+calc!GP$1),1)</f>
        <v>7.9</v>
      </c>
      <c r="GQ27" s="4">
        <f>ROUND((csv!$HG27/10+calc!GQ$1),1)</f>
        <v>8</v>
      </c>
      <c r="GR27" s="4">
        <f>ROUND((csv!$HG27/10+calc!GR$1),1)</f>
        <v>8.1</v>
      </c>
      <c r="GS27" s="4">
        <f>ROUND((csv!$HG27/10+calc!GS$1),1)</f>
        <v>8.1999999999999993</v>
      </c>
      <c r="GT27" s="4">
        <f>ROUND((csv!$HG27/10+calc!GT$1),1)</f>
        <v>8.3000000000000007</v>
      </c>
      <c r="GU27" s="4">
        <f>ROUND((csv!$HG27/10+calc!GU$1),1)</f>
        <v>8.4</v>
      </c>
      <c r="GV27" s="4">
        <f>ROUND((csv!$HG27/10+calc!GV$1),1)</f>
        <v>8.5</v>
      </c>
      <c r="GW27" s="4">
        <f>ROUND((csv!$HG27/10+calc!GW$1),1)</f>
        <v>8.6</v>
      </c>
      <c r="GX27" s="4">
        <f>ROUND((csv!$HG27/10+calc!GX$1),1)</f>
        <v>8.6999999999999993</v>
      </c>
      <c r="GY27" s="4">
        <f>ROUND((csv!$HG27/10+calc!GY$1),1)</f>
        <v>8.8000000000000007</v>
      </c>
      <c r="GZ27" s="4">
        <f>ROUND((csv!$HG27/10+calc!GZ$1),1)</f>
        <v>8.9</v>
      </c>
      <c r="HA27" s="4">
        <f>ROUND((csv!$HG27/10+calc!HA$1),1)</f>
        <v>9</v>
      </c>
      <c r="HB27" s="4">
        <f>ROUND((csv!$HG27/10+calc!HB$1),1)</f>
        <v>9.1</v>
      </c>
      <c r="HC27" s="4">
        <f>ROUND((csv!$HG27/10+calc!HC$1),1)</f>
        <v>9.1999999999999993</v>
      </c>
      <c r="HD27" s="4">
        <f>ROUND((csv!$HG27/10+calc!HD$1),1)</f>
        <v>9.3000000000000007</v>
      </c>
      <c r="HE27" s="4">
        <f>ROUND((csv!$HG27/10+calc!HE$1),1)</f>
        <v>9.4</v>
      </c>
      <c r="HF27" s="4">
        <f>ROUND((csv!$HG27/10+calc!HF$1),1)</f>
        <v>9.5</v>
      </c>
      <c r="HG27" s="4">
        <f>ROUND((csv!$HG27/10+calc!HG$1),1)</f>
        <v>9.6</v>
      </c>
      <c r="HH27" s="4">
        <f>ROUND((csv!$HG27/10+calc!HH$1),1)</f>
        <v>9.6999999999999993</v>
      </c>
      <c r="HI27" s="4">
        <f>ROUND((csv!$HG27/10+calc!HI$1),1)</f>
        <v>9.8000000000000007</v>
      </c>
      <c r="HJ27" s="4">
        <f>ROUND((csv!$HG27/10+calc!HJ$1),1)</f>
        <v>9.9</v>
      </c>
      <c r="HK27" s="4">
        <f>ROUND((csv!$HG27/10+calc!HK$1),1)</f>
        <v>10</v>
      </c>
      <c r="HM27" s="2">
        <f>csv!A27*10000+csv!B27*100+csv!C27</f>
        <v>0</v>
      </c>
      <c r="HN27" s="5">
        <f>IF(ISERROR(LOOKUP(HN$1,$S27:$HK27,csv!$L27:$HD27)),NA(),LOOKUP(HN$1,$S27:$HK27,csv!$L27:$HD27))</f>
        <v>0</v>
      </c>
      <c r="HO27" s="5">
        <f>IF(ISERROR(LOOKUP(HO$1,$S27:$HK27,csv!$L27:$HD27)),NA(),LOOKUP(HO$1,$S27:$HK27,csv!$L27:$HD27))</f>
        <v>0</v>
      </c>
      <c r="HP27" s="5">
        <f>IF(ISERROR(LOOKUP(HP$1,$S27:$HK27,csv!$L27:$HD27)),NA(),LOOKUP(HP$1,$S27:$HK27,csv!$L27:$HD27))</f>
        <v>0</v>
      </c>
      <c r="HQ27" s="5">
        <f>IF(ISERROR(LOOKUP(HQ$1,$S27:$HK27,csv!$L27:$HD27)),NA(),LOOKUP(HQ$1,$S27:$HK27,csv!$L27:$HD27))</f>
        <v>0</v>
      </c>
      <c r="HR27" s="5">
        <f>IF(ISERROR(LOOKUP(HR$1,$S27:$HK27,csv!$L27:$HD27)),NA(),LOOKUP(HR$1,$S27:$HK27,csv!$L27:$HD27))</f>
        <v>0</v>
      </c>
      <c r="HS27" s="5">
        <f>IF(ISERROR(LOOKUP(HS$1,$S27:$HK27,csv!$L27:$HD27)),NA(),LOOKUP(HS$1,$S27:$HK27,csv!$L27:$HD27))</f>
        <v>0</v>
      </c>
      <c r="HT27" s="5">
        <f>IF(ISERROR(LOOKUP(HT$1,$S27:$HK27,csv!$L27:$HD27)),NA(),LOOKUP(HT$1,$S27:$HK27,csv!$L27:$HD27))</f>
        <v>0</v>
      </c>
      <c r="HU27" s="5">
        <f>IF(ISERROR(LOOKUP(HU$1,$S27:$HK27,csv!$L27:$HD27)),NA(),LOOKUP(HU$1,$S27:$HK27,csv!$L27:$HD27))</f>
        <v>0</v>
      </c>
      <c r="HV27" s="5">
        <f>IF(ISERROR(LOOKUP(HV$1,$S27:$HK27,csv!$L27:$HD27)),NA(),LOOKUP(HV$1,$S27:$HK27,csv!$L27:$HD27))</f>
        <v>0</v>
      </c>
      <c r="HW27" s="5">
        <f>IF(ISERROR(LOOKUP(HW$1,$S27:$HK27,csv!$L27:$HD27)),NA(),LOOKUP(HW$1,$S27:$HK27,csv!$L27:$HD27))</f>
        <v>0</v>
      </c>
      <c r="HX27" s="5">
        <f>IF(ISERROR(LOOKUP(HX$1,$S27:$HK27,csv!$L27:$HD27)),NA(),LOOKUP(HX$1,$S27:$HK27,csv!$L27:$HD27))</f>
        <v>0</v>
      </c>
      <c r="HY27" s="5">
        <f>IF(ISERROR(LOOKUP(HY$1,$S27:$HK27,csv!$L27:$HD27)),NA(),LOOKUP(HY$1,$S27:$HK27,csv!$L27:$HD27))</f>
        <v>0</v>
      </c>
      <c r="HZ27" s="5">
        <f>IF(ISERROR(LOOKUP(HZ$1,$S27:$HK27,csv!$L27:$HD27)),NA(),LOOKUP(HZ$1,$S27:$HK27,csv!$L27:$HD27))</f>
        <v>0</v>
      </c>
      <c r="IA27" s="5">
        <f>IF(ISERROR(LOOKUP(IA$1,$S27:$HK27,csv!$L27:$HD27)),NA(),LOOKUP(IA$1,$S27:$HK27,csv!$L27:$HD27))</f>
        <v>0</v>
      </c>
      <c r="IB27" s="5">
        <f>IF(ISERROR(LOOKUP(IB$1,$S27:$HK27,csv!$L27:$HD27)),NA(),LOOKUP(IB$1,$S27:$HK27,csv!$L27:$HD27))</f>
        <v>0</v>
      </c>
      <c r="IC27" s="5">
        <f>IF(ISERROR(LOOKUP(IC$1,$S27:$HK27,csv!$L27:$HD27)),NA(),LOOKUP(IC$1,$S27:$HK27,csv!$L27:$HD27))</f>
        <v>0</v>
      </c>
      <c r="ID27" s="5">
        <f>IF(ISERROR(LOOKUP(ID$1,$S27:$HK27,csv!$L27:$HD27)),NA(),LOOKUP(ID$1,$S27:$HK27,csv!$L27:$HD27))</f>
        <v>0</v>
      </c>
      <c r="IE27" s="5">
        <f>IF(ISERROR(LOOKUP(IE$1,$S27:$HK27,csv!$L27:$HD27)),NA(),LOOKUP(IE$1,$S27:$HK27,csv!$L27:$HD27))</f>
        <v>0</v>
      </c>
      <c r="IF27" s="5">
        <f>IF(ISERROR(LOOKUP(IF$1,$S27:$HK27,csv!$L27:$HD27)),NA(),LOOKUP(IF$1,$S27:$HK27,csv!$L27:$HD27))</f>
        <v>0</v>
      </c>
      <c r="IG27" s="5">
        <f>IF(ISERROR(LOOKUP(IG$1,$S27:$HK27,csv!$L27:$HD27)),NA(),LOOKUP(IG$1,$S27:$HK27,csv!$L27:$HD27))</f>
        <v>0</v>
      </c>
      <c r="IH27" s="5">
        <f>IF(ISERROR(LOOKUP(IH$1,$S27:$HK27,csv!$L27:$HD27)),NA(),LOOKUP(IH$1,$S27:$HK27,csv!$L27:$HD27))</f>
        <v>0</v>
      </c>
      <c r="II27" s="5">
        <f>IF(ISERROR(LOOKUP(II$1,$S27:$HK27,csv!$L27:$HD27)),NA(),LOOKUP(II$1,$S27:$HK27,csv!$L27:$HD27))</f>
        <v>0</v>
      </c>
      <c r="IJ27" s="5">
        <f>IF(ISERROR(LOOKUP(IJ$1,$S27:$HK27,csv!$L27:$HD27)),NA(),LOOKUP(IJ$1,$S27:$HK27,csv!$L27:$HD27))</f>
        <v>0</v>
      </c>
      <c r="IK27" s="5">
        <f>IF(ISERROR(LOOKUP(IK$1,$S27:$HK27,csv!$L27:$HD27)),NA(),LOOKUP(IK$1,$S27:$HK27,csv!$L27:$HD27))</f>
        <v>0</v>
      </c>
      <c r="IL27" s="5">
        <f>IF(ISERROR(LOOKUP(IL$1,$S27:$HK27,csv!$L27:$HD27)),NA(),LOOKUP(IL$1,$S27:$HK27,csv!$L27:$HD27))</f>
        <v>0</v>
      </c>
      <c r="IM27" s="5">
        <f>IF(ISERROR(LOOKUP(IM$1,$S27:$HK27,csv!$L27:$HD27)),NA(),LOOKUP(IM$1,$S27:$HK27,csv!$L27:$HD27))</f>
        <v>0</v>
      </c>
      <c r="IN27" s="5">
        <f>IF(ISERROR(LOOKUP(IN$1,$S27:$HK27,csv!$L27:$HD27)),NA(),LOOKUP(IN$1,$S27:$HK27,csv!$L27:$HD27))</f>
        <v>0</v>
      </c>
      <c r="IO27" s="5">
        <f>IF(ISERROR(LOOKUP(IO$1,$S27:$HK27,csv!$L27:$HD27)),NA(),LOOKUP(IO$1,$S27:$HK27,csv!$L27:$HD27))</f>
        <v>0</v>
      </c>
      <c r="IP27" s="5">
        <f>IF(ISERROR(LOOKUP(IP$1,$S27:$HK27,csv!$L27:$HD27)),NA(),LOOKUP(IP$1,$S27:$HK27,csv!$L27:$HD27))</f>
        <v>0</v>
      </c>
      <c r="IQ27" s="5">
        <f>IF(ISERROR(LOOKUP(IQ$1,$S27:$HK27,csv!$L27:$HD27)),NA(),LOOKUP(IQ$1,$S27:$HK27,csv!$L27:$HD27))</f>
        <v>0</v>
      </c>
      <c r="IR27" s="5">
        <f>IF(ISERROR(LOOKUP(IR$1,$S27:$HK27,csv!$L27:$HD27)),NA(),LOOKUP(IR$1,$S27:$HK27,csv!$L27:$HD27))</f>
        <v>0</v>
      </c>
      <c r="IS27" s="5">
        <f>IF(ISERROR(LOOKUP(IS$1,$S27:$HK27,csv!$L27:$HD27)),NA(),LOOKUP(IS$1,$S27:$HK27,csv!$L27:$HD27))</f>
        <v>0</v>
      </c>
      <c r="IT27" s="5">
        <f>IF(ISERROR(LOOKUP(IT$1,$S27:$HK27,csv!$L27:$HD27)),NA(),LOOKUP(IT$1,$S27:$HK27,csv!$L27:$HD27))</f>
        <v>0</v>
      </c>
      <c r="IU27" s="5">
        <f>IF(ISERROR(LOOKUP(IU$1,$S27:$HK27,csv!$L27:$HD27)),NA(),LOOKUP(IU$1,$S27:$HK27,csv!$L27:$HD27))</f>
        <v>0</v>
      </c>
      <c r="IV27" s="5">
        <f>IF(ISERROR(LOOKUP(IV$1,$S27:$HK27,csv!$L27:$HD27)),NA(),LOOKUP(IV$1,$S27:$HK27,csv!$L27:$HD27))</f>
        <v>0</v>
      </c>
      <c r="IW27" s="5">
        <f>IF(ISERROR(LOOKUP(IW$1,$S27:$HK27,csv!$L27:$HD27)),NA(),LOOKUP(IW$1,$S27:$HK27,csv!$L27:$HD27))</f>
        <v>0</v>
      </c>
      <c r="IX27" s="5">
        <f>IF(ISERROR(LOOKUP(IX$1,$S27:$HK27,csv!$L27:$HD27)),NA(),LOOKUP(IX$1,$S27:$HK27,csv!$L27:$HD27))</f>
        <v>0</v>
      </c>
      <c r="IY27" s="5">
        <f>IF(ISERROR(LOOKUP(IY$1,$S27:$HK27,csv!$L27:$HD27)),NA(),LOOKUP(IY$1,$S27:$HK27,csv!$L27:$HD27))</f>
        <v>0</v>
      </c>
      <c r="IZ27" s="5">
        <f>IF(ISERROR(LOOKUP(IZ$1,$S27:$HK27,csv!$L27:$HD27)),NA(),LOOKUP(IZ$1,$S27:$HK27,csv!$L27:$HD27))</f>
        <v>0</v>
      </c>
      <c r="JA27" s="5">
        <f>IF(ISERROR(LOOKUP(JA$1,$S27:$HK27,csv!$L27:$HD27)),NA(),LOOKUP(JA$1,$S27:$HK27,csv!$L27:$HD27))</f>
        <v>0</v>
      </c>
      <c r="JB27" s="5">
        <f>IF(ISERROR(LOOKUP(JB$1,$S27:$HK27,csv!$L27:$HD27)),NA(),LOOKUP(JB$1,$S27:$HK27,csv!$L27:$HD27))</f>
        <v>0</v>
      </c>
      <c r="JC27" s="5">
        <f>IF(ISERROR(LOOKUP(JC$1,$S27:$HK27,csv!$L27:$HD27)),NA(),LOOKUP(JC$1,$S27:$HK27,csv!$L27:$HD27))</f>
        <v>0</v>
      </c>
      <c r="JD27" s="5">
        <f>IF(ISERROR(LOOKUP(JD$1,$S27:$HK27,csv!$L27:$HD27)),NA(),LOOKUP(JD$1,$S27:$HK27,csv!$L27:$HD27))</f>
        <v>0</v>
      </c>
      <c r="JE27" s="5">
        <f>IF(ISERROR(LOOKUP(JE$1,$S27:$HK27,csv!$L27:$HD27)),NA(),LOOKUP(JE$1,$S27:$HK27,csv!$L27:$HD27))</f>
        <v>0</v>
      </c>
      <c r="JF27" s="5">
        <f>IF(ISERROR(LOOKUP(JF$1,$S27:$HK27,csv!$L27:$HD27)),NA(),LOOKUP(JF$1,$S27:$HK27,csv!$L27:$HD27))</f>
        <v>0</v>
      </c>
      <c r="JG27" s="5">
        <f>IF(ISERROR(LOOKUP(JG$1,$S27:$HK27,csv!$L27:$HD27)),NA(),LOOKUP(JG$1,$S27:$HK27,csv!$L27:$HD27))</f>
        <v>0</v>
      </c>
      <c r="JH27" s="5">
        <f>IF(ISERROR(LOOKUP(JH$1,$S27:$HK27,csv!$L27:$HD27)),NA(),LOOKUP(JH$1,$S27:$HK27,csv!$L27:$HD27))</f>
        <v>0</v>
      </c>
      <c r="JI27" s="5">
        <f>IF(ISERROR(LOOKUP(JI$1,$S27:$HK27,csv!$L27:$HD27)),NA(),LOOKUP(JI$1,$S27:$HK27,csv!$L27:$HD27))</f>
        <v>0</v>
      </c>
      <c r="JJ27" s="5">
        <f>IF(ISERROR(LOOKUP(JJ$1,$S27:$HK27,csv!$L27:$HD27)),NA(),LOOKUP(JJ$1,$S27:$HK27,csv!$L27:$HD27))</f>
        <v>0</v>
      </c>
      <c r="JK27" s="5">
        <f>IF(ISERROR(LOOKUP(JK$1,$S27:$HK27,csv!$L27:$HD27)),NA(),LOOKUP(JK$1,$S27:$HK27,csv!$L27:$HD27))</f>
        <v>0</v>
      </c>
      <c r="JL27" s="5">
        <f>IF(ISERROR(LOOKUP(JL$1,$S27:$HK27,csv!$L27:$HD27)),NA(),LOOKUP(JL$1,$S27:$HK27,csv!$L27:$HD27))</f>
        <v>0</v>
      </c>
      <c r="JM27" s="5">
        <f>IF(ISERROR(LOOKUP(JM$1,$S27:$HK27,csv!$L27:$HD27)),NA(),LOOKUP(JM$1,$S27:$HK27,csv!$L27:$HD27))</f>
        <v>0</v>
      </c>
      <c r="JN27" s="5">
        <f>IF(ISERROR(LOOKUP(JN$1,$S27:$HK27,csv!$L27:$HD27)),NA(),LOOKUP(JN$1,$S27:$HK27,csv!$L27:$HD27))</f>
        <v>0</v>
      </c>
      <c r="JO27" s="5">
        <f>IF(ISERROR(LOOKUP(JO$1,$S27:$HK27,csv!$L27:$HD27)),NA(),LOOKUP(JO$1,$S27:$HK27,csv!$L27:$HD27))</f>
        <v>0</v>
      </c>
      <c r="JP27" s="5">
        <f>IF(ISERROR(LOOKUP(JP$1,$S27:$HK27,csv!$L27:$HD27)),NA(),LOOKUP(JP$1,$S27:$HK27,csv!$L27:$HD27))</f>
        <v>0</v>
      </c>
      <c r="JQ27" s="5">
        <f>IF(ISERROR(LOOKUP(JQ$1,$S27:$HK27,csv!$L27:$HD27)),NA(),LOOKUP(JQ$1,$S27:$HK27,csv!$L27:$HD27))</f>
        <v>0</v>
      </c>
      <c r="JR27" s="5">
        <f>IF(ISERROR(LOOKUP(JR$1,$S27:$HK27,csv!$L27:$HD27)),NA(),LOOKUP(JR$1,$S27:$HK27,csv!$L27:$HD27))</f>
        <v>0</v>
      </c>
      <c r="JS27" s="5">
        <f>IF(ISERROR(LOOKUP(JS$1,$S27:$HK27,csv!$L27:$HD27)),NA(),LOOKUP(JS$1,$S27:$HK27,csv!$L27:$HD27))</f>
        <v>0</v>
      </c>
      <c r="JT27" s="5">
        <f>IF(ISERROR(LOOKUP(JT$1,$S27:$HK27,csv!$L27:$HD27)),NA(),LOOKUP(JT$1,$S27:$HK27,csv!$L27:$HD27))</f>
        <v>0</v>
      </c>
      <c r="JU27" s="5">
        <f>IF(ISERROR(LOOKUP(JU$1,$S27:$HK27,csv!$L27:$HD27)),NA(),LOOKUP(JU$1,$S27:$HK27,csv!$L27:$HD27))</f>
        <v>0</v>
      </c>
      <c r="JV27" s="5">
        <f>IF(ISERROR(LOOKUP(JV$1,$S27:$HK27,csv!$L27:$HD27)),NA(),LOOKUP(JV$1,$S27:$HK27,csv!$L27:$HD27))</f>
        <v>0</v>
      </c>
      <c r="JW27" s="5">
        <f>IF(ISERROR(LOOKUP(JW$1,$S27:$HK27,csv!$L27:$HD27)),NA(),LOOKUP(JW$1,$S27:$HK27,csv!$L27:$HD27))</f>
        <v>0</v>
      </c>
      <c r="JX27" s="5">
        <f>IF(ISERROR(LOOKUP(JX$1,$S27:$HK27,csv!$L27:$HD27)),NA(),LOOKUP(JX$1,$S27:$HK27,csv!$L27:$HD27))</f>
        <v>0</v>
      </c>
      <c r="JY27" s="5">
        <f>IF(ISERROR(LOOKUP(JY$1,$S27:$HK27,csv!$L27:$HD27)),NA(),LOOKUP(JY$1,$S27:$HK27,csv!$L27:$HD27))</f>
        <v>0</v>
      </c>
      <c r="JZ27" s="5">
        <f>IF(ISERROR(LOOKUP(JZ$1,$S27:$HK27,csv!$L27:$HD27)),NA(),LOOKUP(JZ$1,$S27:$HK27,csv!$L27:$HD27))</f>
        <v>0</v>
      </c>
      <c r="KA27" s="5">
        <f>IF(ISERROR(LOOKUP(KA$1,$S27:$HK27,csv!$L27:$HD27)),NA(),LOOKUP(KA$1,$S27:$HK27,csv!$L27:$HD27))</f>
        <v>0</v>
      </c>
      <c r="KB27" s="5">
        <f>IF(ISERROR(LOOKUP(KB$1,$S27:$HK27,csv!$L27:$HD27)),NA(),LOOKUP(KB$1,$S27:$HK27,csv!$L27:$HD27))</f>
        <v>0</v>
      </c>
      <c r="KC27" s="5">
        <f>IF(ISERROR(LOOKUP(KC$1,$S27:$HK27,csv!$L27:$HD27)),NA(),LOOKUP(KC$1,$S27:$HK27,csv!$L27:$HD27))</f>
        <v>0</v>
      </c>
      <c r="KD27" s="5">
        <f>IF(ISERROR(LOOKUP(KD$1,$S27:$HK27,csv!$L27:$HD27)),NA(),LOOKUP(KD$1,$S27:$HK27,csv!$L27:$HD27))</f>
        <v>0</v>
      </c>
      <c r="KE27" s="5">
        <f>IF(ISERROR(LOOKUP(KE$1,$S27:$HK27,csv!$L27:$HD27)),NA(),LOOKUP(KE$1,$S27:$HK27,csv!$L27:$HD27))</f>
        <v>0</v>
      </c>
      <c r="KF27" s="5">
        <f>IF(ISERROR(LOOKUP(KF$1,$S27:$HK27,csv!$L27:$HD27)),NA(),LOOKUP(KF$1,$S27:$HK27,csv!$L27:$HD27))</f>
        <v>0</v>
      </c>
      <c r="KG27" s="5">
        <f>IF(ISERROR(LOOKUP(KG$1,$S27:$HK27,csv!$L27:$HD27)),NA(),LOOKUP(KG$1,$S27:$HK27,csv!$L27:$HD27))</f>
        <v>0</v>
      </c>
      <c r="KH27" s="5">
        <f>IF(ISERROR(LOOKUP(KH$1,$S27:$HK27,csv!$L27:$HD27)),NA(),LOOKUP(KH$1,$S27:$HK27,csv!$L27:$HD27))</f>
        <v>0</v>
      </c>
      <c r="KI27" s="5">
        <f>IF(ISERROR(LOOKUP(KI$1,$S27:$HK27,csv!$L27:$HD27)),NA(),LOOKUP(KI$1,$S27:$HK27,csv!$L27:$HD27))</f>
        <v>0</v>
      </c>
      <c r="KJ27" s="5">
        <f>IF(ISERROR(LOOKUP(KJ$1,$S27:$HK27,csv!$L27:$HD27)),NA(),LOOKUP(KJ$1,$S27:$HK27,csv!$L27:$HD27))</f>
        <v>0</v>
      </c>
      <c r="KK27" s="5">
        <f>IF(ISERROR(LOOKUP(KK$1,$S27:$HK27,csv!$L27:$HD27)),NA(),LOOKUP(KK$1,$S27:$HK27,csv!$L27:$HD27))</f>
        <v>0</v>
      </c>
      <c r="KL27" s="5">
        <f>IF(ISERROR(LOOKUP(KL$1,$S27:$HK27,csv!$L27:$HD27)),NA(),LOOKUP(KL$1,$S27:$HK27,csv!$L27:$HD27))</f>
        <v>0</v>
      </c>
      <c r="KM27" s="5">
        <f>IF(ISERROR(LOOKUP(KM$1,$S27:$HK27,csv!$L27:$HD27)),NA(),LOOKUP(KM$1,$S27:$HK27,csv!$L27:$HD27))</f>
        <v>0</v>
      </c>
      <c r="KN27" s="5">
        <f>IF(ISERROR(LOOKUP(KN$1,$S27:$HK27,csv!$L27:$HD27)),NA(),LOOKUP(KN$1,$S27:$HK27,csv!$L27:$HD27))</f>
        <v>0</v>
      </c>
      <c r="KO27" s="5">
        <f>IF(ISERROR(LOOKUP(KO$1,$S27:$HK27,csv!$L27:$HD27)),NA(),LOOKUP(KO$1,$S27:$HK27,csv!$L27:$HD27))</f>
        <v>0</v>
      </c>
      <c r="KP27" s="5">
        <f>IF(ISERROR(LOOKUP(KP$1,$S27:$HK27,csv!$L27:$HD27)),NA(),LOOKUP(KP$1,$S27:$HK27,csv!$L27:$HD27))</f>
        <v>0</v>
      </c>
      <c r="KQ27" s="5">
        <f>IF(ISERROR(LOOKUP(KQ$1,$S27:$HK27,csv!$L27:$HD27)),NA(),LOOKUP(KQ$1,$S27:$HK27,csv!$L27:$HD27))</f>
        <v>0</v>
      </c>
      <c r="KR27" s="5">
        <f>IF(ISERROR(LOOKUP(KR$1,$S27:$HK27,csv!$L27:$HD27)),NA(),LOOKUP(KR$1,$S27:$HK27,csv!$L27:$HD27))</f>
        <v>0</v>
      </c>
      <c r="KS27" s="5">
        <f>IF(ISERROR(LOOKUP(KS$1,$S27:$HK27,csv!$L27:$HD27)),NA(),LOOKUP(KS$1,$S27:$HK27,csv!$L27:$HD27))</f>
        <v>0</v>
      </c>
      <c r="KT27" s="5">
        <f>IF(ISERROR(LOOKUP(KT$1,$S27:$HK27,csv!$L27:$HD27)),NA(),LOOKUP(KT$1,$S27:$HK27,csv!$L27:$HD27))</f>
        <v>0</v>
      </c>
      <c r="KU27" s="5">
        <f>IF(ISERROR(LOOKUP(KU$1,$S27:$HK27,csv!$L27:$HD27)),NA(),LOOKUP(KU$1,$S27:$HK27,csv!$L27:$HD27))</f>
        <v>0</v>
      </c>
      <c r="KV27" s="5">
        <f>IF(ISERROR(LOOKUP(KV$1,$S27:$HK27,csv!$L27:$HD27)),NA(),LOOKUP(KV$1,$S27:$HK27,csv!$L27:$HD27))</f>
        <v>0</v>
      </c>
      <c r="KW27" s="5">
        <f>IF(ISERROR(LOOKUP(KW$1,$S27:$HK27,csv!$L27:$HD27)),NA(),LOOKUP(KW$1,$S27:$HK27,csv!$L27:$HD27))</f>
        <v>0</v>
      </c>
      <c r="KX27" s="5">
        <f>IF(ISERROR(LOOKUP(KX$1,$S27:$HK27,csv!$L27:$HD27)),NA(),LOOKUP(KX$1,$S27:$HK27,csv!$L27:$HD27))</f>
        <v>0</v>
      </c>
      <c r="KY27" s="5">
        <f>IF(ISERROR(LOOKUP(KY$1,$S27:$HK27,csv!$L27:$HD27)),NA(),LOOKUP(KY$1,$S27:$HK27,csv!$L27:$HD27))</f>
        <v>0</v>
      </c>
      <c r="KZ27" s="5">
        <f>IF(ISERROR(LOOKUP(KZ$1,$S27:$HK27,csv!$L27:$HD27)),NA(),LOOKUP(KZ$1,$S27:$HK27,csv!$L27:$HD27))</f>
        <v>0</v>
      </c>
      <c r="LA27" s="5">
        <f>IF(ISERROR(LOOKUP(LA$1,$S27:$HK27,csv!$L27:$HD27)),NA(),LOOKUP(LA$1,$S27:$HK27,csv!$L27:$HD27))</f>
        <v>0</v>
      </c>
      <c r="LB27" s="5">
        <f>IF(ISERROR(LOOKUP(LB$1,$S27:$HK27,csv!$L27:$HD27)),NA(),LOOKUP(LB$1,$S27:$HK27,csv!$L27:$HD27))</f>
        <v>0</v>
      </c>
      <c r="LC27" s="5">
        <f>IF(ISERROR(LOOKUP(LC$1,$S27:$HK27,csv!$L27:$HD27)),NA(),LOOKUP(LC$1,$S27:$HK27,csv!$L27:$HD27))</f>
        <v>0</v>
      </c>
      <c r="LD27" s="5">
        <f>IF(ISERROR(LOOKUP(LD$1,$S27:$HK27,csv!$L27:$HD27)),NA(),LOOKUP(LD$1,$S27:$HK27,csv!$L27:$HD27))</f>
        <v>0</v>
      </c>
      <c r="LE27" s="5">
        <f>IF(ISERROR(LOOKUP(LE$1,$S27:$HK27,csv!$L27:$HD27)),NA(),LOOKUP(LE$1,$S27:$HK27,csv!$L27:$HD27))</f>
        <v>0</v>
      </c>
      <c r="LF27" s="5">
        <f>IF(ISERROR(LOOKUP(LF$1,$S27:$HK27,csv!$L27:$HD27)),NA(),LOOKUP(LF$1,$S27:$HK27,csv!$L27:$HD27))</f>
        <v>0</v>
      </c>
      <c r="LG27" s="5">
        <f>IF(ISERROR(LOOKUP(LG$1,$S27:$HK27,csv!$L27:$HD27)),NA(),LOOKUP(LG$1,$S27:$HK27,csv!$L27:$HD27))</f>
        <v>0</v>
      </c>
      <c r="LH27" s="5">
        <f>IF(ISERROR(LOOKUP(LH$1,$S27:$HK27,csv!$L27:$HD27)),NA(),LOOKUP(LH$1,$S27:$HK27,csv!$L27:$HD27))</f>
        <v>0</v>
      </c>
      <c r="LI27" s="5">
        <f>IF(ISERROR(LOOKUP(LI$1,$S27:$HK27,csv!$L27:$HD27)),NA(),LOOKUP(LI$1,$S27:$HK27,csv!$L27:$HD27))</f>
        <v>0</v>
      </c>
      <c r="LJ27" s="5">
        <f>IF(ISERROR(LOOKUP(LJ$1,$S27:$HK27,csv!$L27:$HD27)),NA(),LOOKUP(LJ$1,$S27:$HK27,csv!$L27:$HD27))</f>
        <v>0</v>
      </c>
      <c r="LK27" s="5">
        <f>IF(ISERROR(LOOKUP(LK$1,$S27:$HK27,csv!$L27:$HD27)),NA(),LOOKUP(LK$1,$S27:$HK27,csv!$L27:$HD27))</f>
        <v>0</v>
      </c>
      <c r="LL27" s="5">
        <f>IF(ISERROR(LOOKUP(LL$1,$S27:$HK27,csv!$L27:$HD27)),NA(),LOOKUP(LL$1,$S27:$HK27,csv!$L27:$HD27))</f>
        <v>0</v>
      </c>
      <c r="LM27" s="5">
        <f>IF(ISERROR(LOOKUP(LM$1,$S27:$HK27,csv!$L27:$HD27)),NA(),LOOKUP(LM$1,$S27:$HK27,csv!$L27:$HD27))</f>
        <v>0</v>
      </c>
      <c r="LN27" s="5">
        <f>IF(ISERROR(LOOKUP(LN$1,$S27:$HK27,csv!$L27:$HD27)),NA(),LOOKUP(LN$1,$S27:$HK27,csv!$L27:$HD27))</f>
        <v>0</v>
      </c>
      <c r="LO27" s="5">
        <f>IF(ISERROR(LOOKUP(LO$1,$S27:$HK27,csv!$L27:$HD27)),NA(),LOOKUP(LO$1,$S27:$HK27,csv!$L27:$HD27))</f>
        <v>0</v>
      </c>
      <c r="LP27" s="5">
        <f>IF(ISERROR(LOOKUP(LP$1,$S27:$HK27,csv!$L27:$HD27)),NA(),LOOKUP(LP$1,$S27:$HK27,csv!$L27:$HD27))</f>
        <v>0</v>
      </c>
      <c r="LQ27" s="5">
        <f>IF(ISERROR(LOOKUP(LQ$1,$S27:$HK27,csv!$L27:$HD27)),NA(),LOOKUP(LQ$1,$S27:$HK27,csv!$L27:$HD27))</f>
        <v>0</v>
      </c>
      <c r="LR27" s="5">
        <f>IF(ISERROR(LOOKUP(LR$1,$S27:$HK27,csv!$L27:$HD27)),NA(),LOOKUP(LR$1,$S27:$HK27,csv!$L27:$HD27))</f>
        <v>0</v>
      </c>
      <c r="LS27" s="5">
        <f>IF(ISERROR(LOOKUP(LS$1,$S27:$HK27,csv!$L27:$HD27)),NA(),LOOKUP(LS$1,$S27:$HK27,csv!$L27:$HD27))</f>
        <v>0</v>
      </c>
      <c r="LT27" s="5">
        <f>IF(ISERROR(LOOKUP(LT$1,$S27:$HK27,csv!$L27:$HD27)),NA(),LOOKUP(LT$1,$S27:$HK27,csv!$L27:$HD27))</f>
        <v>0</v>
      </c>
      <c r="LU27" s="5">
        <f>IF(ISERROR(LOOKUP(LU$1,$S27:$HK27,csv!$L27:$HD27)),NA(),LOOKUP(LU$1,$S27:$HK27,csv!$L27:$HD27))</f>
        <v>0</v>
      </c>
      <c r="LV27" s="5">
        <f>IF(ISERROR(LOOKUP(LV$1,$S27:$HK27,csv!$L27:$HD27)),NA(),LOOKUP(LV$1,$S27:$HK27,csv!$L27:$HD27))</f>
        <v>0</v>
      </c>
      <c r="LW27" s="5">
        <f>IF(ISERROR(LOOKUP(LW$1,$S27:$HK27,csv!$L27:$HD27)),NA(),LOOKUP(LW$1,$S27:$HK27,csv!$L27:$HD27))</f>
        <v>0</v>
      </c>
      <c r="LX27" s="5">
        <f>IF(ISERROR(LOOKUP(LX$1,$S27:$HK27,csv!$L27:$HD27)),NA(),LOOKUP(LX$1,$S27:$HK27,csv!$L27:$HD27))</f>
        <v>0</v>
      </c>
      <c r="LY27" s="5">
        <f>IF(ISERROR(LOOKUP(LY$1,$S27:$HK27,csv!$L27:$HD27)),NA(),LOOKUP(LY$1,$S27:$HK27,csv!$L27:$HD27))</f>
        <v>0</v>
      </c>
      <c r="LZ27" s="5">
        <f>IF(ISERROR(LOOKUP(LZ$1,$S27:$HK27,csv!$L27:$HD27)),NA(),LOOKUP(LZ$1,$S27:$HK27,csv!$L27:$HD27))</f>
        <v>0</v>
      </c>
      <c r="MA27" s="5">
        <f>IF(ISERROR(LOOKUP(MA$1,$S27:$HK27,csv!$L27:$HD27)),NA(),LOOKUP(MA$1,$S27:$HK27,csv!$L27:$HD27))</f>
        <v>0</v>
      </c>
      <c r="MB27" s="5">
        <f>IF(ISERROR(LOOKUP(MB$1,$S27:$HK27,csv!$L27:$HD27)),NA(),LOOKUP(MB$1,$S27:$HK27,csv!$L27:$HD27))</f>
        <v>0</v>
      </c>
      <c r="MC27" s="5">
        <f>IF(ISERROR(LOOKUP(MC$1,$S27:$HK27,csv!$L27:$HD27)),NA(),LOOKUP(MC$1,$S27:$HK27,csv!$L27:$HD27))</f>
        <v>0</v>
      </c>
      <c r="MD27" s="5">
        <f>IF(ISERROR(LOOKUP(MD$1,$S27:$HK27,csv!$L27:$HD27)),NA(),LOOKUP(MD$1,$S27:$HK27,csv!$L27:$HD27))</f>
        <v>0</v>
      </c>
      <c r="ME27" s="5">
        <f>IF(ISERROR(LOOKUP(ME$1,$S27:$HK27,csv!$L27:$HD27)),NA(),LOOKUP(ME$1,$S27:$HK27,csv!$L27:$HD27))</f>
        <v>0</v>
      </c>
      <c r="MF27" s="5">
        <f>IF(ISERROR(LOOKUP(MF$1,$S27:$HK27,csv!$L27:$HD27)),NA(),LOOKUP(MF$1,$S27:$HK27,csv!$L27:$HD27))</f>
        <v>0</v>
      </c>
      <c r="MG27" s="5">
        <f>IF(ISERROR(LOOKUP(MG$1,$S27:$HK27,csv!$L27:$HD27)),NA(),LOOKUP(MG$1,$S27:$HK27,csv!$L27:$HD27))</f>
        <v>0</v>
      </c>
      <c r="MH27" s="5">
        <f>IF(ISERROR(LOOKUP(MH$1,$S27:$HK27,csv!$L27:$HD27)),NA(),LOOKUP(MH$1,$S27:$HK27,csv!$L27:$HD27))</f>
        <v>0</v>
      </c>
      <c r="MI27" s="5">
        <f>IF(ISERROR(LOOKUP(MI$1,$S27:$HK27,csv!$L27:$HD27)),NA(),LOOKUP(MI$1,$S27:$HK27,csv!$L27:$HD27))</f>
        <v>0</v>
      </c>
      <c r="MJ27" s="5">
        <f>IF(ISERROR(LOOKUP(MJ$1,$S27:$HK27,csv!$L27:$HD27)),NA(),LOOKUP(MJ$1,$S27:$HK27,csv!$L27:$HD27))</f>
        <v>0</v>
      </c>
      <c r="MK27" s="5">
        <f>IF(ISERROR(LOOKUP(MK$1,$S27:$HK27,csv!$L27:$HD27)),NA(),LOOKUP(MK$1,$S27:$HK27,csv!$L27:$HD27))</f>
        <v>0</v>
      </c>
      <c r="ML27" s="5">
        <f>IF(ISERROR(LOOKUP(ML$1,$S27:$HK27,csv!$L27:$HD27)),NA(),LOOKUP(ML$1,$S27:$HK27,csv!$L27:$HD27))</f>
        <v>0</v>
      </c>
      <c r="MM27" s="5">
        <f>IF(ISERROR(LOOKUP(MM$1,$S27:$HK27,csv!$L27:$HD27)),NA(),LOOKUP(MM$1,$S27:$HK27,csv!$L27:$HD27))</f>
        <v>0</v>
      </c>
      <c r="MN27" s="5">
        <f>IF(ISERROR(LOOKUP(MN$1,$S27:$HK27,csv!$L27:$HD27)),NA(),LOOKUP(MN$1,$S27:$HK27,csv!$L27:$HD27))</f>
        <v>0</v>
      </c>
      <c r="MO27" s="5">
        <f>IF(ISERROR(LOOKUP(MO$1,$S27:$HK27,csv!$L27:$HD27)),NA(),LOOKUP(MO$1,$S27:$HK27,csv!$L27:$HD27))</f>
        <v>0</v>
      </c>
      <c r="MP27" s="5">
        <f>IF(ISERROR(LOOKUP(MP$1,$S27:$HK27,csv!$L27:$HD27)),NA(),LOOKUP(MP$1,$S27:$HK27,csv!$L27:$HD27))</f>
        <v>0</v>
      </c>
      <c r="MQ27" s="5">
        <f>IF(ISERROR(LOOKUP(MQ$1,$S27:$HK27,csv!$L27:$HD27)),NA(),LOOKUP(MQ$1,$S27:$HK27,csv!$L27:$HD27))</f>
        <v>0</v>
      </c>
      <c r="MR27" s="5">
        <f>IF(ISERROR(LOOKUP(MR$1,$S27:$HK27,csv!$L27:$HD27)),NA(),LOOKUP(MR$1,$S27:$HK27,csv!$L27:$HD27))</f>
        <v>0</v>
      </c>
      <c r="MS27" s="5">
        <f>IF(ISERROR(LOOKUP(MS$1,$S27:$HK27,csv!$L27:$HD27)),NA(),LOOKUP(MS$1,$S27:$HK27,csv!$L27:$HD27))</f>
        <v>0</v>
      </c>
      <c r="MT27" s="5">
        <f>IF(ISERROR(LOOKUP(MT$1,$S27:$HK27,csv!$L27:$HD27)),NA(),LOOKUP(MT$1,$S27:$HK27,csv!$L27:$HD27))</f>
        <v>0</v>
      </c>
      <c r="MU27" s="5">
        <f>IF(ISERROR(LOOKUP(MU$1,$S27:$HK27,csv!$L27:$HD27)),NA(),LOOKUP(MU$1,$S27:$HK27,csv!$L27:$HD27))</f>
        <v>0</v>
      </c>
      <c r="MV27" s="5">
        <f>IF(ISERROR(LOOKUP(MV$1,$S27:$HK27,csv!$L27:$HD27)),NA(),LOOKUP(MV$1,$S27:$HK27,csv!$L27:$HD27))</f>
        <v>0</v>
      </c>
      <c r="MW27" s="5">
        <f>IF(ISERROR(LOOKUP(MW$1,$S27:$HK27,csv!$L27:$HD27)),NA(),LOOKUP(MW$1,$S27:$HK27,csv!$L27:$HD27))</f>
        <v>0</v>
      </c>
      <c r="MX27" s="5">
        <f>IF(ISERROR(LOOKUP(MX$1,$S27:$HK27,csv!$L27:$HD27)),NA(),LOOKUP(MX$1,$S27:$HK27,csv!$L27:$HD27))</f>
        <v>0</v>
      </c>
      <c r="MY27" s="5">
        <f>IF(ISERROR(LOOKUP(MY$1,$S27:$HK27,csv!$L27:$HD27)),NA(),LOOKUP(MY$1,$S27:$HK27,csv!$L27:$HD27))</f>
        <v>0</v>
      </c>
      <c r="MZ27" s="5">
        <f>IF(ISERROR(LOOKUP(MZ$1,$S27:$HK27,csv!$L27:$HD27)),NA(),LOOKUP(MZ$1,$S27:$HK27,csv!$L27:$HD27))</f>
        <v>0</v>
      </c>
      <c r="NA27" s="5">
        <f>IF(ISERROR(LOOKUP(NA$1,$S27:$HK27,csv!$L27:$HD27)),NA(),LOOKUP(NA$1,$S27:$HK27,csv!$L27:$HD27))</f>
        <v>0</v>
      </c>
      <c r="NB27" s="5">
        <f>IF(ISERROR(LOOKUP(NB$1,$S27:$HK27,csv!$L27:$HD27)),NA(),LOOKUP(NB$1,$S27:$HK27,csv!$L27:$HD27))</f>
        <v>0</v>
      </c>
      <c r="NC27" s="5">
        <f>IF(ISERROR(LOOKUP(NC$1,$S27:$HK27,csv!$L27:$HD27)),NA(),LOOKUP(NC$1,$S27:$HK27,csv!$L27:$HD27))</f>
        <v>0</v>
      </c>
      <c r="ND27" s="5">
        <f>IF(ISERROR(LOOKUP(ND$1,$S27:$HK27,csv!$L27:$HD27)),NA(),LOOKUP(ND$1,$S27:$HK27,csv!$L27:$HD27))</f>
        <v>0</v>
      </c>
      <c r="NE27" s="5">
        <f>IF(ISERROR(LOOKUP(NE$1,$S27:$HK27,csv!$L27:$HD27)),NA(),LOOKUP(NE$1,$S27:$HK27,csv!$L27:$HD27))</f>
        <v>0</v>
      </c>
      <c r="NF27" s="5">
        <f>IF(ISERROR(LOOKUP(NF$1,$S27:$HK27,csv!$L27:$HD27)),NA(),LOOKUP(NF$1,$S27:$HK27,csv!$L27:$HD27))</f>
        <v>0</v>
      </c>
      <c r="NG27" s="5">
        <f>IF(ISERROR(LOOKUP(NG$1,$S27:$HK27,csv!$L27:$HD27)),NA(),LOOKUP(NG$1,$S27:$HK27,csv!$L27:$HD27))</f>
        <v>0</v>
      </c>
      <c r="NH27" s="5">
        <f>IF(ISERROR(LOOKUP(NH$1,$S27:$HK27,csv!$L27:$HD27)),NA(),LOOKUP(NH$1,$S27:$HK27,csv!$L27:$HD27))</f>
        <v>0</v>
      </c>
      <c r="NI27" s="5">
        <f>IF(ISERROR(LOOKUP(NI$1,$S27:$HK27,csv!$L27:$HD27)),NA(),LOOKUP(NI$1,$S27:$HK27,csv!$L27:$HD27))</f>
        <v>0</v>
      </c>
      <c r="NJ27" s="5">
        <f>IF(ISERROR(LOOKUP(NJ$1,$S27:$HK27,csv!$L27:$HD27)),NA(),LOOKUP(NJ$1,$S27:$HK27,csv!$L27:$HD27))</f>
        <v>0</v>
      </c>
      <c r="NK27" s="5">
        <f>IF(ISERROR(LOOKUP(NK$1,$S27:$HK27,csv!$L27:$HD27)),NA(),LOOKUP(NK$1,$S27:$HK27,csv!$L27:$HD27))</f>
        <v>0</v>
      </c>
      <c r="NL27" s="5">
        <f>IF(ISERROR(LOOKUP(NL$1,$S27:$HK27,csv!$L27:$HD27)),NA(),LOOKUP(NL$1,$S27:$HK27,csv!$L27:$HD27))</f>
        <v>0</v>
      </c>
      <c r="NM27" s="5">
        <f>IF(ISERROR(LOOKUP(NM$1,$S27:$HK27,csv!$L27:$HD27)),NA(),LOOKUP(NM$1,$S27:$HK27,csv!$L27:$HD27))</f>
        <v>0</v>
      </c>
      <c r="NN27" s="5">
        <f>IF(ISERROR(LOOKUP(NN$1,$S27:$HK27,csv!$L27:$HD27)),NA(),LOOKUP(NN$1,$S27:$HK27,csv!$L27:$HD27))</f>
        <v>0</v>
      </c>
      <c r="NO27" s="5">
        <f>IF(ISERROR(LOOKUP(NO$1,$S27:$HK27,csv!$L27:$HD27)),NA(),LOOKUP(NO$1,$S27:$HK27,csv!$L27:$HD27))</f>
        <v>0</v>
      </c>
      <c r="NP27" s="5">
        <f>IF(ISERROR(LOOKUP(NP$1,$S27:$HK27,csv!$L27:$HD27)),NA(),LOOKUP(NP$1,$S27:$HK27,csv!$L27:$HD27))</f>
        <v>0</v>
      </c>
      <c r="NQ27" s="5">
        <f>IF(ISERROR(LOOKUP(NQ$1,$S27:$HK27,csv!$L27:$HD27)),NA(),LOOKUP(NQ$1,$S27:$HK27,csv!$L27:$HD27))</f>
        <v>0</v>
      </c>
      <c r="NR27" s="5">
        <f>IF(ISERROR(LOOKUP(NR$1,$S27:$HK27,csv!$L27:$HD27)),NA(),LOOKUP(NR$1,$S27:$HK27,csv!$L27:$HD27))</f>
        <v>0</v>
      </c>
      <c r="NS27" s="5">
        <f>IF(ISERROR(LOOKUP(NS$1,$S27:$HK27,csv!$L27:$HD27)),NA(),LOOKUP(NS$1,$S27:$HK27,csv!$L27:$HD27))</f>
        <v>0</v>
      </c>
      <c r="NT27" s="5">
        <f>IF(ISERROR(LOOKUP(NT$1,$S27:$HK27,csv!$L27:$HD27)),NA(),LOOKUP(NT$1,$S27:$HK27,csv!$L27:$HD27))</f>
        <v>0</v>
      </c>
      <c r="NU27" s="5">
        <f>IF(ISERROR(LOOKUP(NU$1,$S27:$HK27,csv!$L27:$HD27)),NA(),LOOKUP(NU$1,$S27:$HK27,csv!$L27:$HD27))</f>
        <v>0</v>
      </c>
      <c r="NV27" s="5">
        <f>IF(ISERROR(LOOKUP(NV$1,$S27:$HK27,csv!$L27:$HD27)),NA(),LOOKUP(NV$1,$S27:$HK27,csv!$L27:$HD27))</f>
        <v>0</v>
      </c>
      <c r="NW27" s="5">
        <f>IF(ISERROR(LOOKUP(NW$1,$S27:$HK27,csv!$L27:$HD27)),NA(),LOOKUP(NW$1,$S27:$HK27,csv!$L27:$HD27))</f>
        <v>0</v>
      </c>
      <c r="NX27" s="5">
        <f>IF(ISERROR(LOOKUP(NX$1,$S27:$HK27,csv!$L27:$HD27)),NA(),LOOKUP(NX$1,$S27:$HK27,csv!$L27:$HD27))</f>
        <v>0</v>
      </c>
      <c r="NY27" s="5">
        <f>IF(ISERROR(LOOKUP(NY$1,$S27:$HK27,csv!$L27:$HD27)),NA(),LOOKUP(NY$1,$S27:$HK27,csv!$L27:$HD27))</f>
        <v>0</v>
      </c>
      <c r="NZ27" s="5">
        <f>IF(ISERROR(LOOKUP(NZ$1,$S27:$HK27,csv!$L27:$HD27)),NA(),LOOKUP(NZ$1,$S27:$HK27,csv!$L27:$HD27))</f>
        <v>0</v>
      </c>
      <c r="OA27" s="5">
        <f>IF(ISERROR(LOOKUP(OA$1,$S27:$HK27,csv!$L27:$HD27)),NA(),LOOKUP(OA$1,$S27:$HK27,csv!$L27:$HD27))</f>
        <v>0</v>
      </c>
      <c r="OB27" s="5">
        <f>IF(ISERROR(LOOKUP(OB$1,$S27:$HK27,csv!$L27:$HD27)),NA(),LOOKUP(OB$1,$S27:$HK27,csv!$L27:$HD27))</f>
        <v>0</v>
      </c>
      <c r="OC27" s="5">
        <f>IF(ISERROR(LOOKUP(OC$1,$S27:$HK27,csv!$L27:$HD27)),NA(),LOOKUP(OC$1,$S27:$HK27,csv!$L27:$HD27))</f>
        <v>0</v>
      </c>
      <c r="OD27" s="5">
        <f>IF(ISERROR(LOOKUP(OD$1,$S27:$HK27,csv!$L27:$HD27)),NA(),LOOKUP(OD$1,$S27:$HK27,csv!$L27:$HD27))</f>
        <v>0</v>
      </c>
      <c r="OE27" s="5">
        <f>IF(ISERROR(LOOKUP(OE$1,$S27:$HK27,csv!$L27:$HD27)),NA(),LOOKUP(OE$1,$S27:$HK27,csv!$L27:$HD27))</f>
        <v>0</v>
      </c>
      <c r="OF27" s="5">
        <f>IF(ISERROR(LOOKUP(OF$1,$S27:$HK27,csv!$L27:$HD27)),NA(),LOOKUP(OF$1,$S27:$HK27,csv!$L27:$HD27))</f>
        <v>0</v>
      </c>
      <c r="OG27" s="5">
        <f>IF(ISERROR(LOOKUP(OG$1,$S27:$HK27,csv!$L27:$HD27)),NA(),LOOKUP(OG$1,$S27:$HK27,csv!$L27:$HD27))</f>
        <v>0</v>
      </c>
      <c r="OH27" s="5">
        <f>IF(ISERROR(LOOKUP(OH$1,$S27:$HK27,csv!$L27:$HD27)),NA(),LOOKUP(OH$1,$S27:$HK27,csv!$L27:$HD27))</f>
        <v>0</v>
      </c>
      <c r="OI27" s="5">
        <f>IF(ISERROR(LOOKUP(OI$1,$S27:$HK27,csv!$L27:$HD27)),NA(),LOOKUP(OI$1,$S27:$HK27,csv!$L27:$HD27))</f>
        <v>0</v>
      </c>
      <c r="OJ27" s="5">
        <f>IF(ISERROR(LOOKUP(OJ$1,$S27:$HK27,csv!$L27:$HD27)),NA(),LOOKUP(OJ$1,$S27:$HK27,csv!$L27:$HD27))</f>
        <v>0</v>
      </c>
      <c r="OK27" s="5">
        <f>IF(ISERROR(LOOKUP(OK$1,$S27:$HK27,csv!$L27:$HD27)),NA(),LOOKUP(OK$1,$S27:$HK27,csv!$L27:$HD27))</f>
        <v>0</v>
      </c>
      <c r="OL27" s="5">
        <f>IF(ISERROR(LOOKUP(OL$1,$S27:$HK27,csv!$L27:$HD27)),NA(),LOOKUP(OL$1,$S27:$HK27,csv!$L27:$HD27))</f>
        <v>0</v>
      </c>
      <c r="OM27" s="5">
        <f>IF(ISERROR(LOOKUP(OM$1,$S27:$HK27,csv!$L27:$HD27)),NA(),LOOKUP(OM$1,$S27:$HK27,csv!$L27:$HD27))</f>
        <v>0</v>
      </c>
      <c r="ON27" s="5">
        <f>IF(ISERROR(LOOKUP(ON$1,$S27:$HK27,csv!$L27:$HD27)),NA(),LOOKUP(ON$1,$S27:$HK27,csv!$L27:$HD27))</f>
        <v>0</v>
      </c>
      <c r="OO27" s="5">
        <f>IF(ISERROR(LOOKUP(OO$1,$S27:$HK27,csv!$L27:$HD27)),NA(),LOOKUP(OO$1,$S27:$HK27,csv!$L27:$HD27))</f>
        <v>0</v>
      </c>
      <c r="OP27" s="5">
        <f>IF(ISERROR(LOOKUP(OP$1,$S27:$HK27,csv!$L27:$HD27)),NA(),LOOKUP(OP$1,$S27:$HK27,csv!$L27:$HD27))</f>
        <v>0</v>
      </c>
      <c r="OQ27" s="5">
        <f>IF(ISERROR(LOOKUP(OQ$1,$S27:$HK27,csv!$L27:$HD27)),NA(),LOOKUP(OQ$1,$S27:$HK27,csv!$L27:$HD27))</f>
        <v>0</v>
      </c>
      <c r="OR27" s="5">
        <f>IF(ISERROR(LOOKUP(OR$1,$S27:$HK27,csv!$L27:$HD27)),NA(),LOOKUP(OR$1,$S27:$HK27,csv!$L27:$HD27))</f>
        <v>0</v>
      </c>
      <c r="OS27" s="5">
        <f>IF(ISERROR(LOOKUP(OS$1,$S27:$HK27,csv!$L27:$HD27)),NA(),LOOKUP(OS$1,$S27:$HK27,csv!$L27:$HD27))</f>
        <v>0</v>
      </c>
      <c r="OT27" s="5">
        <f>IF(ISERROR(LOOKUP(OT$1,$S27:$HK27,csv!$L27:$HD27)),NA(),LOOKUP(OT$1,$S27:$HK27,csv!$L27:$HD27))</f>
        <v>0</v>
      </c>
      <c r="OU27" s="5">
        <f>IF(ISERROR(LOOKUP(OU$1,$S27:$HK27,csv!$L27:$HD27)),NA(),LOOKUP(OU$1,$S27:$HK27,csv!$L27:$HD27))</f>
        <v>0</v>
      </c>
      <c r="OV27" s="5">
        <f>IF(ISERROR(LOOKUP(OV$1,$S27:$HK27,csv!$L27:$HD27)),NA(),LOOKUP(OV$1,$S27:$HK27,csv!$L27:$HD27))</f>
        <v>0</v>
      </c>
      <c r="OW27" s="5">
        <f>IF(ISERROR(LOOKUP(OW$1,$S27:$HK27,csv!$L27:$HD27)),NA(),LOOKUP(OW$1,$S27:$HK27,csv!$L27:$HD27))</f>
        <v>0</v>
      </c>
      <c r="OX27" s="5">
        <f>IF(ISERROR(LOOKUP(OX$1,$S27:$HK27,csv!$L27:$HD27)),NA(),LOOKUP(OX$1,$S27:$HK27,csv!$L27:$HD27))</f>
        <v>0</v>
      </c>
      <c r="OY27" s="5">
        <f>IF(ISERROR(LOOKUP(OY$1,$S27:$HK27,csv!$L27:$HD27)),NA(),LOOKUP(OY$1,$S27:$HK27,csv!$L27:$HD27))</f>
        <v>0</v>
      </c>
      <c r="OZ27" s="5">
        <f>IF(ISERROR(LOOKUP(OZ$1,$S27:$HK27,csv!$L27:$HD27)),NA(),LOOKUP(OZ$1,$S27:$HK27,csv!$L27:$HD27))</f>
        <v>0</v>
      </c>
      <c r="PA27" s="5">
        <f>IF(ISERROR(LOOKUP(PA$1,$S27:$HK27,csv!$L27:$HD27)),NA(),LOOKUP(PA$1,$S27:$HK27,csv!$L27:$HD27))</f>
        <v>0</v>
      </c>
      <c r="PB27" s="5">
        <f>IF(ISERROR(LOOKUP(PB$1,$S27:$HK27,csv!$L27:$HD27)),NA(),LOOKUP(PB$1,$S27:$HK27,csv!$L27:$HD27))</f>
        <v>0</v>
      </c>
      <c r="PC27" s="5">
        <f>IF(ISERROR(LOOKUP(PC$1,$S27:$HK27,csv!$L27:$HD27)),NA(),LOOKUP(PC$1,$S27:$HK27,csv!$L27:$HD27))</f>
        <v>0</v>
      </c>
      <c r="PD27" s="5">
        <f>IF(ISERROR(LOOKUP(PD$1,$S27:$HK27,csv!$L27:$HD27)),NA(),LOOKUP(PD$1,$S27:$HK27,csv!$L27:$HD27))</f>
        <v>0</v>
      </c>
      <c r="PE27" s="5">
        <f>IF(ISERROR(LOOKUP(PE$1,$S27:$HK27,csv!$L27:$HD27)),NA(),LOOKUP(PE$1,$S27:$HK27,csv!$L27:$HD27))</f>
        <v>0</v>
      </c>
      <c r="PF27" s="5">
        <f>IF(ISERROR(LOOKUP(PF$1,$S27:$HK27,csv!$L27:$HD27)),NA(),LOOKUP(PF$1,$S27:$HK27,csv!$L27:$HD27))</f>
        <v>0</v>
      </c>
      <c r="PG27" s="5">
        <f>IF(ISERROR(LOOKUP(PG$1,$S27:$HK27,csv!$L27:$HD27)),NA(),LOOKUP(PG$1,$S27:$HK27,csv!$L27:$HD27))</f>
        <v>0</v>
      </c>
      <c r="PH27" s="5">
        <f>IF(ISERROR(LOOKUP(PH$1,$S27:$HK27,csv!$L27:$HD27)),NA(),LOOKUP(PH$1,$S27:$HK27,csv!$L27:$HD27))</f>
        <v>0</v>
      </c>
      <c r="PI27" s="5">
        <f>IF(ISERROR(LOOKUP(PI$1,$S27:$HK27,csv!$L27:$HD27)),NA(),LOOKUP(PI$1,$S27:$HK27,csv!$L27:$HD27))</f>
        <v>0</v>
      </c>
      <c r="PJ27" s="5">
        <f>IF(ISERROR(LOOKUP(PJ$1,$S27:$HK27,csv!$L27:$HD27)),NA(),LOOKUP(PJ$1,$S27:$HK27,csv!$L27:$HD27))</f>
        <v>0</v>
      </c>
      <c r="PK27" s="5">
        <f>IF(ISERROR(LOOKUP(PK$1,$S27:$HK27,csv!$L27:$HD27)),NA(),LOOKUP(PK$1,$S27:$HK27,csv!$L27:$HD27))</f>
        <v>0</v>
      </c>
      <c r="PL27" s="5">
        <f>IF(ISERROR(LOOKUP(PL$1,$S27:$HK27,csv!$L27:$HD27)),NA(),LOOKUP(PL$1,$S27:$HK27,csv!$L27:$HD27))</f>
        <v>0</v>
      </c>
      <c r="PM27" s="5">
        <f>IF(ISERROR(LOOKUP(PM$1,$S27:$HK27,csv!$L27:$HD27)),NA(),LOOKUP(PM$1,$S27:$HK27,csv!$L27:$HD27))</f>
        <v>0</v>
      </c>
      <c r="PN27" s="5">
        <f>IF(ISERROR(LOOKUP(PN$1,$S27:$HK27,csv!$L27:$HD27)),NA(),LOOKUP(PN$1,$S27:$HK27,csv!$L27:$HD27))</f>
        <v>0</v>
      </c>
      <c r="PO27" s="5">
        <f>IF(ISERROR(LOOKUP(PO$1,$S27:$HK27,csv!$L27:$HD27)),NA(),LOOKUP(PO$1,$S27:$HK27,csv!$L27:$HD27))</f>
        <v>0</v>
      </c>
      <c r="PP27" s="5">
        <f>IF(ISERROR(LOOKUP(PP$1,$S27:$HK27,csv!$L27:$HD27)),NA(),LOOKUP(PP$1,$S27:$HK27,csv!$L27:$HD27))</f>
        <v>0</v>
      </c>
      <c r="PQ27" s="5">
        <f>IF(ISERROR(LOOKUP(PQ$1,$S27:$HK27,csv!$L27:$HD27)),NA(),LOOKUP(PQ$1,$S27:$HK27,csv!$L27:$HD27))</f>
        <v>0</v>
      </c>
      <c r="PR27" s="5">
        <f>IF(ISERROR(LOOKUP(PR$1,$S27:$HK27,csv!$L27:$HD27)),NA(),LOOKUP(PR$1,$S27:$HK27,csv!$L27:$HD27))</f>
        <v>0</v>
      </c>
      <c r="PS27" s="5">
        <f>IF(ISERROR(LOOKUP(PS$1,$S27:$HK27,csv!$L27:$HD27)),NA(),LOOKUP(PS$1,$S27:$HK27,csv!$L27:$HD27))</f>
        <v>0</v>
      </c>
      <c r="PT27" s="5">
        <f>IF(ISERROR(LOOKUP(PT$1,$S27:$HK27,csv!$L27:$HD27)),NA(),LOOKUP(PT$1,$S27:$HK27,csv!$L27:$HD27))</f>
        <v>0</v>
      </c>
      <c r="PU27" s="5">
        <f>IF(ISERROR(LOOKUP(PU$1,$S27:$HK27,csv!$L27:$HD27)),NA(),LOOKUP(PU$1,$S27:$HK27,csv!$L27:$HD27))</f>
        <v>0</v>
      </c>
      <c r="PV27" s="5">
        <f>IF(ISERROR(LOOKUP(PV$1,$S27:$HK27,csv!$L27:$HD27)),NA(),LOOKUP(PV$1,$S27:$HK27,csv!$L27:$HD27))</f>
        <v>0</v>
      </c>
      <c r="PW27" s="5">
        <f>IF(ISERROR(LOOKUP(PW$1,$S27:$HK27,csv!$L27:$HD27)),NA(),LOOKUP(PW$1,$S27:$HK27,csv!$L27:$HD27))</f>
        <v>0</v>
      </c>
      <c r="PX27" s="5">
        <f>IF(ISERROR(LOOKUP(PX$1,$S27:$HK27,csv!$L27:$HD27)),NA(),LOOKUP(PX$1,$S27:$HK27,csv!$L27:$HD27))</f>
        <v>0</v>
      </c>
      <c r="PY27" s="5">
        <f>IF(ISERROR(LOOKUP(PY$1,$S27:$HK27,csv!$L27:$HD27)),NA(),LOOKUP(PY$1,$S27:$HK27,csv!$L27:$HD27))</f>
        <v>0</v>
      </c>
      <c r="PZ27" s="5">
        <f>IF(ISERROR(LOOKUP(PZ$1,$S27:$HK27,csv!$L27:$HD27)),NA(),LOOKUP(PZ$1,$S27:$HK27,csv!$L27:$HD27))</f>
        <v>0</v>
      </c>
      <c r="QA27" s="5">
        <f>IF(ISERROR(LOOKUP(QA$1,$S27:$HK27,csv!$L27:$HD27)),NA(),LOOKUP(QA$1,$S27:$HK27,csv!$L27:$HD27))</f>
        <v>0</v>
      </c>
      <c r="QB27" s="5">
        <f>IF(ISERROR(LOOKUP(QB$1,$S27:$HK27,csv!$L27:$HD27)),NA(),LOOKUP(QB$1,$S27:$HK27,csv!$L27:$HD27))</f>
        <v>0</v>
      </c>
      <c r="QC27" s="5">
        <f>IF(ISERROR(LOOKUP(QC$1,$S27:$HK27,csv!$L27:$HD27)),NA(),LOOKUP(QC$1,$S27:$HK27,csv!$L27:$HD27))</f>
        <v>0</v>
      </c>
      <c r="QD27" s="5">
        <f>IF(ISERROR(LOOKUP(QD$1,$S27:$HK27,csv!$L27:$HD27)),NA(),LOOKUP(QD$1,$S27:$HK27,csv!$L27:$HD27))</f>
        <v>0</v>
      </c>
      <c r="QE27" s="5">
        <f>IF(ISERROR(LOOKUP(QE$1,$S27:$HK27,csv!$L27:$HD27)),NA(),LOOKUP(QE$1,$S27:$HK27,csv!$L27:$HD27))</f>
        <v>0</v>
      </c>
      <c r="QF27" s="5">
        <f>IF(ISERROR(LOOKUP(QF$1,$S27:$HK27,csv!$L27:$HD27)),NA(),LOOKUP(QF$1,$S27:$HK27,csv!$L27:$HD27))</f>
        <v>0</v>
      </c>
      <c r="QG27" s="5">
        <f>IF(ISERROR(LOOKUP(QG$1,$S27:$HK27,csv!$L27:$HD27)),NA(),LOOKUP(QG$1,$S27:$HK27,csv!$L27:$HD27))</f>
        <v>0</v>
      </c>
      <c r="QH27" s="5">
        <f>IF(ISERROR(LOOKUP(QH$1,$S27:$HK27,csv!$L27:$HD27)),NA(),LOOKUP(QH$1,$S27:$HK27,csv!$L27:$HD27))</f>
        <v>0</v>
      </c>
      <c r="QI27" s="5">
        <f>IF(ISERROR(LOOKUP(QI$1,$S27:$HK27,csv!$L27:$HD27)),NA(),LOOKUP(QI$1,$S27:$HK27,csv!$L27:$HD27))</f>
        <v>0</v>
      </c>
      <c r="QJ27" s="5">
        <f>IF(ISERROR(LOOKUP(QJ$1,$S27:$HK27,csv!$L27:$HD27)),NA(),LOOKUP(QJ$1,$S27:$HK27,csv!$L27:$HD27))</f>
        <v>0</v>
      </c>
      <c r="QK27" s="5">
        <f>IF(ISERROR(LOOKUP(QK$1,$S27:$HK27,csv!$L27:$HD27)),NA(),LOOKUP(QK$1,$S27:$HK27,csv!$L27:$HD27))</f>
        <v>0</v>
      </c>
      <c r="QL27" s="5">
        <f>IF(ISERROR(LOOKUP(QL$1,$S27:$HK27,csv!$L27:$HD27)),NA(),LOOKUP(QL$1,$S27:$HK27,csv!$L27:$HD27))</f>
        <v>0</v>
      </c>
      <c r="QM27" s="5">
        <f>IF(ISERROR(LOOKUP(QM$1,$S27:$HK27,csv!$L27:$HD27)),NA(),LOOKUP(QM$1,$S27:$HK27,csv!$L27:$HD27))</f>
        <v>0</v>
      </c>
      <c r="QN27" s="5">
        <f>IF(ISERROR(LOOKUP(QN$1,$S27:$HK27,csv!$L27:$HD27)),NA(),LOOKUP(QN$1,$S27:$HK27,csv!$L27:$HD27))</f>
        <v>0</v>
      </c>
      <c r="QO27" s="5">
        <f>IF(ISERROR(LOOKUP(QO$1,$S27:$HK27,csv!$L27:$HD27)),NA(),LOOKUP(QO$1,$S27:$HK27,csv!$L27:$HD27))</f>
        <v>0</v>
      </c>
      <c r="QP27" s="5">
        <f>IF(ISERROR(LOOKUP(QP$1,$S27:$HK27,csv!$L27:$HD27)),NA(),LOOKUP(QP$1,$S27:$HK27,csv!$L27:$HD27))</f>
        <v>0</v>
      </c>
      <c r="QQ27" s="5">
        <f>IF(ISERROR(LOOKUP(QQ$1,$S27:$HK27,csv!$L27:$HD27)),NA(),LOOKUP(QQ$1,$S27:$HK27,csv!$L27:$HD27))</f>
        <v>0</v>
      </c>
      <c r="QR27" s="5">
        <f>IF(ISERROR(LOOKUP(QR$1,$S27:$HK27,csv!$L27:$HD27)),NA(),LOOKUP(QR$1,$S27:$HK27,csv!$L27:$HD27))</f>
        <v>0</v>
      </c>
      <c r="QS27" s="5">
        <f>IF(ISERROR(LOOKUP(QS$1,$S27:$HK27,csv!$L27:$HD27)),NA(),LOOKUP(QS$1,$S27:$HK27,csv!$L27:$HD27))</f>
        <v>0</v>
      </c>
      <c r="QT27" s="5">
        <f>IF(ISERROR(LOOKUP(QT$1,$S27:$HK27,csv!$L27:$HD27)),NA(),LOOKUP(QT$1,$S27:$HK27,csv!$L27:$HD27))</f>
        <v>0</v>
      </c>
      <c r="QU27" s="5">
        <f>IF(ISERROR(LOOKUP(QU$1,$S27:$HK27,csv!$L27:$HD27)),NA(),LOOKUP(QU$1,$S27:$HK27,csv!$L27:$HD27))</f>
        <v>0</v>
      </c>
      <c r="QV27" s="5">
        <f>IF(ISERROR(LOOKUP(QV$1,$S27:$HK27,csv!$L27:$HD27)),NA(),LOOKUP(QV$1,$S27:$HK27,csv!$L27:$HD27))</f>
        <v>0</v>
      </c>
      <c r="QW27" s="5">
        <f>IF(ISERROR(LOOKUP(QW$1,$S27:$HK27,csv!$L27:$HD27)),NA(),LOOKUP(QW$1,$S27:$HK27,csv!$L27:$HD27))</f>
        <v>0</v>
      </c>
      <c r="QX27" s="5">
        <f>IF(ISERROR(LOOKUP(QX$1,$S27:$HK27,csv!$L27:$HD27)),NA(),LOOKUP(QX$1,$S27:$HK27,csv!$L27:$HD27))</f>
        <v>0</v>
      </c>
      <c r="QY27" s="5">
        <f>IF(ISERROR(LOOKUP(QY$1,$S27:$HK27,csv!$L27:$HD27)),NA(),LOOKUP(QY$1,$S27:$HK27,csv!$L27:$HD27))</f>
        <v>0</v>
      </c>
      <c r="QZ27" s="5">
        <f>IF(ISERROR(LOOKUP(QZ$1,$S27:$HK27,csv!$L27:$HD27)),NA(),LOOKUP(QZ$1,$S27:$HK27,csv!$L27:$HD27))</f>
        <v>0</v>
      </c>
      <c r="RA27" s="5">
        <f>IF(ISERROR(LOOKUP(RA$1,$S27:$HK27,csv!$L27:$HD27)),NA(),LOOKUP(RA$1,$S27:$HK27,csv!$L27:$HD27))</f>
        <v>0</v>
      </c>
      <c r="RB27" s="5">
        <f>IF(ISERROR(LOOKUP(RB$1,$S27:$HK27,csv!$L27:$HD27)),NA(),LOOKUP(RB$1,$S27:$HK27,csv!$L27:$HD27))</f>
        <v>0</v>
      </c>
      <c r="RC27" s="5">
        <f>IF(ISERROR(LOOKUP(RC$1,$S27:$HK27,csv!$L27:$HD27)),NA(),LOOKUP(RC$1,$S27:$HK27,csv!$L27:$HD27))</f>
        <v>0</v>
      </c>
      <c r="RD27" s="5">
        <f>IF(ISERROR(LOOKUP(RD$1,$S27:$HK27,csv!$L27:$HD27)),NA(),LOOKUP(RD$1,$S27:$HK27,csv!$L27:$HD27))</f>
        <v>0</v>
      </c>
      <c r="RE27" s="5">
        <f>IF(ISERROR(LOOKUP(RE$1,$S27:$HK27,csv!$L27:$HD27)),NA(),LOOKUP(RE$1,$S27:$HK27,csv!$L27:$HD27))</f>
        <v>0</v>
      </c>
      <c r="RF27" s="5">
        <f>IF(ISERROR(LOOKUP(RF$1,$S27:$HK27,csv!$L27:$HD27)),NA(),LOOKUP(RF$1,$S27:$HK27,csv!$L27:$HD27))</f>
        <v>0</v>
      </c>
      <c r="RG27" s="5">
        <f>IF(ISERROR(LOOKUP(RG$1,$S27:$HK27,csv!$L27:$HD27)),NA(),LOOKUP(RG$1,$S27:$HK27,csv!$L27:$HD27))</f>
        <v>0</v>
      </c>
      <c r="RH27" s="5">
        <f>IF(ISERROR(LOOKUP(RH$1,$S27:$HK27,csv!$L27:$HD27)),NA(),LOOKUP(RH$1,$S27:$HK27,csv!$L27:$HD27))</f>
        <v>0</v>
      </c>
      <c r="RI27" s="5">
        <f>IF(ISERROR(LOOKUP(RI$1,$S27:$HK27,csv!$L27:$HD27)),NA(),LOOKUP(RI$1,$S27:$HK27,csv!$L27:$HD27))</f>
        <v>0</v>
      </c>
      <c r="RJ27" s="5">
        <f>IF(ISERROR(LOOKUP(RJ$1,$S27:$HK27,csv!$L27:$HD27)),NA(),LOOKUP(RJ$1,$S27:$HK27,csv!$L27:$HD27))</f>
        <v>0</v>
      </c>
      <c r="RK27" s="5">
        <f>IF(ISERROR(LOOKUP(RK$1,$S27:$HK27,csv!$L27:$HD27)),NA(),LOOKUP(RK$1,$S27:$HK27,csv!$L27:$HD27))</f>
        <v>0</v>
      </c>
      <c r="RL27" s="5">
        <f>IF(ISERROR(LOOKUP(RL$1,$S27:$HK27,csv!$L27:$HD27)),NA(),LOOKUP(RL$1,$S27:$HK27,csv!$L27:$HD27))</f>
        <v>0</v>
      </c>
      <c r="RM27" s="5">
        <f>IF(ISERROR(LOOKUP(RM$1,$S27:$HK27,csv!$L27:$HD27)),NA(),LOOKUP(RM$1,$S27:$HK27,csv!$L27:$HD27))</f>
        <v>0</v>
      </c>
      <c r="RN27" s="5">
        <f>IF(ISERROR(LOOKUP(RN$1,$S27:$HK27,csv!$L27:$HD27)),NA(),LOOKUP(RN$1,$S27:$HK27,csv!$L27:$HD27))</f>
        <v>0</v>
      </c>
      <c r="RO27" s="5">
        <f>IF(ISERROR(LOOKUP(RO$1,$S27:$HK27,csv!$L27:$HD27)),NA(),LOOKUP(RO$1,$S27:$HK27,csv!$L27:$HD27))</f>
        <v>0</v>
      </c>
      <c r="RP27" s="5">
        <f>IF(ISERROR(LOOKUP(RP$1,$S27:$HK27,csv!$L27:$HD27)),NA(),LOOKUP(RP$1,$S27:$HK27,csv!$L27:$HD27))</f>
        <v>0</v>
      </c>
      <c r="RQ27" s="5">
        <f>IF(ISERROR(LOOKUP(RQ$1,$S27:$HK27,csv!$L27:$HD27)),NA(),LOOKUP(RQ$1,$S27:$HK27,csv!$L27:$HD27))</f>
        <v>0</v>
      </c>
      <c r="RR27" s="5">
        <f>IF(ISERROR(LOOKUP(RR$1,$S27:$HK27,csv!$L27:$HD27)),NA(),LOOKUP(RR$1,$S27:$HK27,csv!$L27:$HD27))</f>
        <v>0</v>
      </c>
      <c r="RS27" s="5">
        <f>IF(ISERROR(LOOKUP(RS$1,$S27:$HK27,csv!$L27:$HD27)),NA(),LOOKUP(RS$1,$S27:$HK27,csv!$L27:$HD27))</f>
        <v>0</v>
      </c>
      <c r="RT27" s="5">
        <f>IF(ISERROR(LOOKUP(RT$1,$S27:$HK27,csv!$L27:$HD27)),NA(),LOOKUP(RT$1,$S27:$HK27,csv!$L27:$HD27))</f>
        <v>0</v>
      </c>
      <c r="RU27" s="5">
        <f>IF(ISERROR(LOOKUP(RU$1,$S27:$HK27,csv!$L27:$HD27)),NA(),LOOKUP(RU$1,$S27:$HK27,csv!$L27:$HD27))</f>
        <v>0</v>
      </c>
      <c r="RV27" s="5">
        <f>IF(ISERROR(LOOKUP(RV$1,$S27:$HK27,csv!$L27:$HD27)),NA(),LOOKUP(RV$1,$S27:$HK27,csv!$L27:$HD27))</f>
        <v>0</v>
      </c>
      <c r="RW27" s="5">
        <f>IF(ISERROR(LOOKUP(RW$1,$S27:$HK27,csv!$L27:$HD27)),NA(),LOOKUP(RW$1,$S27:$HK27,csv!$L27:$HD27))</f>
        <v>0</v>
      </c>
      <c r="RX27" s="5">
        <f>IF(ISERROR(LOOKUP(RX$1,$S27:$HK27,csv!$L27:$HD27)),NA(),LOOKUP(RX$1,$S27:$HK27,csv!$L27:$HD27))</f>
        <v>0</v>
      </c>
      <c r="RY27" s="5">
        <f>IF(ISERROR(LOOKUP(RY$1,$S27:$HK27,csv!$L27:$HD27)),NA(),LOOKUP(RY$1,$S27:$HK27,csv!$L27:$HD27))</f>
        <v>0</v>
      </c>
      <c r="RZ27" s="5">
        <f>IF(ISERROR(LOOKUP(RZ$1,$S27:$HK27,csv!$L27:$HD27)),NA(),LOOKUP(RZ$1,$S27:$HK27,csv!$L27:$HD27))</f>
        <v>0</v>
      </c>
      <c r="SA27" s="5">
        <f>IF(ISERROR(LOOKUP(SA$1,$S27:$HK27,csv!$L27:$HD27)),NA(),LOOKUP(SA$1,$S27:$HK27,csv!$L27:$HD27))</f>
        <v>0</v>
      </c>
      <c r="SB27" s="5">
        <f>IF(ISERROR(LOOKUP(SB$1,$S27:$HK27,csv!$L27:$HD27)),NA(),LOOKUP(SB$1,$S27:$HK27,csv!$L27:$HD27))</f>
        <v>0</v>
      </c>
      <c r="SC27" s="5">
        <f>IF(ISERROR(LOOKUP(SC$1,$S27:$HK27,csv!$L27:$HD27)),NA(),LOOKUP(SC$1,$S27:$HK27,csv!$L27:$HD27))</f>
        <v>0</v>
      </c>
      <c r="SD27" s="5">
        <f>IF(ISERROR(LOOKUP(SD$1,$S27:$HK27,csv!$L27:$HD27)),NA(),LOOKUP(SD$1,$S27:$HK27,csv!$L27:$HD27))</f>
        <v>0</v>
      </c>
      <c r="SE27" s="5">
        <f>IF(ISERROR(LOOKUP(SE$1,$S27:$HK27,csv!$L27:$HD27)),NA(),LOOKUP(SE$1,$S27:$HK27,csv!$L27:$HD27))</f>
        <v>0</v>
      </c>
      <c r="SF27" s="5">
        <f>IF(ISERROR(LOOKUP(SF$1,$S27:$HK27,csv!$L27:$HD27)),NA(),LOOKUP(SF$1,$S27:$HK27,csv!$L27:$HD27))</f>
        <v>0</v>
      </c>
      <c r="SG27" s="5">
        <f>IF(ISERROR(LOOKUP(SG$1,$S27:$HK27,csv!$L27:$HD27)),NA(),LOOKUP(SG$1,$S27:$HK27,csv!$L27:$HD27))</f>
        <v>0</v>
      </c>
      <c r="SH27" s="5">
        <f>IF(ISERROR(LOOKUP(SH$1,$S27:$HK27,csv!$L27:$HD27)),NA(),LOOKUP(SH$1,$S27:$HK27,csv!$L27:$HD27))</f>
        <v>0</v>
      </c>
      <c r="SI27" s="5">
        <f>IF(ISERROR(LOOKUP(SI$1,$S27:$HK27,csv!$L27:$HD27)),NA(),LOOKUP(SI$1,$S27:$HK27,csv!$L27:$HD27))</f>
        <v>0</v>
      </c>
      <c r="SJ27" s="5">
        <f>IF(ISERROR(LOOKUP(SJ$1,$S27:$HK27,csv!$L27:$HD27)),NA(),LOOKUP(SJ$1,$S27:$HK27,csv!$L27:$HD27))</f>
        <v>0</v>
      </c>
      <c r="SK27" s="5">
        <f>IF(ISERROR(LOOKUP(SK$1,$S27:$HK27,csv!$L27:$HD27)),NA(),LOOKUP(SK$1,$S27:$HK27,csv!$L27:$HD27))</f>
        <v>0</v>
      </c>
      <c r="SL27" s="5">
        <f>IF(ISERROR(LOOKUP(SL$1,$S27:$HK27,csv!$L27:$HD27)),NA(),LOOKUP(SL$1,$S27:$HK27,csv!$L27:$HD27))</f>
        <v>0</v>
      </c>
      <c r="SM27" s="5">
        <f>IF(ISERROR(LOOKUP(SM$1,$S27:$HK27,csv!$L27:$HD27)),NA(),LOOKUP(SM$1,$S27:$HK27,csv!$L27:$HD27))</f>
        <v>0</v>
      </c>
      <c r="SN27" s="5">
        <f>IF(ISERROR(LOOKUP(SN$1,$S27:$HK27,csv!$L27:$HD27)),NA(),LOOKUP(SN$1,$S27:$HK27,csv!$L27:$HD27))</f>
        <v>0</v>
      </c>
      <c r="SO27" s="5">
        <f>IF(ISERROR(LOOKUP(SO$1,$S27:$HK27,csv!$L27:$HD27)),NA(),LOOKUP(SO$1,$S27:$HK27,csv!$L27:$HD27))</f>
        <v>0</v>
      </c>
      <c r="SP27" s="5">
        <f>IF(ISERROR(LOOKUP(SP$1,$S27:$HK27,csv!$L27:$HD27)),NA(),LOOKUP(SP$1,$S27:$HK27,csv!$L27:$HD27))</f>
        <v>0</v>
      </c>
      <c r="SQ27" s="5">
        <f>IF(ISERROR(LOOKUP(SQ$1,$S27:$HK27,csv!$L27:$HD27)),NA(),LOOKUP(SQ$1,$S27:$HK27,csv!$L27:$HD27))</f>
        <v>0</v>
      </c>
      <c r="SR27" s="5">
        <f>IF(ISERROR(LOOKUP(SR$1,$S27:$HK27,csv!$L27:$HD27)),NA(),LOOKUP(SR$1,$S27:$HK27,csv!$L27:$HD27))</f>
        <v>0</v>
      </c>
      <c r="SS27" s="5">
        <f>IF(ISERROR(LOOKUP(SS$1,$S27:$HK27,csv!$L27:$HD27)),NA(),LOOKUP(SS$1,$S27:$HK27,csv!$L27:$HD27))</f>
        <v>0</v>
      </c>
      <c r="ST27" s="5">
        <f>IF(ISERROR(LOOKUP(ST$1,$S27:$HK27,csv!$L27:$HD27)),NA(),LOOKUP(ST$1,$S27:$HK27,csv!$L27:$HD27))</f>
        <v>0</v>
      </c>
      <c r="SU27" s="5">
        <f>IF(ISERROR(LOOKUP(SU$1,$S27:$HK27,csv!$L27:$HD27)),NA(),LOOKUP(SU$1,$S27:$HK27,csv!$L27:$HD27))</f>
        <v>0</v>
      </c>
      <c r="SV27" s="5">
        <f>IF(ISERROR(LOOKUP(SV$1,$S27:$HK27,csv!$L27:$HD27)),NA(),LOOKUP(SV$1,$S27:$HK27,csv!$L27:$HD27))</f>
        <v>0</v>
      </c>
      <c r="SW27" s="5">
        <f>IF(ISERROR(LOOKUP(SW$1,$S27:$HK27,csv!$L27:$HD27)),NA(),LOOKUP(SW$1,$S27:$HK27,csv!$L27:$HD27))</f>
        <v>0</v>
      </c>
      <c r="SX27" s="5">
        <f>IF(ISERROR(LOOKUP(SX$1,$S27:$HK27,csv!$L27:$HD27)),NA(),LOOKUP(SX$1,$S27:$HK27,csv!$L27:$HD27))</f>
        <v>0</v>
      </c>
      <c r="SY27" s="5">
        <f>IF(ISERROR(LOOKUP(SY$1,$S27:$HK27,csv!$L27:$HD27)),NA(),LOOKUP(SY$1,$S27:$HK27,csv!$L27:$HD27))</f>
        <v>0</v>
      </c>
      <c r="SZ27" s="5">
        <f>IF(ISERROR(LOOKUP(SZ$1,$S27:$HK27,csv!$L27:$HD27)),NA(),LOOKUP(SZ$1,$S27:$HK27,csv!$L27:$HD27))</f>
        <v>0</v>
      </c>
      <c r="TA27" s="5">
        <f>IF(ISERROR(LOOKUP(TA$1,$S27:$HK27,csv!$L27:$HD27)),NA(),LOOKUP(TA$1,$S27:$HK27,csv!$L27:$HD27))</f>
        <v>0</v>
      </c>
      <c r="TB27" s="5">
        <f>IF(ISERROR(LOOKUP(TB$1,$S27:$HK27,csv!$L27:$HD27)),NA(),LOOKUP(TB$1,$S27:$HK27,csv!$L27:$HD27))</f>
        <v>0</v>
      </c>
      <c r="TD27">
        <f>csv!HG27/10</f>
        <v>0</v>
      </c>
    </row>
    <row r="28" spans="3:524" x14ac:dyDescent="0.15">
      <c r="R28" t="s">
        <v>180</v>
      </c>
      <c r="S28" s="4">
        <f>ROUND((csv!$HG28/10+calc!S$1),1)</f>
        <v>-10</v>
      </c>
      <c r="T28" s="4">
        <f>ROUND((csv!$HG28/10+calc!T$1),1)</f>
        <v>-9.9</v>
      </c>
      <c r="U28" s="4">
        <f>ROUND((csv!$HG28/10+calc!U$1),1)</f>
        <v>-9.8000000000000007</v>
      </c>
      <c r="V28" s="4">
        <f>ROUND((csv!$HG28/10+calc!V$1),1)</f>
        <v>-9.6999999999999993</v>
      </c>
      <c r="W28" s="4">
        <f>ROUND((csv!$HG28/10+calc!W$1),1)</f>
        <v>-9.6</v>
      </c>
      <c r="X28" s="4">
        <f>ROUND((csv!$HG28/10+calc!X$1),1)</f>
        <v>-9.5</v>
      </c>
      <c r="Y28" s="4">
        <f>ROUND((csv!$HG28/10+calc!Y$1),1)</f>
        <v>-9.4</v>
      </c>
      <c r="Z28" s="4">
        <f>ROUND((csv!$HG28/10+calc!Z$1),1)</f>
        <v>-9.3000000000000007</v>
      </c>
      <c r="AA28" s="4">
        <f>ROUND((csv!$HG28/10+calc!AA$1),1)</f>
        <v>-9.1999999999999993</v>
      </c>
      <c r="AB28" s="4">
        <f>ROUND((csv!$HG28/10+calc!AB$1),1)</f>
        <v>-9.1</v>
      </c>
      <c r="AC28" s="4">
        <f>ROUND((csv!$HG28/10+calc!AC$1),1)</f>
        <v>-9</v>
      </c>
      <c r="AD28" s="4">
        <f>ROUND((csv!$HG28/10+calc!AD$1),1)</f>
        <v>-8.9</v>
      </c>
      <c r="AE28" s="4">
        <f>ROUND((csv!$HG28/10+calc!AE$1),1)</f>
        <v>-8.8000000000000007</v>
      </c>
      <c r="AF28" s="4">
        <f>ROUND((csv!$HG28/10+calc!AF$1),1)</f>
        <v>-8.6999999999999993</v>
      </c>
      <c r="AG28" s="4">
        <f>ROUND((csv!$HG28/10+calc!AG$1),1)</f>
        <v>-8.6</v>
      </c>
      <c r="AH28" s="4">
        <f>ROUND((csv!$HG28/10+calc!AH$1),1)</f>
        <v>-8.5</v>
      </c>
      <c r="AI28" s="4">
        <f>ROUND((csv!$HG28/10+calc!AI$1),1)</f>
        <v>-8.4</v>
      </c>
      <c r="AJ28" s="4">
        <f>ROUND((csv!$HG28/10+calc!AJ$1),1)</f>
        <v>-8.3000000000000007</v>
      </c>
      <c r="AK28" s="4">
        <f>ROUND((csv!$HG28/10+calc!AK$1),1)</f>
        <v>-8.1999999999999993</v>
      </c>
      <c r="AL28" s="4">
        <f>ROUND((csv!$HG28/10+calc!AL$1),1)</f>
        <v>-8.1</v>
      </c>
      <c r="AM28" s="4">
        <f>ROUND((csv!$HG28/10+calc!AM$1),1)</f>
        <v>-8</v>
      </c>
      <c r="AN28" s="4">
        <f>ROUND((csv!$HG28/10+calc!AN$1),1)</f>
        <v>-7.9</v>
      </c>
      <c r="AO28" s="4">
        <f>ROUND((csv!$HG28/10+calc!AO$1),1)</f>
        <v>-7.8</v>
      </c>
      <c r="AP28" s="4">
        <f>ROUND((csv!$HG28/10+calc!AP$1),1)</f>
        <v>-7.7</v>
      </c>
      <c r="AQ28" s="4">
        <f>ROUND((csv!$HG28/10+calc!AQ$1),1)</f>
        <v>-7.6</v>
      </c>
      <c r="AR28" s="4">
        <f>ROUND((csv!$HG28/10+calc!AR$1),1)</f>
        <v>-7.5</v>
      </c>
      <c r="AS28" s="4">
        <f>ROUND((csv!$HG28/10+calc!AS$1),1)</f>
        <v>-7.4</v>
      </c>
      <c r="AT28" s="4">
        <f>ROUND((csv!$HG28/10+calc!AT$1),1)</f>
        <v>-7.3</v>
      </c>
      <c r="AU28" s="4">
        <f>ROUND((csv!$HG28/10+calc!AU$1),1)</f>
        <v>-7.2</v>
      </c>
      <c r="AV28" s="4">
        <f>ROUND((csv!$HG28/10+calc!AV$1),1)</f>
        <v>-7.1</v>
      </c>
      <c r="AW28" s="4">
        <f>ROUND((csv!$HG28/10+calc!AW$1),1)</f>
        <v>-7</v>
      </c>
      <c r="AX28" s="4">
        <f>ROUND((csv!$HG28/10+calc!AX$1),1)</f>
        <v>-6.9</v>
      </c>
      <c r="AY28" s="4">
        <f>ROUND((csv!$HG28/10+calc!AY$1),1)</f>
        <v>-6.8</v>
      </c>
      <c r="AZ28" s="4">
        <f>ROUND((csv!$HG28/10+calc!AZ$1),1)</f>
        <v>-6.7</v>
      </c>
      <c r="BA28" s="4">
        <f>ROUND((csv!$HG28/10+calc!BA$1),1)</f>
        <v>-6.6</v>
      </c>
      <c r="BB28" s="4">
        <f>ROUND((csv!$HG28/10+calc!BB$1),1)</f>
        <v>-6.5</v>
      </c>
      <c r="BC28" s="4">
        <f>ROUND((csv!$HG28/10+calc!BC$1),1)</f>
        <v>-6.4</v>
      </c>
      <c r="BD28" s="4">
        <f>ROUND((csv!$HG28/10+calc!BD$1),1)</f>
        <v>-6.3</v>
      </c>
      <c r="BE28" s="4">
        <f>ROUND((csv!$HG28/10+calc!BE$1),1)</f>
        <v>-6.2</v>
      </c>
      <c r="BF28" s="4">
        <f>ROUND((csv!$HG28/10+calc!BF$1),1)</f>
        <v>-6.1</v>
      </c>
      <c r="BG28" s="4">
        <f>ROUND((csv!$HG28/10+calc!BG$1),1)</f>
        <v>-6</v>
      </c>
      <c r="BH28" s="4">
        <f>ROUND((csv!$HG28/10+calc!BH$1),1)</f>
        <v>-5.9</v>
      </c>
      <c r="BI28" s="4">
        <f>ROUND((csv!$HG28/10+calc!BI$1),1)</f>
        <v>-5.8</v>
      </c>
      <c r="BJ28" s="4">
        <f>ROUND((csv!$HG28/10+calc!BJ$1),1)</f>
        <v>-5.7</v>
      </c>
      <c r="BK28" s="4">
        <f>ROUND((csv!$HG28/10+calc!BK$1),1)</f>
        <v>-5.6</v>
      </c>
      <c r="BL28" s="4">
        <f>ROUND((csv!$HG28/10+calc!BL$1),1)</f>
        <v>-5.5</v>
      </c>
      <c r="BM28" s="4">
        <f>ROUND((csv!$HG28/10+calc!BM$1),1)</f>
        <v>-5.4</v>
      </c>
      <c r="BN28" s="4">
        <f>ROUND((csv!$HG28/10+calc!BN$1),1)</f>
        <v>-5.3</v>
      </c>
      <c r="BO28" s="4">
        <f>ROUND((csv!$HG28/10+calc!BO$1),1)</f>
        <v>-5.2</v>
      </c>
      <c r="BP28" s="4">
        <f>ROUND((csv!$HG28/10+calc!BP$1),1)</f>
        <v>-5.0999999999999996</v>
      </c>
      <c r="BQ28" s="4">
        <f>ROUND((csv!$HG28/10+calc!BQ$1),1)</f>
        <v>-5</v>
      </c>
      <c r="BR28" s="4">
        <f>ROUND((csv!$HG28/10+calc!BR$1),1)</f>
        <v>-4.9000000000000004</v>
      </c>
      <c r="BS28" s="4">
        <f>ROUND((csv!$HG28/10+calc!BS$1),1)</f>
        <v>-4.8</v>
      </c>
      <c r="BT28" s="4">
        <f>ROUND((csv!$HG28/10+calc!BT$1),1)</f>
        <v>-4.7</v>
      </c>
      <c r="BU28" s="4">
        <f>ROUND((csv!$HG28/10+calc!BU$1),1)</f>
        <v>-4.5999999999999996</v>
      </c>
      <c r="BV28" s="4">
        <f>ROUND((csv!$HG28/10+calc!BV$1),1)</f>
        <v>-4.5</v>
      </c>
      <c r="BW28" s="4">
        <f>ROUND((csv!$HG28/10+calc!BW$1),1)</f>
        <v>-4.4000000000000004</v>
      </c>
      <c r="BX28" s="4">
        <f>ROUND((csv!$HG28/10+calc!BX$1),1)</f>
        <v>-4.3</v>
      </c>
      <c r="BY28" s="4">
        <f>ROUND((csv!$HG28/10+calc!BY$1),1)</f>
        <v>-4.2</v>
      </c>
      <c r="BZ28" s="4">
        <f>ROUND((csv!$HG28/10+calc!BZ$1),1)</f>
        <v>-4.0999999999999996</v>
      </c>
      <c r="CA28" s="4">
        <f>ROUND((csv!$HG28/10+calc!CA$1),1)</f>
        <v>-4</v>
      </c>
      <c r="CB28" s="4">
        <f>ROUND((csv!$HG28/10+calc!CB$1),1)</f>
        <v>-3.9</v>
      </c>
      <c r="CC28" s="4">
        <f>ROUND((csv!$HG28/10+calc!CC$1),1)</f>
        <v>-3.8</v>
      </c>
      <c r="CD28" s="4">
        <f>ROUND((csv!$HG28/10+calc!CD$1),1)</f>
        <v>-3.7</v>
      </c>
      <c r="CE28" s="4">
        <f>ROUND((csv!$HG28/10+calc!CE$1),1)</f>
        <v>-3.6</v>
      </c>
      <c r="CF28" s="4">
        <f>ROUND((csv!$HG28/10+calc!CF$1),1)</f>
        <v>-3.5</v>
      </c>
      <c r="CG28" s="4">
        <f>ROUND((csv!$HG28/10+calc!CG$1),1)</f>
        <v>-3.4</v>
      </c>
      <c r="CH28" s="4">
        <f>ROUND((csv!$HG28/10+calc!CH$1),1)</f>
        <v>-3.3</v>
      </c>
      <c r="CI28" s="4">
        <f>ROUND((csv!$HG28/10+calc!CI$1),1)</f>
        <v>-3.2</v>
      </c>
      <c r="CJ28" s="4">
        <f>ROUND((csv!$HG28/10+calc!CJ$1),1)</f>
        <v>-3.1</v>
      </c>
      <c r="CK28" s="4">
        <f>ROUND((csv!$HG28/10+calc!CK$1),1)</f>
        <v>-3</v>
      </c>
      <c r="CL28" s="4">
        <f>ROUND((csv!$HG28/10+calc!CL$1),1)</f>
        <v>-2.9</v>
      </c>
      <c r="CM28" s="4">
        <f>ROUND((csv!$HG28/10+calc!CM$1),1)</f>
        <v>-2.8</v>
      </c>
      <c r="CN28" s="4">
        <f>ROUND((csv!$HG28/10+calc!CN$1),1)</f>
        <v>-2.7</v>
      </c>
      <c r="CO28" s="4">
        <f>ROUND((csv!$HG28/10+calc!CO$1),1)</f>
        <v>-2.6</v>
      </c>
      <c r="CP28" s="4">
        <f>ROUND((csv!$HG28/10+calc!CP$1),1)</f>
        <v>-2.5</v>
      </c>
      <c r="CQ28" s="4">
        <f>ROUND((csv!$HG28/10+calc!CQ$1),1)</f>
        <v>-2.4</v>
      </c>
      <c r="CR28" s="4">
        <f>ROUND((csv!$HG28/10+calc!CR$1),1)</f>
        <v>-2.2999999999999998</v>
      </c>
      <c r="CS28" s="4">
        <f>ROUND((csv!$HG28/10+calc!CS$1),1)</f>
        <v>-2.2000000000000002</v>
      </c>
      <c r="CT28" s="4">
        <f>ROUND((csv!$HG28/10+calc!CT$1),1)</f>
        <v>-2.1</v>
      </c>
      <c r="CU28" s="4">
        <f>ROUND((csv!$HG28/10+calc!CU$1),1)</f>
        <v>-2</v>
      </c>
      <c r="CV28" s="4">
        <f>ROUND((csv!$HG28/10+calc!CV$1),1)</f>
        <v>-1.9</v>
      </c>
      <c r="CW28" s="4">
        <f>ROUND((csv!$HG28/10+calc!CW$1),1)</f>
        <v>-1.8</v>
      </c>
      <c r="CX28" s="4">
        <f>ROUND((csv!$HG28/10+calc!CX$1),1)</f>
        <v>-1.7</v>
      </c>
      <c r="CY28" s="4">
        <f>ROUND((csv!$HG28/10+calc!CY$1),1)</f>
        <v>-1.6</v>
      </c>
      <c r="CZ28" s="4">
        <f>ROUND((csv!$HG28/10+calc!CZ$1),1)</f>
        <v>-1.5</v>
      </c>
      <c r="DA28" s="4">
        <f>ROUND((csv!$HG28/10+calc!DA$1),1)</f>
        <v>-1.4</v>
      </c>
      <c r="DB28" s="4">
        <f>ROUND((csv!$HG28/10+calc!DB$1),1)</f>
        <v>-1.3</v>
      </c>
      <c r="DC28" s="4">
        <f>ROUND((csv!$HG28/10+calc!DC$1),1)</f>
        <v>-1.2</v>
      </c>
      <c r="DD28" s="4">
        <f>ROUND((csv!$HG28/10+calc!DD$1),1)</f>
        <v>-1.1000000000000001</v>
      </c>
      <c r="DE28" s="4">
        <f>ROUND((csv!$HG28/10+calc!DE$1),1)</f>
        <v>-1</v>
      </c>
      <c r="DF28" s="4">
        <f>ROUND((csv!$HG28/10+calc!DF$1),1)</f>
        <v>-0.9</v>
      </c>
      <c r="DG28" s="4">
        <f>ROUND((csv!$HG28/10+calc!DG$1),1)</f>
        <v>-0.8</v>
      </c>
      <c r="DH28" s="4">
        <f>ROUND((csv!$HG28/10+calc!DH$1),1)</f>
        <v>-0.7</v>
      </c>
      <c r="DI28" s="4">
        <f>ROUND((csv!$HG28/10+calc!DI$1),1)</f>
        <v>-0.6</v>
      </c>
      <c r="DJ28" s="4">
        <f>ROUND((csv!$HG28/10+calc!DJ$1),1)</f>
        <v>-0.5</v>
      </c>
      <c r="DK28" s="4">
        <f>ROUND((csv!$HG28/10+calc!DK$1),1)</f>
        <v>-0.4</v>
      </c>
      <c r="DL28" s="4">
        <f>ROUND((csv!$HG28/10+calc!DL$1),1)</f>
        <v>-0.3</v>
      </c>
      <c r="DM28" s="4">
        <f>ROUND((csv!$HG28/10+calc!DM$1),1)</f>
        <v>-0.2</v>
      </c>
      <c r="DN28" s="4">
        <f>ROUND((csv!$HG28/10+calc!DN$1),1)</f>
        <v>-0.1</v>
      </c>
      <c r="DO28" s="4">
        <f>ROUND((csv!$HG28/10+calc!DO$1),1)</f>
        <v>0</v>
      </c>
      <c r="DP28" s="4">
        <f>ROUND((csv!$HG28/10+calc!DP$1),1)</f>
        <v>0.1</v>
      </c>
      <c r="DQ28" s="4">
        <f>ROUND((csv!$HG28/10+calc!DQ$1),1)</f>
        <v>0.2</v>
      </c>
      <c r="DR28" s="4">
        <f>ROUND((csv!$HG28/10+calc!DR$1),1)</f>
        <v>0.3</v>
      </c>
      <c r="DS28" s="4">
        <f>ROUND((csv!$HG28/10+calc!DS$1),1)</f>
        <v>0.4</v>
      </c>
      <c r="DT28" s="4">
        <f>ROUND((csv!$HG28/10+calc!DT$1),1)</f>
        <v>0.5</v>
      </c>
      <c r="DU28" s="4">
        <f>ROUND((csv!$HG28/10+calc!DU$1),1)</f>
        <v>0.6</v>
      </c>
      <c r="DV28" s="4">
        <f>ROUND((csv!$HG28/10+calc!DV$1),1)</f>
        <v>0.7</v>
      </c>
      <c r="DW28" s="4">
        <f>ROUND((csv!$HG28/10+calc!DW$1),1)</f>
        <v>0.8</v>
      </c>
      <c r="DX28" s="4">
        <f>ROUND((csv!$HG28/10+calc!DX$1),1)</f>
        <v>0.9</v>
      </c>
      <c r="DY28" s="4">
        <f>ROUND((csv!$HG28/10+calc!DY$1),1)</f>
        <v>1</v>
      </c>
      <c r="DZ28" s="4">
        <f>ROUND((csv!$HG28/10+calc!DZ$1),1)</f>
        <v>1.1000000000000001</v>
      </c>
      <c r="EA28" s="4">
        <f>ROUND((csv!$HG28/10+calc!EA$1),1)</f>
        <v>1.2</v>
      </c>
      <c r="EB28" s="4">
        <f>ROUND((csv!$HG28/10+calc!EB$1),1)</f>
        <v>1.3</v>
      </c>
      <c r="EC28" s="4">
        <f>ROUND((csv!$HG28/10+calc!EC$1),1)</f>
        <v>1.4</v>
      </c>
      <c r="ED28" s="4">
        <f>ROUND((csv!$HG28/10+calc!ED$1),1)</f>
        <v>1.5</v>
      </c>
      <c r="EE28" s="4">
        <f>ROUND((csv!$HG28/10+calc!EE$1),1)</f>
        <v>1.6</v>
      </c>
      <c r="EF28" s="4">
        <f>ROUND((csv!$HG28/10+calc!EF$1),1)</f>
        <v>1.7</v>
      </c>
      <c r="EG28" s="4">
        <f>ROUND((csv!$HG28/10+calc!EG$1),1)</f>
        <v>1.8</v>
      </c>
      <c r="EH28" s="4">
        <f>ROUND((csv!$HG28/10+calc!EH$1),1)</f>
        <v>1.9</v>
      </c>
      <c r="EI28" s="4">
        <f>ROUND((csv!$HG28/10+calc!EI$1),1)</f>
        <v>2</v>
      </c>
      <c r="EJ28" s="4">
        <f>ROUND((csv!$HG28/10+calc!EJ$1),1)</f>
        <v>2.1</v>
      </c>
      <c r="EK28" s="4">
        <f>ROUND((csv!$HG28/10+calc!EK$1),1)</f>
        <v>2.2000000000000002</v>
      </c>
      <c r="EL28" s="4">
        <f>ROUND((csv!$HG28/10+calc!EL$1),1)</f>
        <v>2.2999999999999998</v>
      </c>
      <c r="EM28" s="4">
        <f>ROUND((csv!$HG28/10+calc!EM$1),1)</f>
        <v>2.4</v>
      </c>
      <c r="EN28" s="4">
        <f>ROUND((csv!$HG28/10+calc!EN$1),1)</f>
        <v>2.5</v>
      </c>
      <c r="EO28" s="4">
        <f>ROUND((csv!$HG28/10+calc!EO$1),1)</f>
        <v>2.6</v>
      </c>
      <c r="EP28" s="4">
        <f>ROUND((csv!$HG28/10+calc!EP$1),1)</f>
        <v>2.7</v>
      </c>
      <c r="EQ28" s="4">
        <f>ROUND((csv!$HG28/10+calc!EQ$1),1)</f>
        <v>2.8</v>
      </c>
      <c r="ER28" s="4">
        <f>ROUND((csv!$HG28/10+calc!ER$1),1)</f>
        <v>2.9</v>
      </c>
      <c r="ES28" s="4">
        <f>ROUND((csv!$HG28/10+calc!ES$1),1)</f>
        <v>3</v>
      </c>
      <c r="ET28" s="4">
        <f>ROUND((csv!$HG28/10+calc!ET$1),1)</f>
        <v>3.1</v>
      </c>
      <c r="EU28" s="4">
        <f>ROUND((csv!$HG28/10+calc!EU$1),1)</f>
        <v>3.2</v>
      </c>
      <c r="EV28" s="4">
        <f>ROUND((csv!$HG28/10+calc!EV$1),1)</f>
        <v>3.3</v>
      </c>
      <c r="EW28" s="4">
        <f>ROUND((csv!$HG28/10+calc!EW$1),1)</f>
        <v>3.4</v>
      </c>
      <c r="EX28" s="4">
        <f>ROUND((csv!$HG28/10+calc!EX$1),1)</f>
        <v>3.5</v>
      </c>
      <c r="EY28" s="4">
        <f>ROUND((csv!$HG28/10+calc!EY$1),1)</f>
        <v>3.6</v>
      </c>
      <c r="EZ28" s="4">
        <f>ROUND((csv!$HG28/10+calc!EZ$1),1)</f>
        <v>3.7</v>
      </c>
      <c r="FA28" s="4">
        <f>ROUND((csv!$HG28/10+calc!FA$1),1)</f>
        <v>3.8</v>
      </c>
      <c r="FB28" s="4">
        <f>ROUND((csv!$HG28/10+calc!FB$1),1)</f>
        <v>3.9</v>
      </c>
      <c r="FC28" s="4">
        <f>ROUND((csv!$HG28/10+calc!FC$1),1)</f>
        <v>4</v>
      </c>
      <c r="FD28" s="4">
        <f>ROUND((csv!$HG28/10+calc!FD$1),1)</f>
        <v>4.0999999999999996</v>
      </c>
      <c r="FE28" s="4">
        <f>ROUND((csv!$HG28/10+calc!FE$1),1)</f>
        <v>4.2</v>
      </c>
      <c r="FF28" s="4">
        <f>ROUND((csv!$HG28/10+calc!FF$1),1)</f>
        <v>4.3</v>
      </c>
      <c r="FG28" s="4">
        <f>ROUND((csv!$HG28/10+calc!FG$1),1)</f>
        <v>4.4000000000000004</v>
      </c>
      <c r="FH28" s="4">
        <f>ROUND((csv!$HG28/10+calc!FH$1),1)</f>
        <v>4.5</v>
      </c>
      <c r="FI28" s="4">
        <f>ROUND((csv!$HG28/10+calc!FI$1),1)</f>
        <v>4.5999999999999996</v>
      </c>
      <c r="FJ28" s="4">
        <f>ROUND((csv!$HG28/10+calc!FJ$1),1)</f>
        <v>4.7</v>
      </c>
      <c r="FK28" s="4">
        <f>ROUND((csv!$HG28/10+calc!FK$1),1)</f>
        <v>4.8</v>
      </c>
      <c r="FL28" s="4">
        <f>ROUND((csv!$HG28/10+calc!FL$1),1)</f>
        <v>4.9000000000000004</v>
      </c>
      <c r="FM28" s="4">
        <f>ROUND((csv!$HG28/10+calc!FM$1),1)</f>
        <v>5</v>
      </c>
      <c r="FN28" s="4">
        <f>ROUND((csv!$HG28/10+calc!FN$1),1)</f>
        <v>5.0999999999999996</v>
      </c>
      <c r="FO28" s="4">
        <f>ROUND((csv!$HG28/10+calc!FO$1),1)</f>
        <v>5.2</v>
      </c>
      <c r="FP28" s="4">
        <f>ROUND((csv!$HG28/10+calc!FP$1),1)</f>
        <v>5.3</v>
      </c>
      <c r="FQ28" s="4">
        <f>ROUND((csv!$HG28/10+calc!FQ$1),1)</f>
        <v>5.4</v>
      </c>
      <c r="FR28" s="4">
        <f>ROUND((csv!$HG28/10+calc!FR$1),1)</f>
        <v>5.5</v>
      </c>
      <c r="FS28" s="4">
        <f>ROUND((csv!$HG28/10+calc!FS$1),1)</f>
        <v>5.6</v>
      </c>
      <c r="FT28" s="4">
        <f>ROUND((csv!$HG28/10+calc!FT$1),1)</f>
        <v>5.7</v>
      </c>
      <c r="FU28" s="4">
        <f>ROUND((csv!$HG28/10+calc!FU$1),1)</f>
        <v>5.8</v>
      </c>
      <c r="FV28" s="4">
        <f>ROUND((csv!$HG28/10+calc!FV$1),1)</f>
        <v>5.9</v>
      </c>
      <c r="FW28" s="4">
        <f>ROUND((csv!$HG28/10+calc!FW$1),1)</f>
        <v>6</v>
      </c>
      <c r="FX28" s="4">
        <f>ROUND((csv!$HG28/10+calc!FX$1),1)</f>
        <v>6.1</v>
      </c>
      <c r="FY28" s="4">
        <f>ROUND((csv!$HG28/10+calc!FY$1),1)</f>
        <v>6.2</v>
      </c>
      <c r="FZ28" s="4">
        <f>ROUND((csv!$HG28/10+calc!FZ$1),1)</f>
        <v>6.3</v>
      </c>
      <c r="GA28" s="4">
        <f>ROUND((csv!$HG28/10+calc!GA$1),1)</f>
        <v>6.4</v>
      </c>
      <c r="GB28" s="4">
        <f>ROUND((csv!$HG28/10+calc!GB$1),1)</f>
        <v>6.5</v>
      </c>
      <c r="GC28" s="4">
        <f>ROUND((csv!$HG28/10+calc!GC$1),1)</f>
        <v>6.6</v>
      </c>
      <c r="GD28" s="4">
        <f>ROUND((csv!$HG28/10+calc!GD$1),1)</f>
        <v>6.7</v>
      </c>
      <c r="GE28" s="4">
        <f>ROUND((csv!$HG28/10+calc!GE$1),1)</f>
        <v>6.8</v>
      </c>
      <c r="GF28" s="4">
        <f>ROUND((csv!$HG28/10+calc!GF$1),1)</f>
        <v>6.9</v>
      </c>
      <c r="GG28" s="4">
        <f>ROUND((csv!$HG28/10+calc!GG$1),1)</f>
        <v>7</v>
      </c>
      <c r="GH28" s="4">
        <f>ROUND((csv!$HG28/10+calc!GH$1),1)</f>
        <v>7.1</v>
      </c>
      <c r="GI28" s="4">
        <f>ROUND((csv!$HG28/10+calc!GI$1),1)</f>
        <v>7.2</v>
      </c>
      <c r="GJ28" s="4">
        <f>ROUND((csv!$HG28/10+calc!GJ$1),1)</f>
        <v>7.3</v>
      </c>
      <c r="GK28" s="4">
        <f>ROUND((csv!$HG28/10+calc!GK$1),1)</f>
        <v>7.4</v>
      </c>
      <c r="GL28" s="4">
        <f>ROUND((csv!$HG28/10+calc!GL$1),1)</f>
        <v>7.5</v>
      </c>
      <c r="GM28" s="4">
        <f>ROUND((csv!$HG28/10+calc!GM$1),1)</f>
        <v>7.6</v>
      </c>
      <c r="GN28" s="4">
        <f>ROUND((csv!$HG28/10+calc!GN$1),1)</f>
        <v>7.7</v>
      </c>
      <c r="GO28" s="4">
        <f>ROUND((csv!$HG28/10+calc!GO$1),1)</f>
        <v>7.8</v>
      </c>
      <c r="GP28" s="4">
        <f>ROUND((csv!$HG28/10+calc!GP$1),1)</f>
        <v>7.9</v>
      </c>
      <c r="GQ28" s="4">
        <f>ROUND((csv!$HG28/10+calc!GQ$1),1)</f>
        <v>8</v>
      </c>
      <c r="GR28" s="4">
        <f>ROUND((csv!$HG28/10+calc!GR$1),1)</f>
        <v>8.1</v>
      </c>
      <c r="GS28" s="4">
        <f>ROUND((csv!$HG28/10+calc!GS$1),1)</f>
        <v>8.1999999999999993</v>
      </c>
      <c r="GT28" s="4">
        <f>ROUND((csv!$HG28/10+calc!GT$1),1)</f>
        <v>8.3000000000000007</v>
      </c>
      <c r="GU28" s="4">
        <f>ROUND((csv!$HG28/10+calc!GU$1),1)</f>
        <v>8.4</v>
      </c>
      <c r="GV28" s="4">
        <f>ROUND((csv!$HG28/10+calc!GV$1),1)</f>
        <v>8.5</v>
      </c>
      <c r="GW28" s="4">
        <f>ROUND((csv!$HG28/10+calc!GW$1),1)</f>
        <v>8.6</v>
      </c>
      <c r="GX28" s="4">
        <f>ROUND((csv!$HG28/10+calc!GX$1),1)</f>
        <v>8.6999999999999993</v>
      </c>
      <c r="GY28" s="4">
        <f>ROUND((csv!$HG28/10+calc!GY$1),1)</f>
        <v>8.8000000000000007</v>
      </c>
      <c r="GZ28" s="4">
        <f>ROUND((csv!$HG28/10+calc!GZ$1),1)</f>
        <v>8.9</v>
      </c>
      <c r="HA28" s="4">
        <f>ROUND((csv!$HG28/10+calc!HA$1),1)</f>
        <v>9</v>
      </c>
      <c r="HB28" s="4">
        <f>ROUND((csv!$HG28/10+calc!HB$1),1)</f>
        <v>9.1</v>
      </c>
      <c r="HC28" s="4">
        <f>ROUND((csv!$HG28/10+calc!HC$1),1)</f>
        <v>9.1999999999999993</v>
      </c>
      <c r="HD28" s="4">
        <f>ROUND((csv!$HG28/10+calc!HD$1),1)</f>
        <v>9.3000000000000007</v>
      </c>
      <c r="HE28" s="4">
        <f>ROUND((csv!$HG28/10+calc!HE$1),1)</f>
        <v>9.4</v>
      </c>
      <c r="HF28" s="4">
        <f>ROUND((csv!$HG28/10+calc!HF$1),1)</f>
        <v>9.5</v>
      </c>
      <c r="HG28" s="4">
        <f>ROUND((csv!$HG28/10+calc!HG$1),1)</f>
        <v>9.6</v>
      </c>
      <c r="HH28" s="4">
        <f>ROUND((csv!$HG28/10+calc!HH$1),1)</f>
        <v>9.6999999999999993</v>
      </c>
      <c r="HI28" s="4">
        <f>ROUND((csv!$HG28/10+calc!HI$1),1)</f>
        <v>9.8000000000000007</v>
      </c>
      <c r="HJ28" s="4">
        <f>ROUND((csv!$HG28/10+calc!HJ$1),1)</f>
        <v>9.9</v>
      </c>
      <c r="HK28" s="4">
        <f>ROUND((csv!$HG28/10+calc!HK$1),1)</f>
        <v>10</v>
      </c>
      <c r="HM28" s="2">
        <f>csv!A28*10000+csv!B28*100+csv!C28</f>
        <v>0</v>
      </c>
      <c r="HN28" s="5">
        <f>IF(ISERROR(LOOKUP(HN$1,$S28:$HK28,csv!$L28:$HD28)),NA(),LOOKUP(HN$1,$S28:$HK28,csv!$L28:$HD28))</f>
        <v>0</v>
      </c>
      <c r="HO28" s="5">
        <f>IF(ISERROR(LOOKUP(HO$1,$S28:$HK28,csv!$L28:$HD28)),NA(),LOOKUP(HO$1,$S28:$HK28,csv!$L28:$HD28))</f>
        <v>0</v>
      </c>
      <c r="HP28" s="5">
        <f>IF(ISERROR(LOOKUP(HP$1,$S28:$HK28,csv!$L28:$HD28)),NA(),LOOKUP(HP$1,$S28:$HK28,csv!$L28:$HD28))</f>
        <v>0</v>
      </c>
      <c r="HQ28" s="5">
        <f>IF(ISERROR(LOOKUP(HQ$1,$S28:$HK28,csv!$L28:$HD28)),NA(),LOOKUP(HQ$1,$S28:$HK28,csv!$L28:$HD28))</f>
        <v>0</v>
      </c>
      <c r="HR28" s="5">
        <f>IF(ISERROR(LOOKUP(HR$1,$S28:$HK28,csv!$L28:$HD28)),NA(),LOOKUP(HR$1,$S28:$HK28,csv!$L28:$HD28))</f>
        <v>0</v>
      </c>
      <c r="HS28" s="5">
        <f>IF(ISERROR(LOOKUP(HS$1,$S28:$HK28,csv!$L28:$HD28)),NA(),LOOKUP(HS$1,$S28:$HK28,csv!$L28:$HD28))</f>
        <v>0</v>
      </c>
      <c r="HT28" s="5">
        <f>IF(ISERROR(LOOKUP(HT$1,$S28:$HK28,csv!$L28:$HD28)),NA(),LOOKUP(HT$1,$S28:$HK28,csv!$L28:$HD28))</f>
        <v>0</v>
      </c>
      <c r="HU28" s="5">
        <f>IF(ISERROR(LOOKUP(HU$1,$S28:$HK28,csv!$L28:$HD28)),NA(),LOOKUP(HU$1,$S28:$HK28,csv!$L28:$HD28))</f>
        <v>0</v>
      </c>
      <c r="HV28" s="5">
        <f>IF(ISERROR(LOOKUP(HV$1,$S28:$HK28,csv!$L28:$HD28)),NA(),LOOKUP(HV$1,$S28:$HK28,csv!$L28:$HD28))</f>
        <v>0</v>
      </c>
      <c r="HW28" s="5">
        <f>IF(ISERROR(LOOKUP(HW$1,$S28:$HK28,csv!$L28:$HD28)),NA(),LOOKUP(HW$1,$S28:$HK28,csv!$L28:$HD28))</f>
        <v>0</v>
      </c>
      <c r="HX28" s="5">
        <f>IF(ISERROR(LOOKUP(HX$1,$S28:$HK28,csv!$L28:$HD28)),NA(),LOOKUP(HX$1,$S28:$HK28,csv!$L28:$HD28))</f>
        <v>0</v>
      </c>
      <c r="HY28" s="5">
        <f>IF(ISERROR(LOOKUP(HY$1,$S28:$HK28,csv!$L28:$HD28)),NA(),LOOKUP(HY$1,$S28:$HK28,csv!$L28:$HD28))</f>
        <v>0</v>
      </c>
      <c r="HZ28" s="5">
        <f>IF(ISERROR(LOOKUP(HZ$1,$S28:$HK28,csv!$L28:$HD28)),NA(),LOOKUP(HZ$1,$S28:$HK28,csv!$L28:$HD28))</f>
        <v>0</v>
      </c>
      <c r="IA28" s="5">
        <f>IF(ISERROR(LOOKUP(IA$1,$S28:$HK28,csv!$L28:$HD28)),NA(),LOOKUP(IA$1,$S28:$HK28,csv!$L28:$HD28))</f>
        <v>0</v>
      </c>
      <c r="IB28" s="5">
        <f>IF(ISERROR(LOOKUP(IB$1,$S28:$HK28,csv!$L28:$HD28)),NA(),LOOKUP(IB$1,$S28:$HK28,csv!$L28:$HD28))</f>
        <v>0</v>
      </c>
      <c r="IC28" s="5">
        <f>IF(ISERROR(LOOKUP(IC$1,$S28:$HK28,csv!$L28:$HD28)),NA(),LOOKUP(IC$1,$S28:$HK28,csv!$L28:$HD28))</f>
        <v>0</v>
      </c>
      <c r="ID28" s="5">
        <f>IF(ISERROR(LOOKUP(ID$1,$S28:$HK28,csv!$L28:$HD28)),NA(),LOOKUP(ID$1,$S28:$HK28,csv!$L28:$HD28))</f>
        <v>0</v>
      </c>
      <c r="IE28" s="5">
        <f>IF(ISERROR(LOOKUP(IE$1,$S28:$HK28,csv!$L28:$HD28)),NA(),LOOKUP(IE$1,$S28:$HK28,csv!$L28:$HD28))</f>
        <v>0</v>
      </c>
      <c r="IF28" s="5">
        <f>IF(ISERROR(LOOKUP(IF$1,$S28:$HK28,csv!$L28:$HD28)),NA(),LOOKUP(IF$1,$S28:$HK28,csv!$L28:$HD28))</f>
        <v>0</v>
      </c>
      <c r="IG28" s="5">
        <f>IF(ISERROR(LOOKUP(IG$1,$S28:$HK28,csv!$L28:$HD28)),NA(),LOOKUP(IG$1,$S28:$HK28,csv!$L28:$HD28))</f>
        <v>0</v>
      </c>
      <c r="IH28" s="5">
        <f>IF(ISERROR(LOOKUP(IH$1,$S28:$HK28,csv!$L28:$HD28)),NA(),LOOKUP(IH$1,$S28:$HK28,csv!$L28:$HD28))</f>
        <v>0</v>
      </c>
      <c r="II28" s="5">
        <f>IF(ISERROR(LOOKUP(II$1,$S28:$HK28,csv!$L28:$HD28)),NA(),LOOKUP(II$1,$S28:$HK28,csv!$L28:$HD28))</f>
        <v>0</v>
      </c>
      <c r="IJ28" s="5">
        <f>IF(ISERROR(LOOKUP(IJ$1,$S28:$HK28,csv!$L28:$HD28)),NA(),LOOKUP(IJ$1,$S28:$HK28,csv!$L28:$HD28))</f>
        <v>0</v>
      </c>
      <c r="IK28" s="5">
        <f>IF(ISERROR(LOOKUP(IK$1,$S28:$HK28,csv!$L28:$HD28)),NA(),LOOKUP(IK$1,$S28:$HK28,csv!$L28:$HD28))</f>
        <v>0</v>
      </c>
      <c r="IL28" s="5">
        <f>IF(ISERROR(LOOKUP(IL$1,$S28:$HK28,csv!$L28:$HD28)),NA(),LOOKUP(IL$1,$S28:$HK28,csv!$L28:$HD28))</f>
        <v>0</v>
      </c>
      <c r="IM28" s="5">
        <f>IF(ISERROR(LOOKUP(IM$1,$S28:$HK28,csv!$L28:$HD28)),NA(),LOOKUP(IM$1,$S28:$HK28,csv!$L28:$HD28))</f>
        <v>0</v>
      </c>
      <c r="IN28" s="5">
        <f>IF(ISERROR(LOOKUP(IN$1,$S28:$HK28,csv!$L28:$HD28)),NA(),LOOKUP(IN$1,$S28:$HK28,csv!$L28:$HD28))</f>
        <v>0</v>
      </c>
      <c r="IO28" s="5">
        <f>IF(ISERROR(LOOKUP(IO$1,$S28:$HK28,csv!$L28:$HD28)),NA(),LOOKUP(IO$1,$S28:$HK28,csv!$L28:$HD28))</f>
        <v>0</v>
      </c>
      <c r="IP28" s="5">
        <f>IF(ISERROR(LOOKUP(IP$1,$S28:$HK28,csv!$L28:$HD28)),NA(),LOOKUP(IP$1,$S28:$HK28,csv!$L28:$HD28))</f>
        <v>0</v>
      </c>
      <c r="IQ28" s="5">
        <f>IF(ISERROR(LOOKUP(IQ$1,$S28:$HK28,csv!$L28:$HD28)),NA(),LOOKUP(IQ$1,$S28:$HK28,csv!$L28:$HD28))</f>
        <v>0</v>
      </c>
      <c r="IR28" s="5">
        <f>IF(ISERROR(LOOKUP(IR$1,$S28:$HK28,csv!$L28:$HD28)),NA(),LOOKUP(IR$1,$S28:$HK28,csv!$L28:$HD28))</f>
        <v>0</v>
      </c>
      <c r="IS28" s="5">
        <f>IF(ISERROR(LOOKUP(IS$1,$S28:$HK28,csv!$L28:$HD28)),NA(),LOOKUP(IS$1,$S28:$HK28,csv!$L28:$HD28))</f>
        <v>0</v>
      </c>
      <c r="IT28" s="5">
        <f>IF(ISERROR(LOOKUP(IT$1,$S28:$HK28,csv!$L28:$HD28)),NA(),LOOKUP(IT$1,$S28:$HK28,csv!$L28:$HD28))</f>
        <v>0</v>
      </c>
      <c r="IU28" s="5">
        <f>IF(ISERROR(LOOKUP(IU$1,$S28:$HK28,csv!$L28:$HD28)),NA(),LOOKUP(IU$1,$S28:$HK28,csv!$L28:$HD28))</f>
        <v>0</v>
      </c>
      <c r="IV28" s="5">
        <f>IF(ISERROR(LOOKUP(IV$1,$S28:$HK28,csv!$L28:$HD28)),NA(),LOOKUP(IV$1,$S28:$HK28,csv!$L28:$HD28))</f>
        <v>0</v>
      </c>
      <c r="IW28" s="5">
        <f>IF(ISERROR(LOOKUP(IW$1,$S28:$HK28,csv!$L28:$HD28)),NA(),LOOKUP(IW$1,$S28:$HK28,csv!$L28:$HD28))</f>
        <v>0</v>
      </c>
      <c r="IX28" s="5">
        <f>IF(ISERROR(LOOKUP(IX$1,$S28:$HK28,csv!$L28:$HD28)),NA(),LOOKUP(IX$1,$S28:$HK28,csv!$L28:$HD28))</f>
        <v>0</v>
      </c>
      <c r="IY28" s="5">
        <f>IF(ISERROR(LOOKUP(IY$1,$S28:$HK28,csv!$L28:$HD28)),NA(),LOOKUP(IY$1,$S28:$HK28,csv!$L28:$HD28))</f>
        <v>0</v>
      </c>
      <c r="IZ28" s="5">
        <f>IF(ISERROR(LOOKUP(IZ$1,$S28:$HK28,csv!$L28:$HD28)),NA(),LOOKUP(IZ$1,$S28:$HK28,csv!$L28:$HD28))</f>
        <v>0</v>
      </c>
      <c r="JA28" s="5">
        <f>IF(ISERROR(LOOKUP(JA$1,$S28:$HK28,csv!$L28:$HD28)),NA(),LOOKUP(JA$1,$S28:$HK28,csv!$L28:$HD28))</f>
        <v>0</v>
      </c>
      <c r="JB28" s="5">
        <f>IF(ISERROR(LOOKUP(JB$1,$S28:$HK28,csv!$L28:$HD28)),NA(),LOOKUP(JB$1,$S28:$HK28,csv!$L28:$HD28))</f>
        <v>0</v>
      </c>
      <c r="JC28" s="5">
        <f>IF(ISERROR(LOOKUP(JC$1,$S28:$HK28,csv!$L28:$HD28)),NA(),LOOKUP(JC$1,$S28:$HK28,csv!$L28:$HD28))</f>
        <v>0</v>
      </c>
      <c r="JD28" s="5">
        <f>IF(ISERROR(LOOKUP(JD$1,$S28:$HK28,csv!$L28:$HD28)),NA(),LOOKUP(JD$1,$S28:$HK28,csv!$L28:$HD28))</f>
        <v>0</v>
      </c>
      <c r="JE28" s="5">
        <f>IF(ISERROR(LOOKUP(JE$1,$S28:$HK28,csv!$L28:$HD28)),NA(),LOOKUP(JE$1,$S28:$HK28,csv!$L28:$HD28))</f>
        <v>0</v>
      </c>
      <c r="JF28" s="5">
        <f>IF(ISERROR(LOOKUP(JF$1,$S28:$HK28,csv!$L28:$HD28)),NA(),LOOKUP(JF$1,$S28:$HK28,csv!$L28:$HD28))</f>
        <v>0</v>
      </c>
      <c r="JG28" s="5">
        <f>IF(ISERROR(LOOKUP(JG$1,$S28:$HK28,csv!$L28:$HD28)),NA(),LOOKUP(JG$1,$S28:$HK28,csv!$L28:$HD28))</f>
        <v>0</v>
      </c>
      <c r="JH28" s="5">
        <f>IF(ISERROR(LOOKUP(JH$1,$S28:$HK28,csv!$L28:$HD28)),NA(),LOOKUP(JH$1,$S28:$HK28,csv!$L28:$HD28))</f>
        <v>0</v>
      </c>
      <c r="JI28" s="5">
        <f>IF(ISERROR(LOOKUP(JI$1,$S28:$HK28,csv!$L28:$HD28)),NA(),LOOKUP(JI$1,$S28:$HK28,csv!$L28:$HD28))</f>
        <v>0</v>
      </c>
      <c r="JJ28" s="5">
        <f>IF(ISERROR(LOOKUP(JJ$1,$S28:$HK28,csv!$L28:$HD28)),NA(),LOOKUP(JJ$1,$S28:$HK28,csv!$L28:$HD28))</f>
        <v>0</v>
      </c>
      <c r="JK28" s="5">
        <f>IF(ISERROR(LOOKUP(JK$1,$S28:$HK28,csv!$L28:$HD28)),NA(),LOOKUP(JK$1,$S28:$HK28,csv!$L28:$HD28))</f>
        <v>0</v>
      </c>
      <c r="JL28" s="5">
        <f>IF(ISERROR(LOOKUP(JL$1,$S28:$HK28,csv!$L28:$HD28)),NA(),LOOKUP(JL$1,$S28:$HK28,csv!$L28:$HD28))</f>
        <v>0</v>
      </c>
      <c r="JM28" s="5">
        <f>IF(ISERROR(LOOKUP(JM$1,$S28:$HK28,csv!$L28:$HD28)),NA(),LOOKUP(JM$1,$S28:$HK28,csv!$L28:$HD28))</f>
        <v>0</v>
      </c>
      <c r="JN28" s="5">
        <f>IF(ISERROR(LOOKUP(JN$1,$S28:$HK28,csv!$L28:$HD28)),NA(),LOOKUP(JN$1,$S28:$HK28,csv!$L28:$HD28))</f>
        <v>0</v>
      </c>
      <c r="JO28" s="5">
        <f>IF(ISERROR(LOOKUP(JO$1,$S28:$HK28,csv!$L28:$HD28)),NA(),LOOKUP(JO$1,$S28:$HK28,csv!$L28:$HD28))</f>
        <v>0</v>
      </c>
      <c r="JP28" s="5">
        <f>IF(ISERROR(LOOKUP(JP$1,$S28:$HK28,csv!$L28:$HD28)),NA(),LOOKUP(JP$1,$S28:$HK28,csv!$L28:$HD28))</f>
        <v>0</v>
      </c>
      <c r="JQ28" s="5">
        <f>IF(ISERROR(LOOKUP(JQ$1,$S28:$HK28,csv!$L28:$HD28)),NA(),LOOKUP(JQ$1,$S28:$HK28,csv!$L28:$HD28))</f>
        <v>0</v>
      </c>
      <c r="JR28" s="5">
        <f>IF(ISERROR(LOOKUP(JR$1,$S28:$HK28,csv!$L28:$HD28)),NA(),LOOKUP(JR$1,$S28:$HK28,csv!$L28:$HD28))</f>
        <v>0</v>
      </c>
      <c r="JS28" s="5">
        <f>IF(ISERROR(LOOKUP(JS$1,$S28:$HK28,csv!$L28:$HD28)),NA(),LOOKUP(JS$1,$S28:$HK28,csv!$L28:$HD28))</f>
        <v>0</v>
      </c>
      <c r="JT28" s="5">
        <f>IF(ISERROR(LOOKUP(JT$1,$S28:$HK28,csv!$L28:$HD28)),NA(),LOOKUP(JT$1,$S28:$HK28,csv!$L28:$HD28))</f>
        <v>0</v>
      </c>
      <c r="JU28" s="5">
        <f>IF(ISERROR(LOOKUP(JU$1,$S28:$HK28,csv!$L28:$HD28)),NA(),LOOKUP(JU$1,$S28:$HK28,csv!$L28:$HD28))</f>
        <v>0</v>
      </c>
      <c r="JV28" s="5">
        <f>IF(ISERROR(LOOKUP(JV$1,$S28:$HK28,csv!$L28:$HD28)),NA(),LOOKUP(JV$1,$S28:$HK28,csv!$L28:$HD28))</f>
        <v>0</v>
      </c>
      <c r="JW28" s="5">
        <f>IF(ISERROR(LOOKUP(JW$1,$S28:$HK28,csv!$L28:$HD28)),NA(),LOOKUP(JW$1,$S28:$HK28,csv!$L28:$HD28))</f>
        <v>0</v>
      </c>
      <c r="JX28" s="5">
        <f>IF(ISERROR(LOOKUP(JX$1,$S28:$HK28,csv!$L28:$HD28)),NA(),LOOKUP(JX$1,$S28:$HK28,csv!$L28:$HD28))</f>
        <v>0</v>
      </c>
      <c r="JY28" s="5">
        <f>IF(ISERROR(LOOKUP(JY$1,$S28:$HK28,csv!$L28:$HD28)),NA(),LOOKUP(JY$1,$S28:$HK28,csv!$L28:$HD28))</f>
        <v>0</v>
      </c>
      <c r="JZ28" s="5">
        <f>IF(ISERROR(LOOKUP(JZ$1,$S28:$HK28,csv!$L28:$HD28)),NA(),LOOKUP(JZ$1,$S28:$HK28,csv!$L28:$HD28))</f>
        <v>0</v>
      </c>
      <c r="KA28" s="5">
        <f>IF(ISERROR(LOOKUP(KA$1,$S28:$HK28,csv!$L28:$HD28)),NA(),LOOKUP(KA$1,$S28:$HK28,csv!$L28:$HD28))</f>
        <v>0</v>
      </c>
      <c r="KB28" s="5">
        <f>IF(ISERROR(LOOKUP(KB$1,$S28:$HK28,csv!$L28:$HD28)),NA(),LOOKUP(KB$1,$S28:$HK28,csv!$L28:$HD28))</f>
        <v>0</v>
      </c>
      <c r="KC28" s="5">
        <f>IF(ISERROR(LOOKUP(KC$1,$S28:$HK28,csv!$L28:$HD28)),NA(),LOOKUP(KC$1,$S28:$HK28,csv!$L28:$HD28))</f>
        <v>0</v>
      </c>
      <c r="KD28" s="5">
        <f>IF(ISERROR(LOOKUP(KD$1,$S28:$HK28,csv!$L28:$HD28)),NA(),LOOKUP(KD$1,$S28:$HK28,csv!$L28:$HD28))</f>
        <v>0</v>
      </c>
      <c r="KE28" s="5">
        <f>IF(ISERROR(LOOKUP(KE$1,$S28:$HK28,csv!$L28:$HD28)),NA(),LOOKUP(KE$1,$S28:$HK28,csv!$L28:$HD28))</f>
        <v>0</v>
      </c>
      <c r="KF28" s="5">
        <f>IF(ISERROR(LOOKUP(KF$1,$S28:$HK28,csv!$L28:$HD28)),NA(),LOOKUP(KF$1,$S28:$HK28,csv!$L28:$HD28))</f>
        <v>0</v>
      </c>
      <c r="KG28" s="5">
        <f>IF(ISERROR(LOOKUP(KG$1,$S28:$HK28,csv!$L28:$HD28)),NA(),LOOKUP(KG$1,$S28:$HK28,csv!$L28:$HD28))</f>
        <v>0</v>
      </c>
      <c r="KH28" s="5">
        <f>IF(ISERROR(LOOKUP(KH$1,$S28:$HK28,csv!$L28:$HD28)),NA(),LOOKUP(KH$1,$S28:$HK28,csv!$L28:$HD28))</f>
        <v>0</v>
      </c>
      <c r="KI28" s="5">
        <f>IF(ISERROR(LOOKUP(KI$1,$S28:$HK28,csv!$L28:$HD28)),NA(),LOOKUP(KI$1,$S28:$HK28,csv!$L28:$HD28))</f>
        <v>0</v>
      </c>
      <c r="KJ28" s="5">
        <f>IF(ISERROR(LOOKUP(KJ$1,$S28:$HK28,csv!$L28:$HD28)),NA(),LOOKUP(KJ$1,$S28:$HK28,csv!$L28:$HD28))</f>
        <v>0</v>
      </c>
      <c r="KK28" s="5">
        <f>IF(ISERROR(LOOKUP(KK$1,$S28:$HK28,csv!$L28:$HD28)),NA(),LOOKUP(KK$1,$S28:$HK28,csv!$L28:$HD28))</f>
        <v>0</v>
      </c>
      <c r="KL28" s="5">
        <f>IF(ISERROR(LOOKUP(KL$1,$S28:$HK28,csv!$L28:$HD28)),NA(),LOOKUP(KL$1,$S28:$HK28,csv!$L28:$HD28))</f>
        <v>0</v>
      </c>
      <c r="KM28" s="5">
        <f>IF(ISERROR(LOOKUP(KM$1,$S28:$HK28,csv!$L28:$HD28)),NA(),LOOKUP(KM$1,$S28:$HK28,csv!$L28:$HD28))</f>
        <v>0</v>
      </c>
      <c r="KN28" s="5">
        <f>IF(ISERROR(LOOKUP(KN$1,$S28:$HK28,csv!$L28:$HD28)),NA(),LOOKUP(KN$1,$S28:$HK28,csv!$L28:$HD28))</f>
        <v>0</v>
      </c>
      <c r="KO28" s="5">
        <f>IF(ISERROR(LOOKUP(KO$1,$S28:$HK28,csv!$L28:$HD28)),NA(),LOOKUP(KO$1,$S28:$HK28,csv!$L28:$HD28))</f>
        <v>0</v>
      </c>
      <c r="KP28" s="5">
        <f>IF(ISERROR(LOOKUP(KP$1,$S28:$HK28,csv!$L28:$HD28)),NA(),LOOKUP(KP$1,$S28:$HK28,csv!$L28:$HD28))</f>
        <v>0</v>
      </c>
      <c r="KQ28" s="5">
        <f>IF(ISERROR(LOOKUP(KQ$1,$S28:$HK28,csv!$L28:$HD28)),NA(),LOOKUP(KQ$1,$S28:$HK28,csv!$L28:$HD28))</f>
        <v>0</v>
      </c>
      <c r="KR28" s="5">
        <f>IF(ISERROR(LOOKUP(KR$1,$S28:$HK28,csv!$L28:$HD28)),NA(),LOOKUP(KR$1,$S28:$HK28,csv!$L28:$HD28))</f>
        <v>0</v>
      </c>
      <c r="KS28" s="5">
        <f>IF(ISERROR(LOOKUP(KS$1,$S28:$HK28,csv!$L28:$HD28)),NA(),LOOKUP(KS$1,$S28:$HK28,csv!$L28:$HD28))</f>
        <v>0</v>
      </c>
      <c r="KT28" s="5">
        <f>IF(ISERROR(LOOKUP(KT$1,$S28:$HK28,csv!$L28:$HD28)),NA(),LOOKUP(KT$1,$S28:$HK28,csv!$L28:$HD28))</f>
        <v>0</v>
      </c>
      <c r="KU28" s="5">
        <f>IF(ISERROR(LOOKUP(KU$1,$S28:$HK28,csv!$L28:$HD28)),NA(),LOOKUP(KU$1,$S28:$HK28,csv!$L28:$HD28))</f>
        <v>0</v>
      </c>
      <c r="KV28" s="5">
        <f>IF(ISERROR(LOOKUP(KV$1,$S28:$HK28,csv!$L28:$HD28)),NA(),LOOKUP(KV$1,$S28:$HK28,csv!$L28:$HD28))</f>
        <v>0</v>
      </c>
      <c r="KW28" s="5">
        <f>IF(ISERROR(LOOKUP(KW$1,$S28:$HK28,csv!$L28:$HD28)),NA(),LOOKUP(KW$1,$S28:$HK28,csv!$L28:$HD28))</f>
        <v>0</v>
      </c>
      <c r="KX28" s="5">
        <f>IF(ISERROR(LOOKUP(KX$1,$S28:$HK28,csv!$L28:$HD28)),NA(),LOOKUP(KX$1,$S28:$HK28,csv!$L28:$HD28))</f>
        <v>0</v>
      </c>
      <c r="KY28" s="5">
        <f>IF(ISERROR(LOOKUP(KY$1,$S28:$HK28,csv!$L28:$HD28)),NA(),LOOKUP(KY$1,$S28:$HK28,csv!$L28:$HD28))</f>
        <v>0</v>
      </c>
      <c r="KZ28" s="5">
        <f>IF(ISERROR(LOOKUP(KZ$1,$S28:$HK28,csv!$L28:$HD28)),NA(),LOOKUP(KZ$1,$S28:$HK28,csv!$L28:$HD28))</f>
        <v>0</v>
      </c>
      <c r="LA28" s="5">
        <f>IF(ISERROR(LOOKUP(LA$1,$S28:$HK28,csv!$L28:$HD28)),NA(),LOOKUP(LA$1,$S28:$HK28,csv!$L28:$HD28))</f>
        <v>0</v>
      </c>
      <c r="LB28" s="5">
        <f>IF(ISERROR(LOOKUP(LB$1,$S28:$HK28,csv!$L28:$HD28)),NA(),LOOKUP(LB$1,$S28:$HK28,csv!$L28:$HD28))</f>
        <v>0</v>
      </c>
      <c r="LC28" s="5">
        <f>IF(ISERROR(LOOKUP(LC$1,$S28:$HK28,csv!$L28:$HD28)),NA(),LOOKUP(LC$1,$S28:$HK28,csv!$L28:$HD28))</f>
        <v>0</v>
      </c>
      <c r="LD28" s="5">
        <f>IF(ISERROR(LOOKUP(LD$1,$S28:$HK28,csv!$L28:$HD28)),NA(),LOOKUP(LD$1,$S28:$HK28,csv!$L28:$HD28))</f>
        <v>0</v>
      </c>
      <c r="LE28" s="5">
        <f>IF(ISERROR(LOOKUP(LE$1,$S28:$HK28,csv!$L28:$HD28)),NA(),LOOKUP(LE$1,$S28:$HK28,csv!$L28:$HD28))</f>
        <v>0</v>
      </c>
      <c r="LF28" s="5">
        <f>IF(ISERROR(LOOKUP(LF$1,$S28:$HK28,csv!$L28:$HD28)),NA(),LOOKUP(LF$1,$S28:$HK28,csv!$L28:$HD28))</f>
        <v>0</v>
      </c>
      <c r="LG28" s="5">
        <f>IF(ISERROR(LOOKUP(LG$1,$S28:$HK28,csv!$L28:$HD28)),NA(),LOOKUP(LG$1,$S28:$HK28,csv!$L28:$HD28))</f>
        <v>0</v>
      </c>
      <c r="LH28" s="5">
        <f>IF(ISERROR(LOOKUP(LH$1,$S28:$HK28,csv!$L28:$HD28)),NA(),LOOKUP(LH$1,$S28:$HK28,csv!$L28:$HD28))</f>
        <v>0</v>
      </c>
      <c r="LI28" s="5">
        <f>IF(ISERROR(LOOKUP(LI$1,$S28:$HK28,csv!$L28:$HD28)),NA(),LOOKUP(LI$1,$S28:$HK28,csv!$L28:$HD28))</f>
        <v>0</v>
      </c>
      <c r="LJ28" s="5">
        <f>IF(ISERROR(LOOKUP(LJ$1,$S28:$HK28,csv!$L28:$HD28)),NA(),LOOKUP(LJ$1,$S28:$HK28,csv!$L28:$HD28))</f>
        <v>0</v>
      </c>
      <c r="LK28" s="5">
        <f>IF(ISERROR(LOOKUP(LK$1,$S28:$HK28,csv!$L28:$HD28)),NA(),LOOKUP(LK$1,$S28:$HK28,csv!$L28:$HD28))</f>
        <v>0</v>
      </c>
      <c r="LL28" s="5">
        <f>IF(ISERROR(LOOKUP(LL$1,$S28:$HK28,csv!$L28:$HD28)),NA(),LOOKUP(LL$1,$S28:$HK28,csv!$L28:$HD28))</f>
        <v>0</v>
      </c>
      <c r="LM28" s="5">
        <f>IF(ISERROR(LOOKUP(LM$1,$S28:$HK28,csv!$L28:$HD28)),NA(),LOOKUP(LM$1,$S28:$HK28,csv!$L28:$HD28))</f>
        <v>0</v>
      </c>
      <c r="LN28" s="5">
        <f>IF(ISERROR(LOOKUP(LN$1,$S28:$HK28,csv!$L28:$HD28)),NA(),LOOKUP(LN$1,$S28:$HK28,csv!$L28:$HD28))</f>
        <v>0</v>
      </c>
      <c r="LO28" s="5">
        <f>IF(ISERROR(LOOKUP(LO$1,$S28:$HK28,csv!$L28:$HD28)),NA(),LOOKUP(LO$1,$S28:$HK28,csv!$L28:$HD28))</f>
        <v>0</v>
      </c>
      <c r="LP28" s="5">
        <f>IF(ISERROR(LOOKUP(LP$1,$S28:$HK28,csv!$L28:$HD28)),NA(),LOOKUP(LP$1,$S28:$HK28,csv!$L28:$HD28))</f>
        <v>0</v>
      </c>
      <c r="LQ28" s="5">
        <f>IF(ISERROR(LOOKUP(LQ$1,$S28:$HK28,csv!$L28:$HD28)),NA(),LOOKUP(LQ$1,$S28:$HK28,csv!$L28:$HD28))</f>
        <v>0</v>
      </c>
      <c r="LR28" s="5">
        <f>IF(ISERROR(LOOKUP(LR$1,$S28:$HK28,csv!$L28:$HD28)),NA(),LOOKUP(LR$1,$S28:$HK28,csv!$L28:$HD28))</f>
        <v>0</v>
      </c>
      <c r="LS28" s="5">
        <f>IF(ISERROR(LOOKUP(LS$1,$S28:$HK28,csv!$L28:$HD28)),NA(),LOOKUP(LS$1,$S28:$HK28,csv!$L28:$HD28))</f>
        <v>0</v>
      </c>
      <c r="LT28" s="5">
        <f>IF(ISERROR(LOOKUP(LT$1,$S28:$HK28,csv!$L28:$HD28)),NA(),LOOKUP(LT$1,$S28:$HK28,csv!$L28:$HD28))</f>
        <v>0</v>
      </c>
      <c r="LU28" s="5">
        <f>IF(ISERROR(LOOKUP(LU$1,$S28:$HK28,csv!$L28:$HD28)),NA(),LOOKUP(LU$1,$S28:$HK28,csv!$L28:$HD28))</f>
        <v>0</v>
      </c>
      <c r="LV28" s="5">
        <f>IF(ISERROR(LOOKUP(LV$1,$S28:$HK28,csv!$L28:$HD28)),NA(),LOOKUP(LV$1,$S28:$HK28,csv!$L28:$HD28))</f>
        <v>0</v>
      </c>
      <c r="LW28" s="5">
        <f>IF(ISERROR(LOOKUP(LW$1,$S28:$HK28,csv!$L28:$HD28)),NA(),LOOKUP(LW$1,$S28:$HK28,csv!$L28:$HD28))</f>
        <v>0</v>
      </c>
      <c r="LX28" s="5">
        <f>IF(ISERROR(LOOKUP(LX$1,$S28:$HK28,csv!$L28:$HD28)),NA(),LOOKUP(LX$1,$S28:$HK28,csv!$L28:$HD28))</f>
        <v>0</v>
      </c>
      <c r="LY28" s="5">
        <f>IF(ISERROR(LOOKUP(LY$1,$S28:$HK28,csv!$L28:$HD28)),NA(),LOOKUP(LY$1,$S28:$HK28,csv!$L28:$HD28))</f>
        <v>0</v>
      </c>
      <c r="LZ28" s="5">
        <f>IF(ISERROR(LOOKUP(LZ$1,$S28:$HK28,csv!$L28:$HD28)),NA(),LOOKUP(LZ$1,$S28:$HK28,csv!$L28:$HD28))</f>
        <v>0</v>
      </c>
      <c r="MA28" s="5">
        <f>IF(ISERROR(LOOKUP(MA$1,$S28:$HK28,csv!$L28:$HD28)),NA(),LOOKUP(MA$1,$S28:$HK28,csv!$L28:$HD28))</f>
        <v>0</v>
      </c>
      <c r="MB28" s="5">
        <f>IF(ISERROR(LOOKUP(MB$1,$S28:$HK28,csv!$L28:$HD28)),NA(),LOOKUP(MB$1,$S28:$HK28,csv!$L28:$HD28))</f>
        <v>0</v>
      </c>
      <c r="MC28" s="5">
        <f>IF(ISERROR(LOOKUP(MC$1,$S28:$HK28,csv!$L28:$HD28)),NA(),LOOKUP(MC$1,$S28:$HK28,csv!$L28:$HD28))</f>
        <v>0</v>
      </c>
      <c r="MD28" s="5">
        <f>IF(ISERROR(LOOKUP(MD$1,$S28:$HK28,csv!$L28:$HD28)),NA(),LOOKUP(MD$1,$S28:$HK28,csv!$L28:$HD28))</f>
        <v>0</v>
      </c>
      <c r="ME28" s="5">
        <f>IF(ISERROR(LOOKUP(ME$1,$S28:$HK28,csv!$L28:$HD28)),NA(),LOOKUP(ME$1,$S28:$HK28,csv!$L28:$HD28))</f>
        <v>0</v>
      </c>
      <c r="MF28" s="5">
        <f>IF(ISERROR(LOOKUP(MF$1,$S28:$HK28,csv!$L28:$HD28)),NA(),LOOKUP(MF$1,$S28:$HK28,csv!$L28:$HD28))</f>
        <v>0</v>
      </c>
      <c r="MG28" s="5">
        <f>IF(ISERROR(LOOKUP(MG$1,$S28:$HK28,csv!$L28:$HD28)),NA(),LOOKUP(MG$1,$S28:$HK28,csv!$L28:$HD28))</f>
        <v>0</v>
      </c>
      <c r="MH28" s="5">
        <f>IF(ISERROR(LOOKUP(MH$1,$S28:$HK28,csv!$L28:$HD28)),NA(),LOOKUP(MH$1,$S28:$HK28,csv!$L28:$HD28))</f>
        <v>0</v>
      </c>
      <c r="MI28" s="5">
        <f>IF(ISERROR(LOOKUP(MI$1,$S28:$HK28,csv!$L28:$HD28)),NA(),LOOKUP(MI$1,$S28:$HK28,csv!$L28:$HD28))</f>
        <v>0</v>
      </c>
      <c r="MJ28" s="5">
        <f>IF(ISERROR(LOOKUP(MJ$1,$S28:$HK28,csv!$L28:$HD28)),NA(),LOOKUP(MJ$1,$S28:$HK28,csv!$L28:$HD28))</f>
        <v>0</v>
      </c>
      <c r="MK28" s="5">
        <f>IF(ISERROR(LOOKUP(MK$1,$S28:$HK28,csv!$L28:$HD28)),NA(),LOOKUP(MK$1,$S28:$HK28,csv!$L28:$HD28))</f>
        <v>0</v>
      </c>
      <c r="ML28" s="5">
        <f>IF(ISERROR(LOOKUP(ML$1,$S28:$HK28,csv!$L28:$HD28)),NA(),LOOKUP(ML$1,$S28:$HK28,csv!$L28:$HD28))</f>
        <v>0</v>
      </c>
      <c r="MM28" s="5">
        <f>IF(ISERROR(LOOKUP(MM$1,$S28:$HK28,csv!$L28:$HD28)),NA(),LOOKUP(MM$1,$S28:$HK28,csv!$L28:$HD28))</f>
        <v>0</v>
      </c>
      <c r="MN28" s="5">
        <f>IF(ISERROR(LOOKUP(MN$1,$S28:$HK28,csv!$L28:$HD28)),NA(),LOOKUP(MN$1,$S28:$HK28,csv!$L28:$HD28))</f>
        <v>0</v>
      </c>
      <c r="MO28" s="5">
        <f>IF(ISERROR(LOOKUP(MO$1,$S28:$HK28,csv!$L28:$HD28)),NA(),LOOKUP(MO$1,$S28:$HK28,csv!$L28:$HD28))</f>
        <v>0</v>
      </c>
      <c r="MP28" s="5">
        <f>IF(ISERROR(LOOKUP(MP$1,$S28:$HK28,csv!$L28:$HD28)),NA(),LOOKUP(MP$1,$S28:$HK28,csv!$L28:$HD28))</f>
        <v>0</v>
      </c>
      <c r="MQ28" s="5">
        <f>IF(ISERROR(LOOKUP(MQ$1,$S28:$HK28,csv!$L28:$HD28)),NA(),LOOKUP(MQ$1,$S28:$HK28,csv!$L28:$HD28))</f>
        <v>0</v>
      </c>
      <c r="MR28" s="5">
        <f>IF(ISERROR(LOOKUP(MR$1,$S28:$HK28,csv!$L28:$HD28)),NA(),LOOKUP(MR$1,$S28:$HK28,csv!$L28:$HD28))</f>
        <v>0</v>
      </c>
      <c r="MS28" s="5">
        <f>IF(ISERROR(LOOKUP(MS$1,$S28:$HK28,csv!$L28:$HD28)),NA(),LOOKUP(MS$1,$S28:$HK28,csv!$L28:$HD28))</f>
        <v>0</v>
      </c>
      <c r="MT28" s="5">
        <f>IF(ISERROR(LOOKUP(MT$1,$S28:$HK28,csv!$L28:$HD28)),NA(),LOOKUP(MT$1,$S28:$HK28,csv!$L28:$HD28))</f>
        <v>0</v>
      </c>
      <c r="MU28" s="5">
        <f>IF(ISERROR(LOOKUP(MU$1,$S28:$HK28,csv!$L28:$HD28)),NA(),LOOKUP(MU$1,$S28:$HK28,csv!$L28:$HD28))</f>
        <v>0</v>
      </c>
      <c r="MV28" s="5">
        <f>IF(ISERROR(LOOKUP(MV$1,$S28:$HK28,csv!$L28:$HD28)),NA(),LOOKUP(MV$1,$S28:$HK28,csv!$L28:$HD28))</f>
        <v>0</v>
      </c>
      <c r="MW28" s="5">
        <f>IF(ISERROR(LOOKUP(MW$1,$S28:$HK28,csv!$L28:$HD28)),NA(),LOOKUP(MW$1,$S28:$HK28,csv!$L28:$HD28))</f>
        <v>0</v>
      </c>
      <c r="MX28" s="5">
        <f>IF(ISERROR(LOOKUP(MX$1,$S28:$HK28,csv!$L28:$HD28)),NA(),LOOKUP(MX$1,$S28:$HK28,csv!$L28:$HD28))</f>
        <v>0</v>
      </c>
      <c r="MY28" s="5">
        <f>IF(ISERROR(LOOKUP(MY$1,$S28:$HK28,csv!$L28:$HD28)),NA(),LOOKUP(MY$1,$S28:$HK28,csv!$L28:$HD28))</f>
        <v>0</v>
      </c>
      <c r="MZ28" s="5">
        <f>IF(ISERROR(LOOKUP(MZ$1,$S28:$HK28,csv!$L28:$HD28)),NA(),LOOKUP(MZ$1,$S28:$HK28,csv!$L28:$HD28))</f>
        <v>0</v>
      </c>
      <c r="NA28" s="5">
        <f>IF(ISERROR(LOOKUP(NA$1,$S28:$HK28,csv!$L28:$HD28)),NA(),LOOKUP(NA$1,$S28:$HK28,csv!$L28:$HD28))</f>
        <v>0</v>
      </c>
      <c r="NB28" s="5">
        <f>IF(ISERROR(LOOKUP(NB$1,$S28:$HK28,csv!$L28:$HD28)),NA(),LOOKUP(NB$1,$S28:$HK28,csv!$L28:$HD28))</f>
        <v>0</v>
      </c>
      <c r="NC28" s="5">
        <f>IF(ISERROR(LOOKUP(NC$1,$S28:$HK28,csv!$L28:$HD28)),NA(),LOOKUP(NC$1,$S28:$HK28,csv!$L28:$HD28))</f>
        <v>0</v>
      </c>
      <c r="ND28" s="5">
        <f>IF(ISERROR(LOOKUP(ND$1,$S28:$HK28,csv!$L28:$HD28)),NA(),LOOKUP(ND$1,$S28:$HK28,csv!$L28:$HD28))</f>
        <v>0</v>
      </c>
      <c r="NE28" s="5">
        <f>IF(ISERROR(LOOKUP(NE$1,$S28:$HK28,csv!$L28:$HD28)),NA(),LOOKUP(NE$1,$S28:$HK28,csv!$L28:$HD28))</f>
        <v>0</v>
      </c>
      <c r="NF28" s="5">
        <f>IF(ISERROR(LOOKUP(NF$1,$S28:$HK28,csv!$L28:$HD28)),NA(),LOOKUP(NF$1,$S28:$HK28,csv!$L28:$HD28))</f>
        <v>0</v>
      </c>
      <c r="NG28" s="5">
        <f>IF(ISERROR(LOOKUP(NG$1,$S28:$HK28,csv!$L28:$HD28)),NA(),LOOKUP(NG$1,$S28:$HK28,csv!$L28:$HD28))</f>
        <v>0</v>
      </c>
      <c r="NH28" s="5">
        <f>IF(ISERROR(LOOKUP(NH$1,$S28:$HK28,csv!$L28:$HD28)),NA(),LOOKUP(NH$1,$S28:$HK28,csv!$L28:$HD28))</f>
        <v>0</v>
      </c>
      <c r="NI28" s="5">
        <f>IF(ISERROR(LOOKUP(NI$1,$S28:$HK28,csv!$L28:$HD28)),NA(),LOOKUP(NI$1,$S28:$HK28,csv!$L28:$HD28))</f>
        <v>0</v>
      </c>
      <c r="NJ28" s="5">
        <f>IF(ISERROR(LOOKUP(NJ$1,$S28:$HK28,csv!$L28:$HD28)),NA(),LOOKUP(NJ$1,$S28:$HK28,csv!$L28:$HD28))</f>
        <v>0</v>
      </c>
      <c r="NK28" s="5">
        <f>IF(ISERROR(LOOKUP(NK$1,$S28:$HK28,csv!$L28:$HD28)),NA(),LOOKUP(NK$1,$S28:$HK28,csv!$L28:$HD28))</f>
        <v>0</v>
      </c>
      <c r="NL28" s="5">
        <f>IF(ISERROR(LOOKUP(NL$1,$S28:$HK28,csv!$L28:$HD28)),NA(),LOOKUP(NL$1,$S28:$HK28,csv!$L28:$HD28))</f>
        <v>0</v>
      </c>
      <c r="NM28" s="5">
        <f>IF(ISERROR(LOOKUP(NM$1,$S28:$HK28,csv!$L28:$HD28)),NA(),LOOKUP(NM$1,$S28:$HK28,csv!$L28:$HD28))</f>
        <v>0</v>
      </c>
      <c r="NN28" s="5">
        <f>IF(ISERROR(LOOKUP(NN$1,$S28:$HK28,csv!$L28:$HD28)),NA(),LOOKUP(NN$1,$S28:$HK28,csv!$L28:$HD28))</f>
        <v>0</v>
      </c>
      <c r="NO28" s="5">
        <f>IF(ISERROR(LOOKUP(NO$1,$S28:$HK28,csv!$L28:$HD28)),NA(),LOOKUP(NO$1,$S28:$HK28,csv!$L28:$HD28))</f>
        <v>0</v>
      </c>
      <c r="NP28" s="5">
        <f>IF(ISERROR(LOOKUP(NP$1,$S28:$HK28,csv!$L28:$HD28)),NA(),LOOKUP(NP$1,$S28:$HK28,csv!$L28:$HD28))</f>
        <v>0</v>
      </c>
      <c r="NQ28" s="5">
        <f>IF(ISERROR(LOOKUP(NQ$1,$S28:$HK28,csv!$L28:$HD28)),NA(),LOOKUP(NQ$1,$S28:$HK28,csv!$L28:$HD28))</f>
        <v>0</v>
      </c>
      <c r="NR28" s="5">
        <f>IF(ISERROR(LOOKUP(NR$1,$S28:$HK28,csv!$L28:$HD28)),NA(),LOOKUP(NR$1,$S28:$HK28,csv!$L28:$HD28))</f>
        <v>0</v>
      </c>
      <c r="NS28" s="5">
        <f>IF(ISERROR(LOOKUP(NS$1,$S28:$HK28,csv!$L28:$HD28)),NA(),LOOKUP(NS$1,$S28:$HK28,csv!$L28:$HD28))</f>
        <v>0</v>
      </c>
      <c r="NT28" s="5">
        <f>IF(ISERROR(LOOKUP(NT$1,$S28:$HK28,csv!$L28:$HD28)),NA(),LOOKUP(NT$1,$S28:$HK28,csv!$L28:$HD28))</f>
        <v>0</v>
      </c>
      <c r="NU28" s="5">
        <f>IF(ISERROR(LOOKUP(NU$1,$S28:$HK28,csv!$L28:$HD28)),NA(),LOOKUP(NU$1,$S28:$HK28,csv!$L28:$HD28))</f>
        <v>0</v>
      </c>
      <c r="NV28" s="5">
        <f>IF(ISERROR(LOOKUP(NV$1,$S28:$HK28,csv!$L28:$HD28)),NA(),LOOKUP(NV$1,$S28:$HK28,csv!$L28:$HD28))</f>
        <v>0</v>
      </c>
      <c r="NW28" s="5">
        <f>IF(ISERROR(LOOKUP(NW$1,$S28:$HK28,csv!$L28:$HD28)),NA(),LOOKUP(NW$1,$S28:$HK28,csv!$L28:$HD28))</f>
        <v>0</v>
      </c>
      <c r="NX28" s="5">
        <f>IF(ISERROR(LOOKUP(NX$1,$S28:$HK28,csv!$L28:$HD28)),NA(),LOOKUP(NX$1,$S28:$HK28,csv!$L28:$HD28))</f>
        <v>0</v>
      </c>
      <c r="NY28" s="5">
        <f>IF(ISERROR(LOOKUP(NY$1,$S28:$HK28,csv!$L28:$HD28)),NA(),LOOKUP(NY$1,$S28:$HK28,csv!$L28:$HD28))</f>
        <v>0</v>
      </c>
      <c r="NZ28" s="5">
        <f>IF(ISERROR(LOOKUP(NZ$1,$S28:$HK28,csv!$L28:$HD28)),NA(),LOOKUP(NZ$1,$S28:$HK28,csv!$L28:$HD28))</f>
        <v>0</v>
      </c>
      <c r="OA28" s="5">
        <f>IF(ISERROR(LOOKUP(OA$1,$S28:$HK28,csv!$L28:$HD28)),NA(),LOOKUP(OA$1,$S28:$HK28,csv!$L28:$HD28))</f>
        <v>0</v>
      </c>
      <c r="OB28" s="5">
        <f>IF(ISERROR(LOOKUP(OB$1,$S28:$HK28,csv!$L28:$HD28)),NA(),LOOKUP(OB$1,$S28:$HK28,csv!$L28:$HD28))</f>
        <v>0</v>
      </c>
      <c r="OC28" s="5">
        <f>IF(ISERROR(LOOKUP(OC$1,$S28:$HK28,csv!$L28:$HD28)),NA(),LOOKUP(OC$1,$S28:$HK28,csv!$L28:$HD28))</f>
        <v>0</v>
      </c>
      <c r="OD28" s="5">
        <f>IF(ISERROR(LOOKUP(OD$1,$S28:$HK28,csv!$L28:$HD28)),NA(),LOOKUP(OD$1,$S28:$HK28,csv!$L28:$HD28))</f>
        <v>0</v>
      </c>
      <c r="OE28" s="5">
        <f>IF(ISERROR(LOOKUP(OE$1,$S28:$HK28,csv!$L28:$HD28)),NA(),LOOKUP(OE$1,$S28:$HK28,csv!$L28:$HD28))</f>
        <v>0</v>
      </c>
      <c r="OF28" s="5">
        <f>IF(ISERROR(LOOKUP(OF$1,$S28:$HK28,csv!$L28:$HD28)),NA(),LOOKUP(OF$1,$S28:$HK28,csv!$L28:$HD28))</f>
        <v>0</v>
      </c>
      <c r="OG28" s="5">
        <f>IF(ISERROR(LOOKUP(OG$1,$S28:$HK28,csv!$L28:$HD28)),NA(),LOOKUP(OG$1,$S28:$HK28,csv!$L28:$HD28))</f>
        <v>0</v>
      </c>
      <c r="OH28" s="5">
        <f>IF(ISERROR(LOOKUP(OH$1,$S28:$HK28,csv!$L28:$HD28)),NA(),LOOKUP(OH$1,$S28:$HK28,csv!$L28:$HD28))</f>
        <v>0</v>
      </c>
      <c r="OI28" s="5">
        <f>IF(ISERROR(LOOKUP(OI$1,$S28:$HK28,csv!$L28:$HD28)),NA(),LOOKUP(OI$1,$S28:$HK28,csv!$L28:$HD28))</f>
        <v>0</v>
      </c>
      <c r="OJ28" s="5">
        <f>IF(ISERROR(LOOKUP(OJ$1,$S28:$HK28,csv!$L28:$HD28)),NA(),LOOKUP(OJ$1,$S28:$HK28,csv!$L28:$HD28))</f>
        <v>0</v>
      </c>
      <c r="OK28" s="5">
        <f>IF(ISERROR(LOOKUP(OK$1,$S28:$HK28,csv!$L28:$HD28)),NA(),LOOKUP(OK$1,$S28:$HK28,csv!$L28:$HD28))</f>
        <v>0</v>
      </c>
      <c r="OL28" s="5">
        <f>IF(ISERROR(LOOKUP(OL$1,$S28:$HK28,csv!$L28:$HD28)),NA(),LOOKUP(OL$1,$S28:$HK28,csv!$L28:$HD28))</f>
        <v>0</v>
      </c>
      <c r="OM28" s="5">
        <f>IF(ISERROR(LOOKUP(OM$1,$S28:$HK28,csv!$L28:$HD28)),NA(),LOOKUP(OM$1,$S28:$HK28,csv!$L28:$HD28))</f>
        <v>0</v>
      </c>
      <c r="ON28" s="5">
        <f>IF(ISERROR(LOOKUP(ON$1,$S28:$HK28,csv!$L28:$HD28)),NA(),LOOKUP(ON$1,$S28:$HK28,csv!$L28:$HD28))</f>
        <v>0</v>
      </c>
      <c r="OO28" s="5">
        <f>IF(ISERROR(LOOKUP(OO$1,$S28:$HK28,csv!$L28:$HD28)),NA(),LOOKUP(OO$1,$S28:$HK28,csv!$L28:$HD28))</f>
        <v>0</v>
      </c>
      <c r="OP28" s="5">
        <f>IF(ISERROR(LOOKUP(OP$1,$S28:$HK28,csv!$L28:$HD28)),NA(),LOOKUP(OP$1,$S28:$HK28,csv!$L28:$HD28))</f>
        <v>0</v>
      </c>
      <c r="OQ28" s="5">
        <f>IF(ISERROR(LOOKUP(OQ$1,$S28:$HK28,csv!$L28:$HD28)),NA(),LOOKUP(OQ$1,$S28:$HK28,csv!$L28:$HD28))</f>
        <v>0</v>
      </c>
      <c r="OR28" s="5">
        <f>IF(ISERROR(LOOKUP(OR$1,$S28:$HK28,csv!$L28:$HD28)),NA(),LOOKUP(OR$1,$S28:$HK28,csv!$L28:$HD28))</f>
        <v>0</v>
      </c>
      <c r="OS28" s="5">
        <f>IF(ISERROR(LOOKUP(OS$1,$S28:$HK28,csv!$L28:$HD28)),NA(),LOOKUP(OS$1,$S28:$HK28,csv!$L28:$HD28))</f>
        <v>0</v>
      </c>
      <c r="OT28" s="5">
        <f>IF(ISERROR(LOOKUP(OT$1,$S28:$HK28,csv!$L28:$HD28)),NA(),LOOKUP(OT$1,$S28:$HK28,csv!$L28:$HD28))</f>
        <v>0</v>
      </c>
      <c r="OU28" s="5">
        <f>IF(ISERROR(LOOKUP(OU$1,$S28:$HK28,csv!$L28:$HD28)),NA(),LOOKUP(OU$1,$S28:$HK28,csv!$L28:$HD28))</f>
        <v>0</v>
      </c>
      <c r="OV28" s="5">
        <f>IF(ISERROR(LOOKUP(OV$1,$S28:$HK28,csv!$L28:$HD28)),NA(),LOOKUP(OV$1,$S28:$HK28,csv!$L28:$HD28))</f>
        <v>0</v>
      </c>
      <c r="OW28" s="5">
        <f>IF(ISERROR(LOOKUP(OW$1,$S28:$HK28,csv!$L28:$HD28)),NA(),LOOKUP(OW$1,$S28:$HK28,csv!$L28:$HD28))</f>
        <v>0</v>
      </c>
      <c r="OX28" s="5">
        <f>IF(ISERROR(LOOKUP(OX$1,$S28:$HK28,csv!$L28:$HD28)),NA(),LOOKUP(OX$1,$S28:$HK28,csv!$L28:$HD28))</f>
        <v>0</v>
      </c>
      <c r="OY28" s="5">
        <f>IF(ISERROR(LOOKUP(OY$1,$S28:$HK28,csv!$L28:$HD28)),NA(),LOOKUP(OY$1,$S28:$HK28,csv!$L28:$HD28))</f>
        <v>0</v>
      </c>
      <c r="OZ28" s="5">
        <f>IF(ISERROR(LOOKUP(OZ$1,$S28:$HK28,csv!$L28:$HD28)),NA(),LOOKUP(OZ$1,$S28:$HK28,csv!$L28:$HD28))</f>
        <v>0</v>
      </c>
      <c r="PA28" s="5">
        <f>IF(ISERROR(LOOKUP(PA$1,$S28:$HK28,csv!$L28:$HD28)),NA(),LOOKUP(PA$1,$S28:$HK28,csv!$L28:$HD28))</f>
        <v>0</v>
      </c>
      <c r="PB28" s="5">
        <f>IF(ISERROR(LOOKUP(PB$1,$S28:$HK28,csv!$L28:$HD28)),NA(),LOOKUP(PB$1,$S28:$HK28,csv!$L28:$HD28))</f>
        <v>0</v>
      </c>
      <c r="PC28" s="5">
        <f>IF(ISERROR(LOOKUP(PC$1,$S28:$HK28,csv!$L28:$HD28)),NA(),LOOKUP(PC$1,$S28:$HK28,csv!$L28:$HD28))</f>
        <v>0</v>
      </c>
      <c r="PD28" s="5">
        <f>IF(ISERROR(LOOKUP(PD$1,$S28:$HK28,csv!$L28:$HD28)),NA(),LOOKUP(PD$1,$S28:$HK28,csv!$L28:$HD28))</f>
        <v>0</v>
      </c>
      <c r="PE28" s="5">
        <f>IF(ISERROR(LOOKUP(PE$1,$S28:$HK28,csv!$L28:$HD28)),NA(),LOOKUP(PE$1,$S28:$HK28,csv!$L28:$HD28))</f>
        <v>0</v>
      </c>
      <c r="PF28" s="5">
        <f>IF(ISERROR(LOOKUP(PF$1,$S28:$HK28,csv!$L28:$HD28)),NA(),LOOKUP(PF$1,$S28:$HK28,csv!$L28:$HD28))</f>
        <v>0</v>
      </c>
      <c r="PG28" s="5">
        <f>IF(ISERROR(LOOKUP(PG$1,$S28:$HK28,csv!$L28:$HD28)),NA(),LOOKUP(PG$1,$S28:$HK28,csv!$L28:$HD28))</f>
        <v>0</v>
      </c>
      <c r="PH28" s="5">
        <f>IF(ISERROR(LOOKUP(PH$1,$S28:$HK28,csv!$L28:$HD28)),NA(),LOOKUP(PH$1,$S28:$HK28,csv!$L28:$HD28))</f>
        <v>0</v>
      </c>
      <c r="PI28" s="5">
        <f>IF(ISERROR(LOOKUP(PI$1,$S28:$HK28,csv!$L28:$HD28)),NA(),LOOKUP(PI$1,$S28:$HK28,csv!$L28:$HD28))</f>
        <v>0</v>
      </c>
      <c r="PJ28" s="5">
        <f>IF(ISERROR(LOOKUP(PJ$1,$S28:$HK28,csv!$L28:$HD28)),NA(),LOOKUP(PJ$1,$S28:$HK28,csv!$L28:$HD28))</f>
        <v>0</v>
      </c>
      <c r="PK28" s="5">
        <f>IF(ISERROR(LOOKUP(PK$1,$S28:$HK28,csv!$L28:$HD28)),NA(),LOOKUP(PK$1,$S28:$HK28,csv!$L28:$HD28))</f>
        <v>0</v>
      </c>
      <c r="PL28" s="5">
        <f>IF(ISERROR(LOOKUP(PL$1,$S28:$HK28,csv!$L28:$HD28)),NA(),LOOKUP(PL$1,$S28:$HK28,csv!$L28:$HD28))</f>
        <v>0</v>
      </c>
      <c r="PM28" s="5">
        <f>IF(ISERROR(LOOKUP(PM$1,$S28:$HK28,csv!$L28:$HD28)),NA(),LOOKUP(PM$1,$S28:$HK28,csv!$L28:$HD28))</f>
        <v>0</v>
      </c>
      <c r="PN28" s="5">
        <f>IF(ISERROR(LOOKUP(PN$1,$S28:$HK28,csv!$L28:$HD28)),NA(),LOOKUP(PN$1,$S28:$HK28,csv!$L28:$HD28))</f>
        <v>0</v>
      </c>
      <c r="PO28" s="5">
        <f>IF(ISERROR(LOOKUP(PO$1,$S28:$HK28,csv!$L28:$HD28)),NA(),LOOKUP(PO$1,$S28:$HK28,csv!$L28:$HD28))</f>
        <v>0</v>
      </c>
      <c r="PP28" s="5">
        <f>IF(ISERROR(LOOKUP(PP$1,$S28:$HK28,csv!$L28:$HD28)),NA(),LOOKUP(PP$1,$S28:$HK28,csv!$L28:$HD28))</f>
        <v>0</v>
      </c>
      <c r="PQ28" s="5">
        <f>IF(ISERROR(LOOKUP(PQ$1,$S28:$HK28,csv!$L28:$HD28)),NA(),LOOKUP(PQ$1,$S28:$HK28,csv!$L28:$HD28))</f>
        <v>0</v>
      </c>
      <c r="PR28" s="5">
        <f>IF(ISERROR(LOOKUP(PR$1,$S28:$HK28,csv!$L28:$HD28)),NA(),LOOKUP(PR$1,$S28:$HK28,csv!$L28:$HD28))</f>
        <v>0</v>
      </c>
      <c r="PS28" s="5">
        <f>IF(ISERROR(LOOKUP(PS$1,$S28:$HK28,csv!$L28:$HD28)),NA(),LOOKUP(PS$1,$S28:$HK28,csv!$L28:$HD28))</f>
        <v>0</v>
      </c>
      <c r="PT28" s="5">
        <f>IF(ISERROR(LOOKUP(PT$1,$S28:$HK28,csv!$L28:$HD28)),NA(),LOOKUP(PT$1,$S28:$HK28,csv!$L28:$HD28))</f>
        <v>0</v>
      </c>
      <c r="PU28" s="5">
        <f>IF(ISERROR(LOOKUP(PU$1,$S28:$HK28,csv!$L28:$HD28)),NA(),LOOKUP(PU$1,$S28:$HK28,csv!$L28:$HD28))</f>
        <v>0</v>
      </c>
      <c r="PV28" s="5">
        <f>IF(ISERROR(LOOKUP(PV$1,$S28:$HK28,csv!$L28:$HD28)),NA(),LOOKUP(PV$1,$S28:$HK28,csv!$L28:$HD28))</f>
        <v>0</v>
      </c>
      <c r="PW28" s="5">
        <f>IF(ISERROR(LOOKUP(PW$1,$S28:$HK28,csv!$L28:$HD28)),NA(),LOOKUP(PW$1,$S28:$HK28,csv!$L28:$HD28))</f>
        <v>0</v>
      </c>
      <c r="PX28" s="5">
        <f>IF(ISERROR(LOOKUP(PX$1,$S28:$HK28,csv!$L28:$HD28)),NA(),LOOKUP(PX$1,$S28:$HK28,csv!$L28:$HD28))</f>
        <v>0</v>
      </c>
      <c r="PY28" s="5">
        <f>IF(ISERROR(LOOKUP(PY$1,$S28:$HK28,csv!$L28:$HD28)),NA(),LOOKUP(PY$1,$S28:$HK28,csv!$L28:$HD28))</f>
        <v>0</v>
      </c>
      <c r="PZ28" s="5">
        <f>IF(ISERROR(LOOKUP(PZ$1,$S28:$HK28,csv!$L28:$HD28)),NA(),LOOKUP(PZ$1,$S28:$HK28,csv!$L28:$HD28))</f>
        <v>0</v>
      </c>
      <c r="QA28" s="5">
        <f>IF(ISERROR(LOOKUP(QA$1,$S28:$HK28,csv!$L28:$HD28)),NA(),LOOKUP(QA$1,$S28:$HK28,csv!$L28:$HD28))</f>
        <v>0</v>
      </c>
      <c r="QB28" s="5">
        <f>IF(ISERROR(LOOKUP(QB$1,$S28:$HK28,csv!$L28:$HD28)),NA(),LOOKUP(QB$1,$S28:$HK28,csv!$L28:$HD28))</f>
        <v>0</v>
      </c>
      <c r="QC28" s="5">
        <f>IF(ISERROR(LOOKUP(QC$1,$S28:$HK28,csv!$L28:$HD28)),NA(),LOOKUP(QC$1,$S28:$HK28,csv!$L28:$HD28))</f>
        <v>0</v>
      </c>
      <c r="QD28" s="5">
        <f>IF(ISERROR(LOOKUP(QD$1,$S28:$HK28,csv!$L28:$HD28)),NA(),LOOKUP(QD$1,$S28:$HK28,csv!$L28:$HD28))</f>
        <v>0</v>
      </c>
      <c r="QE28" s="5">
        <f>IF(ISERROR(LOOKUP(QE$1,$S28:$HK28,csv!$L28:$HD28)),NA(),LOOKUP(QE$1,$S28:$HK28,csv!$L28:$HD28))</f>
        <v>0</v>
      </c>
      <c r="QF28" s="5">
        <f>IF(ISERROR(LOOKUP(QF$1,$S28:$HK28,csv!$L28:$HD28)),NA(),LOOKUP(QF$1,$S28:$HK28,csv!$L28:$HD28))</f>
        <v>0</v>
      </c>
      <c r="QG28" s="5">
        <f>IF(ISERROR(LOOKUP(QG$1,$S28:$HK28,csv!$L28:$HD28)),NA(),LOOKUP(QG$1,$S28:$HK28,csv!$L28:$HD28))</f>
        <v>0</v>
      </c>
      <c r="QH28" s="5">
        <f>IF(ISERROR(LOOKUP(QH$1,$S28:$HK28,csv!$L28:$HD28)),NA(),LOOKUP(QH$1,$S28:$HK28,csv!$L28:$HD28))</f>
        <v>0</v>
      </c>
      <c r="QI28" s="5">
        <f>IF(ISERROR(LOOKUP(QI$1,$S28:$HK28,csv!$L28:$HD28)),NA(),LOOKUP(QI$1,$S28:$HK28,csv!$L28:$HD28))</f>
        <v>0</v>
      </c>
      <c r="QJ28" s="5">
        <f>IF(ISERROR(LOOKUP(QJ$1,$S28:$HK28,csv!$L28:$HD28)),NA(),LOOKUP(QJ$1,$S28:$HK28,csv!$L28:$HD28))</f>
        <v>0</v>
      </c>
      <c r="QK28" s="5">
        <f>IF(ISERROR(LOOKUP(QK$1,$S28:$HK28,csv!$L28:$HD28)),NA(),LOOKUP(QK$1,$S28:$HK28,csv!$L28:$HD28))</f>
        <v>0</v>
      </c>
      <c r="QL28" s="5">
        <f>IF(ISERROR(LOOKUP(QL$1,$S28:$HK28,csv!$L28:$HD28)),NA(),LOOKUP(QL$1,$S28:$HK28,csv!$L28:$HD28))</f>
        <v>0</v>
      </c>
      <c r="QM28" s="5">
        <f>IF(ISERROR(LOOKUP(QM$1,$S28:$HK28,csv!$L28:$HD28)),NA(),LOOKUP(QM$1,$S28:$HK28,csv!$L28:$HD28))</f>
        <v>0</v>
      </c>
      <c r="QN28" s="5">
        <f>IF(ISERROR(LOOKUP(QN$1,$S28:$HK28,csv!$L28:$HD28)),NA(),LOOKUP(QN$1,$S28:$HK28,csv!$L28:$HD28))</f>
        <v>0</v>
      </c>
      <c r="QO28" s="5">
        <f>IF(ISERROR(LOOKUP(QO$1,$S28:$HK28,csv!$L28:$HD28)),NA(),LOOKUP(QO$1,$S28:$HK28,csv!$L28:$HD28))</f>
        <v>0</v>
      </c>
      <c r="QP28" s="5">
        <f>IF(ISERROR(LOOKUP(QP$1,$S28:$HK28,csv!$L28:$HD28)),NA(),LOOKUP(QP$1,$S28:$HK28,csv!$L28:$HD28))</f>
        <v>0</v>
      </c>
      <c r="QQ28" s="5">
        <f>IF(ISERROR(LOOKUP(QQ$1,$S28:$HK28,csv!$L28:$HD28)),NA(),LOOKUP(QQ$1,$S28:$HK28,csv!$L28:$HD28))</f>
        <v>0</v>
      </c>
      <c r="QR28" s="5">
        <f>IF(ISERROR(LOOKUP(QR$1,$S28:$HK28,csv!$L28:$HD28)),NA(),LOOKUP(QR$1,$S28:$HK28,csv!$L28:$HD28))</f>
        <v>0</v>
      </c>
      <c r="QS28" s="5">
        <f>IF(ISERROR(LOOKUP(QS$1,$S28:$HK28,csv!$L28:$HD28)),NA(),LOOKUP(QS$1,$S28:$HK28,csv!$L28:$HD28))</f>
        <v>0</v>
      </c>
      <c r="QT28" s="5">
        <f>IF(ISERROR(LOOKUP(QT$1,$S28:$HK28,csv!$L28:$HD28)),NA(),LOOKUP(QT$1,$S28:$HK28,csv!$L28:$HD28))</f>
        <v>0</v>
      </c>
      <c r="QU28" s="5">
        <f>IF(ISERROR(LOOKUP(QU$1,$S28:$HK28,csv!$L28:$HD28)),NA(),LOOKUP(QU$1,$S28:$HK28,csv!$L28:$HD28))</f>
        <v>0</v>
      </c>
      <c r="QV28" s="5">
        <f>IF(ISERROR(LOOKUP(QV$1,$S28:$HK28,csv!$L28:$HD28)),NA(),LOOKUP(QV$1,$S28:$HK28,csv!$L28:$HD28))</f>
        <v>0</v>
      </c>
      <c r="QW28" s="5">
        <f>IF(ISERROR(LOOKUP(QW$1,$S28:$HK28,csv!$L28:$HD28)),NA(),LOOKUP(QW$1,$S28:$HK28,csv!$L28:$HD28))</f>
        <v>0</v>
      </c>
      <c r="QX28" s="5">
        <f>IF(ISERROR(LOOKUP(QX$1,$S28:$HK28,csv!$L28:$HD28)),NA(),LOOKUP(QX$1,$S28:$HK28,csv!$L28:$HD28))</f>
        <v>0</v>
      </c>
      <c r="QY28" s="5">
        <f>IF(ISERROR(LOOKUP(QY$1,$S28:$HK28,csv!$L28:$HD28)),NA(),LOOKUP(QY$1,$S28:$HK28,csv!$L28:$HD28))</f>
        <v>0</v>
      </c>
      <c r="QZ28" s="5">
        <f>IF(ISERROR(LOOKUP(QZ$1,$S28:$HK28,csv!$L28:$HD28)),NA(),LOOKUP(QZ$1,$S28:$HK28,csv!$L28:$HD28))</f>
        <v>0</v>
      </c>
      <c r="RA28" s="5">
        <f>IF(ISERROR(LOOKUP(RA$1,$S28:$HK28,csv!$L28:$HD28)),NA(),LOOKUP(RA$1,$S28:$HK28,csv!$L28:$HD28))</f>
        <v>0</v>
      </c>
      <c r="RB28" s="5">
        <f>IF(ISERROR(LOOKUP(RB$1,$S28:$HK28,csv!$L28:$HD28)),NA(),LOOKUP(RB$1,$S28:$HK28,csv!$L28:$HD28))</f>
        <v>0</v>
      </c>
      <c r="RC28" s="5">
        <f>IF(ISERROR(LOOKUP(RC$1,$S28:$HK28,csv!$L28:$HD28)),NA(),LOOKUP(RC$1,$S28:$HK28,csv!$L28:$HD28))</f>
        <v>0</v>
      </c>
      <c r="RD28" s="5">
        <f>IF(ISERROR(LOOKUP(RD$1,$S28:$HK28,csv!$L28:$HD28)),NA(),LOOKUP(RD$1,$S28:$HK28,csv!$L28:$HD28))</f>
        <v>0</v>
      </c>
      <c r="RE28" s="5">
        <f>IF(ISERROR(LOOKUP(RE$1,$S28:$HK28,csv!$L28:$HD28)),NA(),LOOKUP(RE$1,$S28:$HK28,csv!$L28:$HD28))</f>
        <v>0</v>
      </c>
      <c r="RF28" s="5">
        <f>IF(ISERROR(LOOKUP(RF$1,$S28:$HK28,csv!$L28:$HD28)),NA(),LOOKUP(RF$1,$S28:$HK28,csv!$L28:$HD28))</f>
        <v>0</v>
      </c>
      <c r="RG28" s="5">
        <f>IF(ISERROR(LOOKUP(RG$1,$S28:$HK28,csv!$L28:$HD28)),NA(),LOOKUP(RG$1,$S28:$HK28,csv!$L28:$HD28))</f>
        <v>0</v>
      </c>
      <c r="RH28" s="5">
        <f>IF(ISERROR(LOOKUP(RH$1,$S28:$HK28,csv!$L28:$HD28)),NA(),LOOKUP(RH$1,$S28:$HK28,csv!$L28:$HD28))</f>
        <v>0</v>
      </c>
      <c r="RI28" s="5">
        <f>IF(ISERROR(LOOKUP(RI$1,$S28:$HK28,csv!$L28:$HD28)),NA(),LOOKUP(RI$1,$S28:$HK28,csv!$L28:$HD28))</f>
        <v>0</v>
      </c>
      <c r="RJ28" s="5">
        <f>IF(ISERROR(LOOKUP(RJ$1,$S28:$HK28,csv!$L28:$HD28)),NA(),LOOKUP(RJ$1,$S28:$HK28,csv!$L28:$HD28))</f>
        <v>0</v>
      </c>
      <c r="RK28" s="5">
        <f>IF(ISERROR(LOOKUP(RK$1,$S28:$HK28,csv!$L28:$HD28)),NA(),LOOKUP(RK$1,$S28:$HK28,csv!$L28:$HD28))</f>
        <v>0</v>
      </c>
      <c r="RL28" s="5">
        <f>IF(ISERROR(LOOKUP(RL$1,$S28:$HK28,csv!$L28:$HD28)),NA(),LOOKUP(RL$1,$S28:$HK28,csv!$L28:$HD28))</f>
        <v>0</v>
      </c>
      <c r="RM28" s="5">
        <f>IF(ISERROR(LOOKUP(RM$1,$S28:$HK28,csv!$L28:$HD28)),NA(),LOOKUP(RM$1,$S28:$HK28,csv!$L28:$HD28))</f>
        <v>0</v>
      </c>
      <c r="RN28" s="5">
        <f>IF(ISERROR(LOOKUP(RN$1,$S28:$HK28,csv!$L28:$HD28)),NA(),LOOKUP(RN$1,$S28:$HK28,csv!$L28:$HD28))</f>
        <v>0</v>
      </c>
      <c r="RO28" s="5">
        <f>IF(ISERROR(LOOKUP(RO$1,$S28:$HK28,csv!$L28:$HD28)),NA(),LOOKUP(RO$1,$S28:$HK28,csv!$L28:$HD28))</f>
        <v>0</v>
      </c>
      <c r="RP28" s="5">
        <f>IF(ISERROR(LOOKUP(RP$1,$S28:$HK28,csv!$L28:$HD28)),NA(),LOOKUP(RP$1,$S28:$HK28,csv!$L28:$HD28))</f>
        <v>0</v>
      </c>
      <c r="RQ28" s="5">
        <f>IF(ISERROR(LOOKUP(RQ$1,$S28:$HK28,csv!$L28:$HD28)),NA(),LOOKUP(RQ$1,$S28:$HK28,csv!$L28:$HD28))</f>
        <v>0</v>
      </c>
      <c r="RR28" s="5">
        <f>IF(ISERROR(LOOKUP(RR$1,$S28:$HK28,csv!$L28:$HD28)),NA(),LOOKUP(RR$1,$S28:$HK28,csv!$L28:$HD28))</f>
        <v>0</v>
      </c>
      <c r="RS28" s="5">
        <f>IF(ISERROR(LOOKUP(RS$1,$S28:$HK28,csv!$L28:$HD28)),NA(),LOOKUP(RS$1,$S28:$HK28,csv!$L28:$HD28))</f>
        <v>0</v>
      </c>
      <c r="RT28" s="5">
        <f>IF(ISERROR(LOOKUP(RT$1,$S28:$HK28,csv!$L28:$HD28)),NA(),LOOKUP(RT$1,$S28:$HK28,csv!$L28:$HD28))</f>
        <v>0</v>
      </c>
      <c r="RU28" s="5">
        <f>IF(ISERROR(LOOKUP(RU$1,$S28:$HK28,csv!$L28:$HD28)),NA(),LOOKUP(RU$1,$S28:$HK28,csv!$L28:$HD28))</f>
        <v>0</v>
      </c>
      <c r="RV28" s="5">
        <f>IF(ISERROR(LOOKUP(RV$1,$S28:$HK28,csv!$L28:$HD28)),NA(),LOOKUP(RV$1,$S28:$HK28,csv!$L28:$HD28))</f>
        <v>0</v>
      </c>
      <c r="RW28" s="5">
        <f>IF(ISERROR(LOOKUP(RW$1,$S28:$HK28,csv!$L28:$HD28)),NA(),LOOKUP(RW$1,$S28:$HK28,csv!$L28:$HD28))</f>
        <v>0</v>
      </c>
      <c r="RX28" s="5">
        <f>IF(ISERROR(LOOKUP(RX$1,$S28:$HK28,csv!$L28:$HD28)),NA(),LOOKUP(RX$1,$S28:$HK28,csv!$L28:$HD28))</f>
        <v>0</v>
      </c>
      <c r="RY28" s="5">
        <f>IF(ISERROR(LOOKUP(RY$1,$S28:$HK28,csv!$L28:$HD28)),NA(),LOOKUP(RY$1,$S28:$HK28,csv!$L28:$HD28))</f>
        <v>0</v>
      </c>
      <c r="RZ28" s="5">
        <f>IF(ISERROR(LOOKUP(RZ$1,$S28:$HK28,csv!$L28:$HD28)),NA(),LOOKUP(RZ$1,$S28:$HK28,csv!$L28:$HD28))</f>
        <v>0</v>
      </c>
      <c r="SA28" s="5">
        <f>IF(ISERROR(LOOKUP(SA$1,$S28:$HK28,csv!$L28:$HD28)),NA(),LOOKUP(SA$1,$S28:$HK28,csv!$L28:$HD28))</f>
        <v>0</v>
      </c>
      <c r="SB28" s="5">
        <f>IF(ISERROR(LOOKUP(SB$1,$S28:$HK28,csv!$L28:$HD28)),NA(),LOOKUP(SB$1,$S28:$HK28,csv!$L28:$HD28))</f>
        <v>0</v>
      </c>
      <c r="SC28" s="5">
        <f>IF(ISERROR(LOOKUP(SC$1,$S28:$HK28,csv!$L28:$HD28)),NA(),LOOKUP(SC$1,$S28:$HK28,csv!$L28:$HD28))</f>
        <v>0</v>
      </c>
      <c r="SD28" s="5">
        <f>IF(ISERROR(LOOKUP(SD$1,$S28:$HK28,csv!$L28:$HD28)),NA(),LOOKUP(SD$1,$S28:$HK28,csv!$L28:$HD28))</f>
        <v>0</v>
      </c>
      <c r="SE28" s="5">
        <f>IF(ISERROR(LOOKUP(SE$1,$S28:$HK28,csv!$L28:$HD28)),NA(),LOOKUP(SE$1,$S28:$HK28,csv!$L28:$HD28))</f>
        <v>0</v>
      </c>
      <c r="SF28" s="5">
        <f>IF(ISERROR(LOOKUP(SF$1,$S28:$HK28,csv!$L28:$HD28)),NA(),LOOKUP(SF$1,$S28:$HK28,csv!$L28:$HD28))</f>
        <v>0</v>
      </c>
      <c r="SG28" s="5">
        <f>IF(ISERROR(LOOKUP(SG$1,$S28:$HK28,csv!$L28:$HD28)),NA(),LOOKUP(SG$1,$S28:$HK28,csv!$L28:$HD28))</f>
        <v>0</v>
      </c>
      <c r="SH28" s="5">
        <f>IF(ISERROR(LOOKUP(SH$1,$S28:$HK28,csv!$L28:$HD28)),NA(),LOOKUP(SH$1,$S28:$HK28,csv!$L28:$HD28))</f>
        <v>0</v>
      </c>
      <c r="SI28" s="5">
        <f>IF(ISERROR(LOOKUP(SI$1,$S28:$HK28,csv!$L28:$HD28)),NA(),LOOKUP(SI$1,$S28:$HK28,csv!$L28:$HD28))</f>
        <v>0</v>
      </c>
      <c r="SJ28" s="5">
        <f>IF(ISERROR(LOOKUP(SJ$1,$S28:$HK28,csv!$L28:$HD28)),NA(),LOOKUP(SJ$1,$S28:$HK28,csv!$L28:$HD28))</f>
        <v>0</v>
      </c>
      <c r="SK28" s="5">
        <f>IF(ISERROR(LOOKUP(SK$1,$S28:$HK28,csv!$L28:$HD28)),NA(),LOOKUP(SK$1,$S28:$HK28,csv!$L28:$HD28))</f>
        <v>0</v>
      </c>
      <c r="SL28" s="5">
        <f>IF(ISERROR(LOOKUP(SL$1,$S28:$HK28,csv!$L28:$HD28)),NA(),LOOKUP(SL$1,$S28:$HK28,csv!$L28:$HD28))</f>
        <v>0</v>
      </c>
      <c r="SM28" s="5">
        <f>IF(ISERROR(LOOKUP(SM$1,$S28:$HK28,csv!$L28:$HD28)),NA(),LOOKUP(SM$1,$S28:$HK28,csv!$L28:$HD28))</f>
        <v>0</v>
      </c>
      <c r="SN28" s="5">
        <f>IF(ISERROR(LOOKUP(SN$1,$S28:$HK28,csv!$L28:$HD28)),NA(),LOOKUP(SN$1,$S28:$HK28,csv!$L28:$HD28))</f>
        <v>0</v>
      </c>
      <c r="SO28" s="5">
        <f>IF(ISERROR(LOOKUP(SO$1,$S28:$HK28,csv!$L28:$HD28)),NA(),LOOKUP(SO$1,$S28:$HK28,csv!$L28:$HD28))</f>
        <v>0</v>
      </c>
      <c r="SP28" s="5">
        <f>IF(ISERROR(LOOKUP(SP$1,$S28:$HK28,csv!$L28:$HD28)),NA(),LOOKUP(SP$1,$S28:$HK28,csv!$L28:$HD28))</f>
        <v>0</v>
      </c>
      <c r="SQ28" s="5">
        <f>IF(ISERROR(LOOKUP(SQ$1,$S28:$HK28,csv!$L28:$HD28)),NA(),LOOKUP(SQ$1,$S28:$HK28,csv!$L28:$HD28))</f>
        <v>0</v>
      </c>
      <c r="SR28" s="5">
        <f>IF(ISERROR(LOOKUP(SR$1,$S28:$HK28,csv!$L28:$HD28)),NA(),LOOKUP(SR$1,$S28:$HK28,csv!$L28:$HD28))</f>
        <v>0</v>
      </c>
      <c r="SS28" s="5">
        <f>IF(ISERROR(LOOKUP(SS$1,$S28:$HK28,csv!$L28:$HD28)),NA(),LOOKUP(SS$1,$S28:$HK28,csv!$L28:$HD28))</f>
        <v>0</v>
      </c>
      <c r="ST28" s="5">
        <f>IF(ISERROR(LOOKUP(ST$1,$S28:$HK28,csv!$L28:$HD28)),NA(),LOOKUP(ST$1,$S28:$HK28,csv!$L28:$HD28))</f>
        <v>0</v>
      </c>
      <c r="SU28" s="5">
        <f>IF(ISERROR(LOOKUP(SU$1,$S28:$HK28,csv!$L28:$HD28)),NA(),LOOKUP(SU$1,$S28:$HK28,csv!$L28:$HD28))</f>
        <v>0</v>
      </c>
      <c r="SV28" s="5">
        <f>IF(ISERROR(LOOKUP(SV$1,$S28:$HK28,csv!$L28:$HD28)),NA(),LOOKUP(SV$1,$S28:$HK28,csv!$L28:$HD28))</f>
        <v>0</v>
      </c>
      <c r="SW28" s="5">
        <f>IF(ISERROR(LOOKUP(SW$1,$S28:$HK28,csv!$L28:$HD28)),NA(),LOOKUP(SW$1,$S28:$HK28,csv!$L28:$HD28))</f>
        <v>0</v>
      </c>
      <c r="SX28" s="5">
        <f>IF(ISERROR(LOOKUP(SX$1,$S28:$HK28,csv!$L28:$HD28)),NA(),LOOKUP(SX$1,$S28:$HK28,csv!$L28:$HD28))</f>
        <v>0</v>
      </c>
      <c r="SY28" s="5">
        <f>IF(ISERROR(LOOKUP(SY$1,$S28:$HK28,csv!$L28:$HD28)),NA(),LOOKUP(SY$1,$S28:$HK28,csv!$L28:$HD28))</f>
        <v>0</v>
      </c>
      <c r="SZ28" s="5">
        <f>IF(ISERROR(LOOKUP(SZ$1,$S28:$HK28,csv!$L28:$HD28)),NA(),LOOKUP(SZ$1,$S28:$HK28,csv!$L28:$HD28))</f>
        <v>0</v>
      </c>
      <c r="TA28" s="5">
        <f>IF(ISERROR(LOOKUP(TA$1,$S28:$HK28,csv!$L28:$HD28)),NA(),LOOKUP(TA$1,$S28:$HK28,csv!$L28:$HD28))</f>
        <v>0</v>
      </c>
      <c r="TB28" s="5">
        <f>IF(ISERROR(LOOKUP(TB$1,$S28:$HK28,csv!$L28:$HD28)),NA(),LOOKUP(TB$1,$S28:$HK28,csv!$L28:$HD28))</f>
        <v>0</v>
      </c>
      <c r="TD28">
        <f>csv!HG28/10</f>
        <v>0</v>
      </c>
    </row>
    <row r="29" spans="3:524" x14ac:dyDescent="0.15">
      <c r="S29" s="4">
        <f>ROUND((csv!$HG29/10+calc!S$1),1)</f>
        <v>-10</v>
      </c>
      <c r="T29" s="4">
        <f>ROUND((csv!$HG29/10+calc!T$1),1)</f>
        <v>-9.9</v>
      </c>
      <c r="U29" s="4">
        <f>ROUND((csv!$HG29/10+calc!U$1),1)</f>
        <v>-9.8000000000000007</v>
      </c>
      <c r="V29" s="4">
        <f>ROUND((csv!$HG29/10+calc!V$1),1)</f>
        <v>-9.6999999999999993</v>
      </c>
      <c r="W29" s="4">
        <f>ROUND((csv!$HG29/10+calc!W$1),1)</f>
        <v>-9.6</v>
      </c>
      <c r="X29" s="4">
        <f>ROUND((csv!$HG29/10+calc!X$1),1)</f>
        <v>-9.5</v>
      </c>
      <c r="Y29" s="4">
        <f>ROUND((csv!$HG29/10+calc!Y$1),1)</f>
        <v>-9.4</v>
      </c>
      <c r="Z29" s="4">
        <f>ROUND((csv!$HG29/10+calc!Z$1),1)</f>
        <v>-9.3000000000000007</v>
      </c>
      <c r="AA29" s="4">
        <f>ROUND((csv!$HG29/10+calc!AA$1),1)</f>
        <v>-9.1999999999999993</v>
      </c>
      <c r="AB29" s="4">
        <f>ROUND((csv!$HG29/10+calc!AB$1),1)</f>
        <v>-9.1</v>
      </c>
      <c r="AC29" s="4">
        <f>ROUND((csv!$HG29/10+calc!AC$1),1)</f>
        <v>-9</v>
      </c>
      <c r="AD29" s="4">
        <f>ROUND((csv!$HG29/10+calc!AD$1),1)</f>
        <v>-8.9</v>
      </c>
      <c r="AE29" s="4">
        <f>ROUND((csv!$HG29/10+calc!AE$1),1)</f>
        <v>-8.8000000000000007</v>
      </c>
      <c r="AF29" s="4">
        <f>ROUND((csv!$HG29/10+calc!AF$1),1)</f>
        <v>-8.6999999999999993</v>
      </c>
      <c r="AG29" s="4">
        <f>ROUND((csv!$HG29/10+calc!AG$1),1)</f>
        <v>-8.6</v>
      </c>
      <c r="AH29" s="4">
        <f>ROUND((csv!$HG29/10+calc!AH$1),1)</f>
        <v>-8.5</v>
      </c>
      <c r="AI29" s="4">
        <f>ROUND((csv!$HG29/10+calc!AI$1),1)</f>
        <v>-8.4</v>
      </c>
      <c r="AJ29" s="4">
        <f>ROUND((csv!$HG29/10+calc!AJ$1),1)</f>
        <v>-8.3000000000000007</v>
      </c>
      <c r="AK29" s="4">
        <f>ROUND((csv!$HG29/10+calc!AK$1),1)</f>
        <v>-8.1999999999999993</v>
      </c>
      <c r="AL29" s="4">
        <f>ROUND((csv!$HG29/10+calc!AL$1),1)</f>
        <v>-8.1</v>
      </c>
      <c r="AM29" s="4">
        <f>ROUND((csv!$HG29/10+calc!AM$1),1)</f>
        <v>-8</v>
      </c>
      <c r="AN29" s="4">
        <f>ROUND((csv!$HG29/10+calc!AN$1),1)</f>
        <v>-7.9</v>
      </c>
      <c r="AO29" s="4">
        <f>ROUND((csv!$HG29/10+calc!AO$1),1)</f>
        <v>-7.8</v>
      </c>
      <c r="AP29" s="4">
        <f>ROUND((csv!$HG29/10+calc!AP$1),1)</f>
        <v>-7.7</v>
      </c>
      <c r="AQ29" s="4">
        <f>ROUND((csv!$HG29/10+calc!AQ$1),1)</f>
        <v>-7.6</v>
      </c>
      <c r="AR29" s="4">
        <f>ROUND((csv!$HG29/10+calc!AR$1),1)</f>
        <v>-7.5</v>
      </c>
      <c r="AS29" s="4">
        <f>ROUND((csv!$HG29/10+calc!AS$1),1)</f>
        <v>-7.4</v>
      </c>
      <c r="AT29" s="4">
        <f>ROUND((csv!$HG29/10+calc!AT$1),1)</f>
        <v>-7.3</v>
      </c>
      <c r="AU29" s="4">
        <f>ROUND((csv!$HG29/10+calc!AU$1),1)</f>
        <v>-7.2</v>
      </c>
      <c r="AV29" s="4">
        <f>ROUND((csv!$HG29/10+calc!AV$1),1)</f>
        <v>-7.1</v>
      </c>
      <c r="AW29" s="4">
        <f>ROUND((csv!$HG29/10+calc!AW$1),1)</f>
        <v>-7</v>
      </c>
      <c r="AX29" s="4">
        <f>ROUND((csv!$HG29/10+calc!AX$1),1)</f>
        <v>-6.9</v>
      </c>
      <c r="AY29" s="4">
        <f>ROUND((csv!$HG29/10+calc!AY$1),1)</f>
        <v>-6.8</v>
      </c>
      <c r="AZ29" s="4">
        <f>ROUND((csv!$HG29/10+calc!AZ$1),1)</f>
        <v>-6.7</v>
      </c>
      <c r="BA29" s="4">
        <f>ROUND((csv!$HG29/10+calc!BA$1),1)</f>
        <v>-6.6</v>
      </c>
      <c r="BB29" s="4">
        <f>ROUND((csv!$HG29/10+calc!BB$1),1)</f>
        <v>-6.5</v>
      </c>
      <c r="BC29" s="4">
        <f>ROUND((csv!$HG29/10+calc!BC$1),1)</f>
        <v>-6.4</v>
      </c>
      <c r="BD29" s="4">
        <f>ROUND((csv!$HG29/10+calc!BD$1),1)</f>
        <v>-6.3</v>
      </c>
      <c r="BE29" s="4">
        <f>ROUND((csv!$HG29/10+calc!BE$1),1)</f>
        <v>-6.2</v>
      </c>
      <c r="BF29" s="4">
        <f>ROUND((csv!$HG29/10+calc!BF$1),1)</f>
        <v>-6.1</v>
      </c>
      <c r="BG29" s="4">
        <f>ROUND((csv!$HG29/10+calc!BG$1),1)</f>
        <v>-6</v>
      </c>
      <c r="BH29" s="4">
        <f>ROUND((csv!$HG29/10+calc!BH$1),1)</f>
        <v>-5.9</v>
      </c>
      <c r="BI29" s="4">
        <f>ROUND((csv!$HG29/10+calc!BI$1),1)</f>
        <v>-5.8</v>
      </c>
      <c r="BJ29" s="4">
        <f>ROUND((csv!$HG29/10+calc!BJ$1),1)</f>
        <v>-5.7</v>
      </c>
      <c r="BK29" s="4">
        <f>ROUND((csv!$HG29/10+calc!BK$1),1)</f>
        <v>-5.6</v>
      </c>
      <c r="BL29" s="4">
        <f>ROUND((csv!$HG29/10+calc!BL$1),1)</f>
        <v>-5.5</v>
      </c>
      <c r="BM29" s="4">
        <f>ROUND((csv!$HG29/10+calc!BM$1),1)</f>
        <v>-5.4</v>
      </c>
      <c r="BN29" s="4">
        <f>ROUND((csv!$HG29/10+calc!BN$1),1)</f>
        <v>-5.3</v>
      </c>
      <c r="BO29" s="4">
        <f>ROUND((csv!$HG29/10+calc!BO$1),1)</f>
        <v>-5.2</v>
      </c>
      <c r="BP29" s="4">
        <f>ROUND((csv!$HG29/10+calc!BP$1),1)</f>
        <v>-5.0999999999999996</v>
      </c>
      <c r="BQ29" s="4">
        <f>ROUND((csv!$HG29/10+calc!BQ$1),1)</f>
        <v>-5</v>
      </c>
      <c r="BR29" s="4">
        <f>ROUND((csv!$HG29/10+calc!BR$1),1)</f>
        <v>-4.9000000000000004</v>
      </c>
      <c r="BS29" s="4">
        <f>ROUND((csv!$HG29/10+calc!BS$1),1)</f>
        <v>-4.8</v>
      </c>
      <c r="BT29" s="4">
        <f>ROUND((csv!$HG29/10+calc!BT$1),1)</f>
        <v>-4.7</v>
      </c>
      <c r="BU29" s="4">
        <f>ROUND((csv!$HG29/10+calc!BU$1),1)</f>
        <v>-4.5999999999999996</v>
      </c>
      <c r="BV29" s="4">
        <f>ROUND((csv!$HG29/10+calc!BV$1),1)</f>
        <v>-4.5</v>
      </c>
      <c r="BW29" s="4">
        <f>ROUND((csv!$HG29/10+calc!BW$1),1)</f>
        <v>-4.4000000000000004</v>
      </c>
      <c r="BX29" s="4">
        <f>ROUND((csv!$HG29/10+calc!BX$1),1)</f>
        <v>-4.3</v>
      </c>
      <c r="BY29" s="4">
        <f>ROUND((csv!$HG29/10+calc!BY$1),1)</f>
        <v>-4.2</v>
      </c>
      <c r="BZ29" s="4">
        <f>ROUND((csv!$HG29/10+calc!BZ$1),1)</f>
        <v>-4.0999999999999996</v>
      </c>
      <c r="CA29" s="4">
        <f>ROUND((csv!$HG29/10+calc!CA$1),1)</f>
        <v>-4</v>
      </c>
      <c r="CB29" s="4">
        <f>ROUND((csv!$HG29/10+calc!CB$1),1)</f>
        <v>-3.9</v>
      </c>
      <c r="CC29" s="4">
        <f>ROUND((csv!$HG29/10+calc!CC$1),1)</f>
        <v>-3.8</v>
      </c>
      <c r="CD29" s="4">
        <f>ROUND((csv!$HG29/10+calc!CD$1),1)</f>
        <v>-3.7</v>
      </c>
      <c r="CE29" s="4">
        <f>ROUND((csv!$HG29/10+calc!CE$1),1)</f>
        <v>-3.6</v>
      </c>
      <c r="CF29" s="4">
        <f>ROUND((csv!$HG29/10+calc!CF$1),1)</f>
        <v>-3.5</v>
      </c>
      <c r="CG29" s="4">
        <f>ROUND((csv!$HG29/10+calc!CG$1),1)</f>
        <v>-3.4</v>
      </c>
      <c r="CH29" s="4">
        <f>ROUND((csv!$HG29/10+calc!CH$1),1)</f>
        <v>-3.3</v>
      </c>
      <c r="CI29" s="4">
        <f>ROUND((csv!$HG29/10+calc!CI$1),1)</f>
        <v>-3.2</v>
      </c>
      <c r="CJ29" s="4">
        <f>ROUND((csv!$HG29/10+calc!CJ$1),1)</f>
        <v>-3.1</v>
      </c>
      <c r="CK29" s="4">
        <f>ROUND((csv!$HG29/10+calc!CK$1),1)</f>
        <v>-3</v>
      </c>
      <c r="CL29" s="4">
        <f>ROUND((csv!$HG29/10+calc!CL$1),1)</f>
        <v>-2.9</v>
      </c>
      <c r="CM29" s="4">
        <f>ROUND((csv!$HG29/10+calc!CM$1),1)</f>
        <v>-2.8</v>
      </c>
      <c r="CN29" s="4">
        <f>ROUND((csv!$HG29/10+calc!CN$1),1)</f>
        <v>-2.7</v>
      </c>
      <c r="CO29" s="4">
        <f>ROUND((csv!$HG29/10+calc!CO$1),1)</f>
        <v>-2.6</v>
      </c>
      <c r="CP29" s="4">
        <f>ROUND((csv!$HG29/10+calc!CP$1),1)</f>
        <v>-2.5</v>
      </c>
      <c r="CQ29" s="4">
        <f>ROUND((csv!$HG29/10+calc!CQ$1),1)</f>
        <v>-2.4</v>
      </c>
      <c r="CR29" s="4">
        <f>ROUND((csv!$HG29/10+calc!CR$1),1)</f>
        <v>-2.2999999999999998</v>
      </c>
      <c r="CS29" s="4">
        <f>ROUND((csv!$HG29/10+calc!CS$1),1)</f>
        <v>-2.2000000000000002</v>
      </c>
      <c r="CT29" s="4">
        <f>ROUND((csv!$HG29/10+calc!CT$1),1)</f>
        <v>-2.1</v>
      </c>
      <c r="CU29" s="4">
        <f>ROUND((csv!$HG29/10+calc!CU$1),1)</f>
        <v>-2</v>
      </c>
      <c r="CV29" s="4">
        <f>ROUND((csv!$HG29/10+calc!CV$1),1)</f>
        <v>-1.9</v>
      </c>
      <c r="CW29" s="4">
        <f>ROUND((csv!$HG29/10+calc!CW$1),1)</f>
        <v>-1.8</v>
      </c>
      <c r="CX29" s="4">
        <f>ROUND((csv!$HG29/10+calc!CX$1),1)</f>
        <v>-1.7</v>
      </c>
      <c r="CY29" s="4">
        <f>ROUND((csv!$HG29/10+calc!CY$1),1)</f>
        <v>-1.6</v>
      </c>
      <c r="CZ29" s="4">
        <f>ROUND((csv!$HG29/10+calc!CZ$1),1)</f>
        <v>-1.5</v>
      </c>
      <c r="DA29" s="4">
        <f>ROUND((csv!$HG29/10+calc!DA$1),1)</f>
        <v>-1.4</v>
      </c>
      <c r="DB29" s="4">
        <f>ROUND((csv!$HG29/10+calc!DB$1),1)</f>
        <v>-1.3</v>
      </c>
      <c r="DC29" s="4">
        <f>ROUND((csv!$HG29/10+calc!DC$1),1)</f>
        <v>-1.2</v>
      </c>
      <c r="DD29" s="4">
        <f>ROUND((csv!$HG29/10+calc!DD$1),1)</f>
        <v>-1.1000000000000001</v>
      </c>
      <c r="DE29" s="4">
        <f>ROUND((csv!$HG29/10+calc!DE$1),1)</f>
        <v>-1</v>
      </c>
      <c r="DF29" s="4">
        <f>ROUND((csv!$HG29/10+calc!DF$1),1)</f>
        <v>-0.9</v>
      </c>
      <c r="DG29" s="4">
        <f>ROUND((csv!$HG29/10+calc!DG$1),1)</f>
        <v>-0.8</v>
      </c>
      <c r="DH29" s="4">
        <f>ROUND((csv!$HG29/10+calc!DH$1),1)</f>
        <v>-0.7</v>
      </c>
      <c r="DI29" s="4">
        <f>ROUND((csv!$HG29/10+calc!DI$1),1)</f>
        <v>-0.6</v>
      </c>
      <c r="DJ29" s="4">
        <f>ROUND((csv!$HG29/10+calc!DJ$1),1)</f>
        <v>-0.5</v>
      </c>
      <c r="DK29" s="4">
        <f>ROUND((csv!$HG29/10+calc!DK$1),1)</f>
        <v>-0.4</v>
      </c>
      <c r="DL29" s="4">
        <f>ROUND((csv!$HG29/10+calc!DL$1),1)</f>
        <v>-0.3</v>
      </c>
      <c r="DM29" s="4">
        <f>ROUND((csv!$HG29/10+calc!DM$1),1)</f>
        <v>-0.2</v>
      </c>
      <c r="DN29" s="4">
        <f>ROUND((csv!$HG29/10+calc!DN$1),1)</f>
        <v>-0.1</v>
      </c>
      <c r="DO29" s="4">
        <f>ROUND((csv!$HG29/10+calc!DO$1),1)</f>
        <v>0</v>
      </c>
      <c r="DP29" s="4">
        <f>ROUND((csv!$HG29/10+calc!DP$1),1)</f>
        <v>0.1</v>
      </c>
      <c r="DQ29" s="4">
        <f>ROUND((csv!$HG29/10+calc!DQ$1),1)</f>
        <v>0.2</v>
      </c>
      <c r="DR29" s="4">
        <f>ROUND((csv!$HG29/10+calc!DR$1),1)</f>
        <v>0.3</v>
      </c>
      <c r="DS29" s="4">
        <f>ROUND((csv!$HG29/10+calc!DS$1),1)</f>
        <v>0.4</v>
      </c>
      <c r="DT29" s="4">
        <f>ROUND((csv!$HG29/10+calc!DT$1),1)</f>
        <v>0.5</v>
      </c>
      <c r="DU29" s="4">
        <f>ROUND((csv!$HG29/10+calc!DU$1),1)</f>
        <v>0.6</v>
      </c>
      <c r="DV29" s="4">
        <f>ROUND((csv!$HG29/10+calc!DV$1),1)</f>
        <v>0.7</v>
      </c>
      <c r="DW29" s="4">
        <f>ROUND((csv!$HG29/10+calc!DW$1),1)</f>
        <v>0.8</v>
      </c>
      <c r="DX29" s="4">
        <f>ROUND((csv!$HG29/10+calc!DX$1),1)</f>
        <v>0.9</v>
      </c>
      <c r="DY29" s="4">
        <f>ROUND((csv!$HG29/10+calc!DY$1),1)</f>
        <v>1</v>
      </c>
      <c r="DZ29" s="4">
        <f>ROUND((csv!$HG29/10+calc!DZ$1),1)</f>
        <v>1.1000000000000001</v>
      </c>
      <c r="EA29" s="4">
        <f>ROUND((csv!$HG29/10+calc!EA$1),1)</f>
        <v>1.2</v>
      </c>
      <c r="EB29" s="4">
        <f>ROUND((csv!$HG29/10+calc!EB$1),1)</f>
        <v>1.3</v>
      </c>
      <c r="EC29" s="4">
        <f>ROUND((csv!$HG29/10+calc!EC$1),1)</f>
        <v>1.4</v>
      </c>
      <c r="ED29" s="4">
        <f>ROUND((csv!$HG29/10+calc!ED$1),1)</f>
        <v>1.5</v>
      </c>
      <c r="EE29" s="4">
        <f>ROUND((csv!$HG29/10+calc!EE$1),1)</f>
        <v>1.6</v>
      </c>
      <c r="EF29" s="4">
        <f>ROUND((csv!$HG29/10+calc!EF$1),1)</f>
        <v>1.7</v>
      </c>
      <c r="EG29" s="4">
        <f>ROUND((csv!$HG29/10+calc!EG$1),1)</f>
        <v>1.8</v>
      </c>
      <c r="EH29" s="4">
        <f>ROUND((csv!$HG29/10+calc!EH$1),1)</f>
        <v>1.9</v>
      </c>
      <c r="EI29" s="4">
        <f>ROUND((csv!$HG29/10+calc!EI$1),1)</f>
        <v>2</v>
      </c>
      <c r="EJ29" s="4">
        <f>ROUND((csv!$HG29/10+calc!EJ$1),1)</f>
        <v>2.1</v>
      </c>
      <c r="EK29" s="4">
        <f>ROUND((csv!$HG29/10+calc!EK$1),1)</f>
        <v>2.2000000000000002</v>
      </c>
      <c r="EL29" s="4">
        <f>ROUND((csv!$HG29/10+calc!EL$1),1)</f>
        <v>2.2999999999999998</v>
      </c>
      <c r="EM29" s="4">
        <f>ROUND((csv!$HG29/10+calc!EM$1),1)</f>
        <v>2.4</v>
      </c>
      <c r="EN29" s="4">
        <f>ROUND((csv!$HG29/10+calc!EN$1),1)</f>
        <v>2.5</v>
      </c>
      <c r="EO29" s="4">
        <f>ROUND((csv!$HG29/10+calc!EO$1),1)</f>
        <v>2.6</v>
      </c>
      <c r="EP29" s="4">
        <f>ROUND((csv!$HG29/10+calc!EP$1),1)</f>
        <v>2.7</v>
      </c>
      <c r="EQ29" s="4">
        <f>ROUND((csv!$HG29/10+calc!EQ$1),1)</f>
        <v>2.8</v>
      </c>
      <c r="ER29" s="4">
        <f>ROUND((csv!$HG29/10+calc!ER$1),1)</f>
        <v>2.9</v>
      </c>
      <c r="ES29" s="4">
        <f>ROUND((csv!$HG29/10+calc!ES$1),1)</f>
        <v>3</v>
      </c>
      <c r="ET29" s="4">
        <f>ROUND((csv!$HG29/10+calc!ET$1),1)</f>
        <v>3.1</v>
      </c>
      <c r="EU29" s="4">
        <f>ROUND((csv!$HG29/10+calc!EU$1),1)</f>
        <v>3.2</v>
      </c>
      <c r="EV29" s="4">
        <f>ROUND((csv!$HG29/10+calc!EV$1),1)</f>
        <v>3.3</v>
      </c>
      <c r="EW29" s="4">
        <f>ROUND((csv!$HG29/10+calc!EW$1),1)</f>
        <v>3.4</v>
      </c>
      <c r="EX29" s="4">
        <f>ROUND((csv!$HG29/10+calc!EX$1),1)</f>
        <v>3.5</v>
      </c>
      <c r="EY29" s="4">
        <f>ROUND((csv!$HG29/10+calc!EY$1),1)</f>
        <v>3.6</v>
      </c>
      <c r="EZ29" s="4">
        <f>ROUND((csv!$HG29/10+calc!EZ$1),1)</f>
        <v>3.7</v>
      </c>
      <c r="FA29" s="4">
        <f>ROUND((csv!$HG29/10+calc!FA$1),1)</f>
        <v>3.8</v>
      </c>
      <c r="FB29" s="4">
        <f>ROUND((csv!$HG29/10+calc!FB$1),1)</f>
        <v>3.9</v>
      </c>
      <c r="FC29" s="4">
        <f>ROUND((csv!$HG29/10+calc!FC$1),1)</f>
        <v>4</v>
      </c>
      <c r="FD29" s="4">
        <f>ROUND((csv!$HG29/10+calc!FD$1),1)</f>
        <v>4.0999999999999996</v>
      </c>
      <c r="FE29" s="4">
        <f>ROUND((csv!$HG29/10+calc!FE$1),1)</f>
        <v>4.2</v>
      </c>
      <c r="FF29" s="4">
        <f>ROUND((csv!$HG29/10+calc!FF$1),1)</f>
        <v>4.3</v>
      </c>
      <c r="FG29" s="4">
        <f>ROUND((csv!$HG29/10+calc!FG$1),1)</f>
        <v>4.4000000000000004</v>
      </c>
      <c r="FH29" s="4">
        <f>ROUND((csv!$HG29/10+calc!FH$1),1)</f>
        <v>4.5</v>
      </c>
      <c r="FI29" s="4">
        <f>ROUND((csv!$HG29/10+calc!FI$1),1)</f>
        <v>4.5999999999999996</v>
      </c>
      <c r="FJ29" s="4">
        <f>ROUND((csv!$HG29/10+calc!FJ$1),1)</f>
        <v>4.7</v>
      </c>
      <c r="FK29" s="4">
        <f>ROUND((csv!$HG29/10+calc!FK$1),1)</f>
        <v>4.8</v>
      </c>
      <c r="FL29" s="4">
        <f>ROUND((csv!$HG29/10+calc!FL$1),1)</f>
        <v>4.9000000000000004</v>
      </c>
      <c r="FM29" s="4">
        <f>ROUND((csv!$HG29/10+calc!FM$1),1)</f>
        <v>5</v>
      </c>
      <c r="FN29" s="4">
        <f>ROUND((csv!$HG29/10+calc!FN$1),1)</f>
        <v>5.0999999999999996</v>
      </c>
      <c r="FO29" s="4">
        <f>ROUND((csv!$HG29/10+calc!FO$1),1)</f>
        <v>5.2</v>
      </c>
      <c r="FP29" s="4">
        <f>ROUND((csv!$HG29/10+calc!FP$1),1)</f>
        <v>5.3</v>
      </c>
      <c r="FQ29" s="4">
        <f>ROUND((csv!$HG29/10+calc!FQ$1),1)</f>
        <v>5.4</v>
      </c>
      <c r="FR29" s="4">
        <f>ROUND((csv!$HG29/10+calc!FR$1),1)</f>
        <v>5.5</v>
      </c>
      <c r="FS29" s="4">
        <f>ROUND((csv!$HG29/10+calc!FS$1),1)</f>
        <v>5.6</v>
      </c>
      <c r="FT29" s="4">
        <f>ROUND((csv!$HG29/10+calc!FT$1),1)</f>
        <v>5.7</v>
      </c>
      <c r="FU29" s="4">
        <f>ROUND((csv!$HG29/10+calc!FU$1),1)</f>
        <v>5.8</v>
      </c>
      <c r="FV29" s="4">
        <f>ROUND((csv!$HG29/10+calc!FV$1),1)</f>
        <v>5.9</v>
      </c>
      <c r="FW29" s="4">
        <f>ROUND((csv!$HG29/10+calc!FW$1),1)</f>
        <v>6</v>
      </c>
      <c r="FX29" s="4">
        <f>ROUND((csv!$HG29/10+calc!FX$1),1)</f>
        <v>6.1</v>
      </c>
      <c r="FY29" s="4">
        <f>ROUND((csv!$HG29/10+calc!FY$1),1)</f>
        <v>6.2</v>
      </c>
      <c r="FZ29" s="4">
        <f>ROUND((csv!$HG29/10+calc!FZ$1),1)</f>
        <v>6.3</v>
      </c>
      <c r="GA29" s="4">
        <f>ROUND((csv!$HG29/10+calc!GA$1),1)</f>
        <v>6.4</v>
      </c>
      <c r="GB29" s="4">
        <f>ROUND((csv!$HG29/10+calc!GB$1),1)</f>
        <v>6.5</v>
      </c>
      <c r="GC29" s="4">
        <f>ROUND((csv!$HG29/10+calc!GC$1),1)</f>
        <v>6.6</v>
      </c>
      <c r="GD29" s="4">
        <f>ROUND((csv!$HG29/10+calc!GD$1),1)</f>
        <v>6.7</v>
      </c>
      <c r="GE29" s="4">
        <f>ROUND((csv!$HG29/10+calc!GE$1),1)</f>
        <v>6.8</v>
      </c>
      <c r="GF29" s="4">
        <f>ROUND((csv!$HG29/10+calc!GF$1),1)</f>
        <v>6.9</v>
      </c>
      <c r="GG29" s="4">
        <f>ROUND((csv!$HG29/10+calc!GG$1),1)</f>
        <v>7</v>
      </c>
      <c r="GH29" s="4">
        <f>ROUND((csv!$HG29/10+calc!GH$1),1)</f>
        <v>7.1</v>
      </c>
      <c r="GI29" s="4">
        <f>ROUND((csv!$HG29/10+calc!GI$1),1)</f>
        <v>7.2</v>
      </c>
      <c r="GJ29" s="4">
        <f>ROUND((csv!$HG29/10+calc!GJ$1),1)</f>
        <v>7.3</v>
      </c>
      <c r="GK29" s="4">
        <f>ROUND((csv!$HG29/10+calc!GK$1),1)</f>
        <v>7.4</v>
      </c>
      <c r="GL29" s="4">
        <f>ROUND((csv!$HG29/10+calc!GL$1),1)</f>
        <v>7.5</v>
      </c>
      <c r="GM29" s="4">
        <f>ROUND((csv!$HG29/10+calc!GM$1),1)</f>
        <v>7.6</v>
      </c>
      <c r="GN29" s="4">
        <f>ROUND((csv!$HG29/10+calc!GN$1),1)</f>
        <v>7.7</v>
      </c>
      <c r="GO29" s="4">
        <f>ROUND((csv!$HG29/10+calc!GO$1),1)</f>
        <v>7.8</v>
      </c>
      <c r="GP29" s="4">
        <f>ROUND((csv!$HG29/10+calc!GP$1),1)</f>
        <v>7.9</v>
      </c>
      <c r="GQ29" s="4">
        <f>ROUND((csv!$HG29/10+calc!GQ$1),1)</f>
        <v>8</v>
      </c>
      <c r="GR29" s="4">
        <f>ROUND((csv!$HG29/10+calc!GR$1),1)</f>
        <v>8.1</v>
      </c>
      <c r="GS29" s="4">
        <f>ROUND((csv!$HG29/10+calc!GS$1),1)</f>
        <v>8.1999999999999993</v>
      </c>
      <c r="GT29" s="4">
        <f>ROUND((csv!$HG29/10+calc!GT$1),1)</f>
        <v>8.3000000000000007</v>
      </c>
      <c r="GU29" s="4">
        <f>ROUND((csv!$HG29/10+calc!GU$1),1)</f>
        <v>8.4</v>
      </c>
      <c r="GV29" s="4">
        <f>ROUND((csv!$HG29/10+calc!GV$1),1)</f>
        <v>8.5</v>
      </c>
      <c r="GW29" s="4">
        <f>ROUND((csv!$HG29/10+calc!GW$1),1)</f>
        <v>8.6</v>
      </c>
      <c r="GX29" s="4">
        <f>ROUND((csv!$HG29/10+calc!GX$1),1)</f>
        <v>8.6999999999999993</v>
      </c>
      <c r="GY29" s="4">
        <f>ROUND((csv!$HG29/10+calc!GY$1),1)</f>
        <v>8.8000000000000007</v>
      </c>
      <c r="GZ29" s="4">
        <f>ROUND((csv!$HG29/10+calc!GZ$1),1)</f>
        <v>8.9</v>
      </c>
      <c r="HA29" s="4">
        <f>ROUND((csv!$HG29/10+calc!HA$1),1)</f>
        <v>9</v>
      </c>
      <c r="HB29" s="4">
        <f>ROUND((csv!$HG29/10+calc!HB$1),1)</f>
        <v>9.1</v>
      </c>
      <c r="HC29" s="4">
        <f>ROUND((csv!$HG29/10+calc!HC$1),1)</f>
        <v>9.1999999999999993</v>
      </c>
      <c r="HD29" s="4">
        <f>ROUND((csv!$HG29/10+calc!HD$1),1)</f>
        <v>9.3000000000000007</v>
      </c>
      <c r="HE29" s="4">
        <f>ROUND((csv!$HG29/10+calc!HE$1),1)</f>
        <v>9.4</v>
      </c>
      <c r="HF29" s="4">
        <f>ROUND((csv!$HG29/10+calc!HF$1),1)</f>
        <v>9.5</v>
      </c>
      <c r="HG29" s="4">
        <f>ROUND((csv!$HG29/10+calc!HG$1),1)</f>
        <v>9.6</v>
      </c>
      <c r="HH29" s="4">
        <f>ROUND((csv!$HG29/10+calc!HH$1),1)</f>
        <v>9.6999999999999993</v>
      </c>
      <c r="HI29" s="4">
        <f>ROUND((csv!$HG29/10+calc!HI$1),1)</f>
        <v>9.8000000000000007</v>
      </c>
      <c r="HJ29" s="4">
        <f>ROUND((csv!$HG29/10+calc!HJ$1),1)</f>
        <v>9.9</v>
      </c>
      <c r="HK29" s="4">
        <f>ROUND((csv!$HG29/10+calc!HK$1),1)</f>
        <v>10</v>
      </c>
      <c r="HM29" s="2">
        <f>csv!A29*10000+csv!B29*100+csv!C29</f>
        <v>0</v>
      </c>
      <c r="HN29" s="5">
        <f>IF(ISERROR(LOOKUP(HN$1,$S29:$HK29,csv!$L29:$HD29)),NA(),LOOKUP(HN$1,$S29:$HK29,csv!$L29:$HD29))</f>
        <v>0</v>
      </c>
      <c r="HO29" s="5">
        <f>IF(ISERROR(LOOKUP(HO$1,$S29:$HK29,csv!$L29:$HD29)),NA(),LOOKUP(HO$1,$S29:$HK29,csv!$L29:$HD29))</f>
        <v>0</v>
      </c>
      <c r="HP29" s="5">
        <f>IF(ISERROR(LOOKUP(HP$1,$S29:$HK29,csv!$L29:$HD29)),NA(),LOOKUP(HP$1,$S29:$HK29,csv!$L29:$HD29))</f>
        <v>0</v>
      </c>
      <c r="HQ29" s="5">
        <f>IF(ISERROR(LOOKUP(HQ$1,$S29:$HK29,csv!$L29:$HD29)),NA(),LOOKUP(HQ$1,$S29:$HK29,csv!$L29:$HD29))</f>
        <v>0</v>
      </c>
      <c r="HR29" s="5">
        <f>IF(ISERROR(LOOKUP(HR$1,$S29:$HK29,csv!$L29:$HD29)),NA(),LOOKUP(HR$1,$S29:$HK29,csv!$L29:$HD29))</f>
        <v>0</v>
      </c>
      <c r="HS29" s="5">
        <f>IF(ISERROR(LOOKUP(HS$1,$S29:$HK29,csv!$L29:$HD29)),NA(),LOOKUP(HS$1,$S29:$HK29,csv!$L29:$HD29))</f>
        <v>0</v>
      </c>
      <c r="HT29" s="5">
        <f>IF(ISERROR(LOOKUP(HT$1,$S29:$HK29,csv!$L29:$HD29)),NA(),LOOKUP(HT$1,$S29:$HK29,csv!$L29:$HD29))</f>
        <v>0</v>
      </c>
      <c r="HU29" s="5">
        <f>IF(ISERROR(LOOKUP(HU$1,$S29:$HK29,csv!$L29:$HD29)),NA(),LOOKUP(HU$1,$S29:$HK29,csv!$L29:$HD29))</f>
        <v>0</v>
      </c>
      <c r="HV29" s="5">
        <f>IF(ISERROR(LOOKUP(HV$1,$S29:$HK29,csv!$L29:$HD29)),NA(),LOOKUP(HV$1,$S29:$HK29,csv!$L29:$HD29))</f>
        <v>0</v>
      </c>
      <c r="HW29" s="5">
        <f>IF(ISERROR(LOOKUP(HW$1,$S29:$HK29,csv!$L29:$HD29)),NA(),LOOKUP(HW$1,$S29:$HK29,csv!$L29:$HD29))</f>
        <v>0</v>
      </c>
      <c r="HX29" s="5">
        <f>IF(ISERROR(LOOKUP(HX$1,$S29:$HK29,csv!$L29:$HD29)),NA(),LOOKUP(HX$1,$S29:$HK29,csv!$L29:$HD29))</f>
        <v>0</v>
      </c>
      <c r="HY29" s="5">
        <f>IF(ISERROR(LOOKUP(HY$1,$S29:$HK29,csv!$L29:$HD29)),NA(),LOOKUP(HY$1,$S29:$HK29,csv!$L29:$HD29))</f>
        <v>0</v>
      </c>
      <c r="HZ29" s="5">
        <f>IF(ISERROR(LOOKUP(HZ$1,$S29:$HK29,csv!$L29:$HD29)),NA(),LOOKUP(HZ$1,$S29:$HK29,csv!$L29:$HD29))</f>
        <v>0</v>
      </c>
      <c r="IA29" s="5">
        <f>IF(ISERROR(LOOKUP(IA$1,$S29:$HK29,csv!$L29:$HD29)),NA(),LOOKUP(IA$1,$S29:$HK29,csv!$L29:$HD29))</f>
        <v>0</v>
      </c>
      <c r="IB29" s="5">
        <f>IF(ISERROR(LOOKUP(IB$1,$S29:$HK29,csv!$L29:$HD29)),NA(),LOOKUP(IB$1,$S29:$HK29,csv!$L29:$HD29))</f>
        <v>0</v>
      </c>
      <c r="IC29" s="5">
        <f>IF(ISERROR(LOOKUP(IC$1,$S29:$HK29,csv!$L29:$HD29)),NA(),LOOKUP(IC$1,$S29:$HK29,csv!$L29:$HD29))</f>
        <v>0</v>
      </c>
      <c r="ID29" s="5">
        <f>IF(ISERROR(LOOKUP(ID$1,$S29:$HK29,csv!$L29:$HD29)),NA(),LOOKUP(ID$1,$S29:$HK29,csv!$L29:$HD29))</f>
        <v>0</v>
      </c>
      <c r="IE29" s="5">
        <f>IF(ISERROR(LOOKUP(IE$1,$S29:$HK29,csv!$L29:$HD29)),NA(),LOOKUP(IE$1,$S29:$HK29,csv!$L29:$HD29))</f>
        <v>0</v>
      </c>
      <c r="IF29" s="5">
        <f>IF(ISERROR(LOOKUP(IF$1,$S29:$HK29,csv!$L29:$HD29)),NA(),LOOKUP(IF$1,$S29:$HK29,csv!$L29:$HD29))</f>
        <v>0</v>
      </c>
      <c r="IG29" s="5">
        <f>IF(ISERROR(LOOKUP(IG$1,$S29:$HK29,csv!$L29:$HD29)),NA(),LOOKUP(IG$1,$S29:$HK29,csv!$L29:$HD29))</f>
        <v>0</v>
      </c>
      <c r="IH29" s="5">
        <f>IF(ISERROR(LOOKUP(IH$1,$S29:$HK29,csv!$L29:$HD29)),NA(),LOOKUP(IH$1,$S29:$HK29,csv!$L29:$HD29))</f>
        <v>0</v>
      </c>
      <c r="II29" s="5">
        <f>IF(ISERROR(LOOKUP(II$1,$S29:$HK29,csv!$L29:$HD29)),NA(),LOOKUP(II$1,$S29:$HK29,csv!$L29:$HD29))</f>
        <v>0</v>
      </c>
      <c r="IJ29" s="5">
        <f>IF(ISERROR(LOOKUP(IJ$1,$S29:$HK29,csv!$L29:$HD29)),NA(),LOOKUP(IJ$1,$S29:$HK29,csv!$L29:$HD29))</f>
        <v>0</v>
      </c>
      <c r="IK29" s="5">
        <f>IF(ISERROR(LOOKUP(IK$1,$S29:$HK29,csv!$L29:$HD29)),NA(),LOOKUP(IK$1,$S29:$HK29,csv!$L29:$HD29))</f>
        <v>0</v>
      </c>
      <c r="IL29" s="5">
        <f>IF(ISERROR(LOOKUP(IL$1,$S29:$HK29,csv!$L29:$HD29)),NA(),LOOKUP(IL$1,$S29:$HK29,csv!$L29:$HD29))</f>
        <v>0</v>
      </c>
      <c r="IM29" s="5">
        <f>IF(ISERROR(LOOKUP(IM$1,$S29:$HK29,csv!$L29:$HD29)),NA(),LOOKUP(IM$1,$S29:$HK29,csv!$L29:$HD29))</f>
        <v>0</v>
      </c>
      <c r="IN29" s="5">
        <f>IF(ISERROR(LOOKUP(IN$1,$S29:$HK29,csv!$L29:$HD29)),NA(),LOOKUP(IN$1,$S29:$HK29,csv!$L29:$HD29))</f>
        <v>0</v>
      </c>
      <c r="IO29" s="5">
        <f>IF(ISERROR(LOOKUP(IO$1,$S29:$HK29,csv!$L29:$HD29)),NA(),LOOKUP(IO$1,$S29:$HK29,csv!$L29:$HD29))</f>
        <v>0</v>
      </c>
      <c r="IP29" s="5">
        <f>IF(ISERROR(LOOKUP(IP$1,$S29:$HK29,csv!$L29:$HD29)),NA(),LOOKUP(IP$1,$S29:$HK29,csv!$L29:$HD29))</f>
        <v>0</v>
      </c>
      <c r="IQ29" s="5">
        <f>IF(ISERROR(LOOKUP(IQ$1,$S29:$HK29,csv!$L29:$HD29)),NA(),LOOKUP(IQ$1,$S29:$HK29,csv!$L29:$HD29))</f>
        <v>0</v>
      </c>
      <c r="IR29" s="5">
        <f>IF(ISERROR(LOOKUP(IR$1,$S29:$HK29,csv!$L29:$HD29)),NA(),LOOKUP(IR$1,$S29:$HK29,csv!$L29:$HD29))</f>
        <v>0</v>
      </c>
      <c r="IS29" s="5">
        <f>IF(ISERROR(LOOKUP(IS$1,$S29:$HK29,csv!$L29:$HD29)),NA(),LOOKUP(IS$1,$S29:$HK29,csv!$L29:$HD29))</f>
        <v>0</v>
      </c>
      <c r="IT29" s="5">
        <f>IF(ISERROR(LOOKUP(IT$1,$S29:$HK29,csv!$L29:$HD29)),NA(),LOOKUP(IT$1,$S29:$HK29,csv!$L29:$HD29))</f>
        <v>0</v>
      </c>
      <c r="IU29" s="5">
        <f>IF(ISERROR(LOOKUP(IU$1,$S29:$HK29,csv!$L29:$HD29)),NA(),LOOKUP(IU$1,$S29:$HK29,csv!$L29:$HD29))</f>
        <v>0</v>
      </c>
      <c r="IV29" s="5">
        <f>IF(ISERROR(LOOKUP(IV$1,$S29:$HK29,csv!$L29:$HD29)),NA(),LOOKUP(IV$1,$S29:$HK29,csv!$L29:$HD29))</f>
        <v>0</v>
      </c>
      <c r="IW29" s="5">
        <f>IF(ISERROR(LOOKUP(IW$1,$S29:$HK29,csv!$L29:$HD29)),NA(),LOOKUP(IW$1,$S29:$HK29,csv!$L29:$HD29))</f>
        <v>0</v>
      </c>
      <c r="IX29" s="5">
        <f>IF(ISERROR(LOOKUP(IX$1,$S29:$HK29,csv!$L29:$HD29)),NA(),LOOKUP(IX$1,$S29:$HK29,csv!$L29:$HD29))</f>
        <v>0</v>
      </c>
      <c r="IY29" s="5">
        <f>IF(ISERROR(LOOKUP(IY$1,$S29:$HK29,csv!$L29:$HD29)),NA(),LOOKUP(IY$1,$S29:$HK29,csv!$L29:$HD29))</f>
        <v>0</v>
      </c>
      <c r="IZ29" s="5">
        <f>IF(ISERROR(LOOKUP(IZ$1,$S29:$HK29,csv!$L29:$HD29)),NA(),LOOKUP(IZ$1,$S29:$HK29,csv!$L29:$HD29))</f>
        <v>0</v>
      </c>
      <c r="JA29" s="5">
        <f>IF(ISERROR(LOOKUP(JA$1,$S29:$HK29,csv!$L29:$HD29)),NA(),LOOKUP(JA$1,$S29:$HK29,csv!$L29:$HD29))</f>
        <v>0</v>
      </c>
      <c r="JB29" s="5">
        <f>IF(ISERROR(LOOKUP(JB$1,$S29:$HK29,csv!$L29:$HD29)),NA(),LOOKUP(JB$1,$S29:$HK29,csv!$L29:$HD29))</f>
        <v>0</v>
      </c>
      <c r="JC29" s="5">
        <f>IF(ISERROR(LOOKUP(JC$1,$S29:$HK29,csv!$L29:$HD29)),NA(),LOOKUP(JC$1,$S29:$HK29,csv!$L29:$HD29))</f>
        <v>0</v>
      </c>
      <c r="JD29" s="5">
        <f>IF(ISERROR(LOOKUP(JD$1,$S29:$HK29,csv!$L29:$HD29)),NA(),LOOKUP(JD$1,$S29:$HK29,csv!$L29:$HD29))</f>
        <v>0</v>
      </c>
      <c r="JE29" s="5">
        <f>IF(ISERROR(LOOKUP(JE$1,$S29:$HK29,csv!$L29:$HD29)),NA(),LOOKUP(JE$1,$S29:$HK29,csv!$L29:$HD29))</f>
        <v>0</v>
      </c>
      <c r="JF29" s="5">
        <f>IF(ISERROR(LOOKUP(JF$1,$S29:$HK29,csv!$L29:$HD29)),NA(),LOOKUP(JF$1,$S29:$HK29,csv!$L29:$HD29))</f>
        <v>0</v>
      </c>
      <c r="JG29" s="5">
        <f>IF(ISERROR(LOOKUP(JG$1,$S29:$HK29,csv!$L29:$HD29)),NA(),LOOKUP(JG$1,$S29:$HK29,csv!$L29:$HD29))</f>
        <v>0</v>
      </c>
      <c r="JH29" s="5">
        <f>IF(ISERROR(LOOKUP(JH$1,$S29:$HK29,csv!$L29:$HD29)),NA(),LOOKUP(JH$1,$S29:$HK29,csv!$L29:$HD29))</f>
        <v>0</v>
      </c>
      <c r="JI29" s="5">
        <f>IF(ISERROR(LOOKUP(JI$1,$S29:$HK29,csv!$L29:$HD29)),NA(),LOOKUP(JI$1,$S29:$HK29,csv!$L29:$HD29))</f>
        <v>0</v>
      </c>
      <c r="JJ29" s="5">
        <f>IF(ISERROR(LOOKUP(JJ$1,$S29:$HK29,csv!$L29:$HD29)),NA(),LOOKUP(JJ$1,$S29:$HK29,csv!$L29:$HD29))</f>
        <v>0</v>
      </c>
      <c r="JK29" s="5">
        <f>IF(ISERROR(LOOKUP(JK$1,$S29:$HK29,csv!$L29:$HD29)),NA(),LOOKUP(JK$1,$S29:$HK29,csv!$L29:$HD29))</f>
        <v>0</v>
      </c>
      <c r="JL29" s="5">
        <f>IF(ISERROR(LOOKUP(JL$1,$S29:$HK29,csv!$L29:$HD29)),NA(),LOOKUP(JL$1,$S29:$HK29,csv!$L29:$HD29))</f>
        <v>0</v>
      </c>
      <c r="JM29" s="5">
        <f>IF(ISERROR(LOOKUP(JM$1,$S29:$HK29,csv!$L29:$HD29)),NA(),LOOKUP(JM$1,$S29:$HK29,csv!$L29:$HD29))</f>
        <v>0</v>
      </c>
      <c r="JN29" s="5">
        <f>IF(ISERROR(LOOKUP(JN$1,$S29:$HK29,csv!$L29:$HD29)),NA(),LOOKUP(JN$1,$S29:$HK29,csv!$L29:$HD29))</f>
        <v>0</v>
      </c>
      <c r="JO29" s="5">
        <f>IF(ISERROR(LOOKUP(JO$1,$S29:$HK29,csv!$L29:$HD29)),NA(),LOOKUP(JO$1,$S29:$HK29,csv!$L29:$HD29))</f>
        <v>0</v>
      </c>
      <c r="JP29" s="5">
        <f>IF(ISERROR(LOOKUP(JP$1,$S29:$HK29,csv!$L29:$HD29)),NA(),LOOKUP(JP$1,$S29:$HK29,csv!$L29:$HD29))</f>
        <v>0</v>
      </c>
      <c r="JQ29" s="5">
        <f>IF(ISERROR(LOOKUP(JQ$1,$S29:$HK29,csv!$L29:$HD29)),NA(),LOOKUP(JQ$1,$S29:$HK29,csv!$L29:$HD29))</f>
        <v>0</v>
      </c>
      <c r="JR29" s="5">
        <f>IF(ISERROR(LOOKUP(JR$1,$S29:$HK29,csv!$L29:$HD29)),NA(),LOOKUP(JR$1,$S29:$HK29,csv!$L29:$HD29))</f>
        <v>0</v>
      </c>
      <c r="JS29" s="5">
        <f>IF(ISERROR(LOOKUP(JS$1,$S29:$HK29,csv!$L29:$HD29)),NA(),LOOKUP(JS$1,$S29:$HK29,csv!$L29:$HD29))</f>
        <v>0</v>
      </c>
      <c r="JT29" s="5">
        <f>IF(ISERROR(LOOKUP(JT$1,$S29:$HK29,csv!$L29:$HD29)),NA(),LOOKUP(JT$1,$S29:$HK29,csv!$L29:$HD29))</f>
        <v>0</v>
      </c>
      <c r="JU29" s="5">
        <f>IF(ISERROR(LOOKUP(JU$1,$S29:$HK29,csv!$L29:$HD29)),NA(),LOOKUP(JU$1,$S29:$HK29,csv!$L29:$HD29))</f>
        <v>0</v>
      </c>
      <c r="JV29" s="5">
        <f>IF(ISERROR(LOOKUP(JV$1,$S29:$HK29,csv!$L29:$HD29)),NA(),LOOKUP(JV$1,$S29:$HK29,csv!$L29:$HD29))</f>
        <v>0</v>
      </c>
      <c r="JW29" s="5">
        <f>IF(ISERROR(LOOKUP(JW$1,$S29:$HK29,csv!$L29:$HD29)),NA(),LOOKUP(JW$1,$S29:$HK29,csv!$L29:$HD29))</f>
        <v>0</v>
      </c>
      <c r="JX29" s="5">
        <f>IF(ISERROR(LOOKUP(JX$1,$S29:$HK29,csv!$L29:$HD29)),NA(),LOOKUP(JX$1,$S29:$HK29,csv!$L29:$HD29))</f>
        <v>0</v>
      </c>
      <c r="JY29" s="5">
        <f>IF(ISERROR(LOOKUP(JY$1,$S29:$HK29,csv!$L29:$HD29)),NA(),LOOKUP(JY$1,$S29:$HK29,csv!$L29:$HD29))</f>
        <v>0</v>
      </c>
      <c r="JZ29" s="5">
        <f>IF(ISERROR(LOOKUP(JZ$1,$S29:$HK29,csv!$L29:$HD29)),NA(),LOOKUP(JZ$1,$S29:$HK29,csv!$L29:$HD29))</f>
        <v>0</v>
      </c>
      <c r="KA29" s="5">
        <f>IF(ISERROR(LOOKUP(KA$1,$S29:$HK29,csv!$L29:$HD29)),NA(),LOOKUP(KA$1,$S29:$HK29,csv!$L29:$HD29))</f>
        <v>0</v>
      </c>
      <c r="KB29" s="5">
        <f>IF(ISERROR(LOOKUP(KB$1,$S29:$HK29,csv!$L29:$HD29)),NA(),LOOKUP(KB$1,$S29:$HK29,csv!$L29:$HD29))</f>
        <v>0</v>
      </c>
      <c r="KC29" s="5">
        <f>IF(ISERROR(LOOKUP(KC$1,$S29:$HK29,csv!$L29:$HD29)),NA(),LOOKUP(KC$1,$S29:$HK29,csv!$L29:$HD29))</f>
        <v>0</v>
      </c>
      <c r="KD29" s="5">
        <f>IF(ISERROR(LOOKUP(KD$1,$S29:$HK29,csv!$L29:$HD29)),NA(),LOOKUP(KD$1,$S29:$HK29,csv!$L29:$HD29))</f>
        <v>0</v>
      </c>
      <c r="KE29" s="5">
        <f>IF(ISERROR(LOOKUP(KE$1,$S29:$HK29,csv!$L29:$HD29)),NA(),LOOKUP(KE$1,$S29:$HK29,csv!$L29:$HD29))</f>
        <v>0</v>
      </c>
      <c r="KF29" s="5">
        <f>IF(ISERROR(LOOKUP(KF$1,$S29:$HK29,csv!$L29:$HD29)),NA(),LOOKUP(KF$1,$S29:$HK29,csv!$L29:$HD29))</f>
        <v>0</v>
      </c>
      <c r="KG29" s="5">
        <f>IF(ISERROR(LOOKUP(KG$1,$S29:$HK29,csv!$L29:$HD29)),NA(),LOOKUP(KG$1,$S29:$HK29,csv!$L29:$HD29))</f>
        <v>0</v>
      </c>
      <c r="KH29" s="5">
        <f>IF(ISERROR(LOOKUP(KH$1,$S29:$HK29,csv!$L29:$HD29)),NA(),LOOKUP(KH$1,$S29:$HK29,csv!$L29:$HD29))</f>
        <v>0</v>
      </c>
      <c r="KI29" s="5">
        <f>IF(ISERROR(LOOKUP(KI$1,$S29:$HK29,csv!$L29:$HD29)),NA(),LOOKUP(KI$1,$S29:$HK29,csv!$L29:$HD29))</f>
        <v>0</v>
      </c>
      <c r="KJ29" s="5">
        <f>IF(ISERROR(LOOKUP(KJ$1,$S29:$HK29,csv!$L29:$HD29)),NA(),LOOKUP(KJ$1,$S29:$HK29,csv!$L29:$HD29))</f>
        <v>0</v>
      </c>
      <c r="KK29" s="5">
        <f>IF(ISERROR(LOOKUP(KK$1,$S29:$HK29,csv!$L29:$HD29)),NA(),LOOKUP(KK$1,$S29:$HK29,csv!$L29:$HD29))</f>
        <v>0</v>
      </c>
      <c r="KL29" s="5">
        <f>IF(ISERROR(LOOKUP(KL$1,$S29:$HK29,csv!$L29:$HD29)),NA(),LOOKUP(KL$1,$S29:$HK29,csv!$L29:$HD29))</f>
        <v>0</v>
      </c>
      <c r="KM29" s="5">
        <f>IF(ISERROR(LOOKUP(KM$1,$S29:$HK29,csv!$L29:$HD29)),NA(),LOOKUP(KM$1,$S29:$HK29,csv!$L29:$HD29))</f>
        <v>0</v>
      </c>
      <c r="KN29" s="5">
        <f>IF(ISERROR(LOOKUP(KN$1,$S29:$HK29,csv!$L29:$HD29)),NA(),LOOKUP(KN$1,$S29:$HK29,csv!$L29:$HD29))</f>
        <v>0</v>
      </c>
      <c r="KO29" s="5">
        <f>IF(ISERROR(LOOKUP(KO$1,$S29:$HK29,csv!$L29:$HD29)),NA(),LOOKUP(KO$1,$S29:$HK29,csv!$L29:$HD29))</f>
        <v>0</v>
      </c>
      <c r="KP29" s="5">
        <f>IF(ISERROR(LOOKUP(KP$1,$S29:$HK29,csv!$L29:$HD29)),NA(),LOOKUP(KP$1,$S29:$HK29,csv!$L29:$HD29))</f>
        <v>0</v>
      </c>
      <c r="KQ29" s="5">
        <f>IF(ISERROR(LOOKUP(KQ$1,$S29:$HK29,csv!$L29:$HD29)),NA(),LOOKUP(KQ$1,$S29:$HK29,csv!$L29:$HD29))</f>
        <v>0</v>
      </c>
      <c r="KR29" s="5">
        <f>IF(ISERROR(LOOKUP(KR$1,$S29:$HK29,csv!$L29:$HD29)),NA(),LOOKUP(KR$1,$S29:$HK29,csv!$L29:$HD29))</f>
        <v>0</v>
      </c>
      <c r="KS29" s="5">
        <f>IF(ISERROR(LOOKUP(KS$1,$S29:$HK29,csv!$L29:$HD29)),NA(),LOOKUP(KS$1,$S29:$HK29,csv!$L29:$HD29))</f>
        <v>0</v>
      </c>
      <c r="KT29" s="5">
        <f>IF(ISERROR(LOOKUP(KT$1,$S29:$HK29,csv!$L29:$HD29)),NA(),LOOKUP(KT$1,$S29:$HK29,csv!$L29:$HD29))</f>
        <v>0</v>
      </c>
      <c r="KU29" s="5">
        <f>IF(ISERROR(LOOKUP(KU$1,$S29:$HK29,csv!$L29:$HD29)),NA(),LOOKUP(KU$1,$S29:$HK29,csv!$L29:$HD29))</f>
        <v>0</v>
      </c>
      <c r="KV29" s="5">
        <f>IF(ISERROR(LOOKUP(KV$1,$S29:$HK29,csv!$L29:$HD29)),NA(),LOOKUP(KV$1,$S29:$HK29,csv!$L29:$HD29))</f>
        <v>0</v>
      </c>
      <c r="KW29" s="5">
        <f>IF(ISERROR(LOOKUP(KW$1,$S29:$HK29,csv!$L29:$HD29)),NA(),LOOKUP(KW$1,$S29:$HK29,csv!$L29:$HD29))</f>
        <v>0</v>
      </c>
      <c r="KX29" s="5">
        <f>IF(ISERROR(LOOKUP(KX$1,$S29:$HK29,csv!$L29:$HD29)),NA(),LOOKUP(KX$1,$S29:$HK29,csv!$L29:$HD29))</f>
        <v>0</v>
      </c>
      <c r="KY29" s="5">
        <f>IF(ISERROR(LOOKUP(KY$1,$S29:$HK29,csv!$L29:$HD29)),NA(),LOOKUP(KY$1,$S29:$HK29,csv!$L29:$HD29))</f>
        <v>0</v>
      </c>
      <c r="KZ29" s="5">
        <f>IF(ISERROR(LOOKUP(KZ$1,$S29:$HK29,csv!$L29:$HD29)),NA(),LOOKUP(KZ$1,$S29:$HK29,csv!$L29:$HD29))</f>
        <v>0</v>
      </c>
      <c r="LA29" s="5">
        <f>IF(ISERROR(LOOKUP(LA$1,$S29:$HK29,csv!$L29:$HD29)),NA(),LOOKUP(LA$1,$S29:$HK29,csv!$L29:$HD29))</f>
        <v>0</v>
      </c>
      <c r="LB29" s="5">
        <f>IF(ISERROR(LOOKUP(LB$1,$S29:$HK29,csv!$L29:$HD29)),NA(),LOOKUP(LB$1,$S29:$HK29,csv!$L29:$HD29))</f>
        <v>0</v>
      </c>
      <c r="LC29" s="5">
        <f>IF(ISERROR(LOOKUP(LC$1,$S29:$HK29,csv!$L29:$HD29)),NA(),LOOKUP(LC$1,$S29:$HK29,csv!$L29:$HD29))</f>
        <v>0</v>
      </c>
      <c r="LD29" s="5">
        <f>IF(ISERROR(LOOKUP(LD$1,$S29:$HK29,csv!$L29:$HD29)),NA(),LOOKUP(LD$1,$S29:$HK29,csv!$L29:$HD29))</f>
        <v>0</v>
      </c>
      <c r="LE29" s="5">
        <f>IF(ISERROR(LOOKUP(LE$1,$S29:$HK29,csv!$L29:$HD29)),NA(),LOOKUP(LE$1,$S29:$HK29,csv!$L29:$HD29))</f>
        <v>0</v>
      </c>
      <c r="LF29" s="5">
        <f>IF(ISERROR(LOOKUP(LF$1,$S29:$HK29,csv!$L29:$HD29)),NA(),LOOKUP(LF$1,$S29:$HK29,csv!$L29:$HD29))</f>
        <v>0</v>
      </c>
      <c r="LG29" s="5">
        <f>IF(ISERROR(LOOKUP(LG$1,$S29:$HK29,csv!$L29:$HD29)),NA(),LOOKUP(LG$1,$S29:$HK29,csv!$L29:$HD29))</f>
        <v>0</v>
      </c>
      <c r="LH29" s="5">
        <f>IF(ISERROR(LOOKUP(LH$1,$S29:$HK29,csv!$L29:$HD29)),NA(),LOOKUP(LH$1,$S29:$HK29,csv!$L29:$HD29))</f>
        <v>0</v>
      </c>
      <c r="LI29" s="5">
        <f>IF(ISERROR(LOOKUP(LI$1,$S29:$HK29,csv!$L29:$HD29)),NA(),LOOKUP(LI$1,$S29:$HK29,csv!$L29:$HD29))</f>
        <v>0</v>
      </c>
      <c r="LJ29" s="5">
        <f>IF(ISERROR(LOOKUP(LJ$1,$S29:$HK29,csv!$L29:$HD29)),NA(),LOOKUP(LJ$1,$S29:$HK29,csv!$L29:$HD29))</f>
        <v>0</v>
      </c>
      <c r="LK29" s="5">
        <f>IF(ISERROR(LOOKUP(LK$1,$S29:$HK29,csv!$L29:$HD29)),NA(),LOOKUP(LK$1,$S29:$HK29,csv!$L29:$HD29))</f>
        <v>0</v>
      </c>
      <c r="LL29" s="5">
        <f>IF(ISERROR(LOOKUP(LL$1,$S29:$HK29,csv!$L29:$HD29)),NA(),LOOKUP(LL$1,$S29:$HK29,csv!$L29:$HD29))</f>
        <v>0</v>
      </c>
      <c r="LM29" s="5">
        <f>IF(ISERROR(LOOKUP(LM$1,$S29:$HK29,csv!$L29:$HD29)),NA(),LOOKUP(LM$1,$S29:$HK29,csv!$L29:$HD29))</f>
        <v>0</v>
      </c>
      <c r="LN29" s="5">
        <f>IF(ISERROR(LOOKUP(LN$1,$S29:$HK29,csv!$L29:$HD29)),NA(),LOOKUP(LN$1,$S29:$HK29,csv!$L29:$HD29))</f>
        <v>0</v>
      </c>
      <c r="LO29" s="5">
        <f>IF(ISERROR(LOOKUP(LO$1,$S29:$HK29,csv!$L29:$HD29)),NA(),LOOKUP(LO$1,$S29:$HK29,csv!$L29:$HD29))</f>
        <v>0</v>
      </c>
      <c r="LP29" s="5">
        <f>IF(ISERROR(LOOKUP(LP$1,$S29:$HK29,csv!$L29:$HD29)),NA(),LOOKUP(LP$1,$S29:$HK29,csv!$L29:$HD29))</f>
        <v>0</v>
      </c>
      <c r="LQ29" s="5">
        <f>IF(ISERROR(LOOKUP(LQ$1,$S29:$HK29,csv!$L29:$HD29)),NA(),LOOKUP(LQ$1,$S29:$HK29,csv!$L29:$HD29))</f>
        <v>0</v>
      </c>
      <c r="LR29" s="5">
        <f>IF(ISERROR(LOOKUP(LR$1,$S29:$HK29,csv!$L29:$HD29)),NA(),LOOKUP(LR$1,$S29:$HK29,csv!$L29:$HD29))</f>
        <v>0</v>
      </c>
      <c r="LS29" s="5">
        <f>IF(ISERROR(LOOKUP(LS$1,$S29:$HK29,csv!$L29:$HD29)),NA(),LOOKUP(LS$1,$S29:$HK29,csv!$L29:$HD29))</f>
        <v>0</v>
      </c>
      <c r="LT29" s="5">
        <f>IF(ISERROR(LOOKUP(LT$1,$S29:$HK29,csv!$L29:$HD29)),NA(),LOOKUP(LT$1,$S29:$HK29,csv!$L29:$HD29))</f>
        <v>0</v>
      </c>
      <c r="LU29" s="5">
        <f>IF(ISERROR(LOOKUP(LU$1,$S29:$HK29,csv!$L29:$HD29)),NA(),LOOKUP(LU$1,$S29:$HK29,csv!$L29:$HD29))</f>
        <v>0</v>
      </c>
      <c r="LV29" s="5">
        <f>IF(ISERROR(LOOKUP(LV$1,$S29:$HK29,csv!$L29:$HD29)),NA(),LOOKUP(LV$1,$S29:$HK29,csv!$L29:$HD29))</f>
        <v>0</v>
      </c>
      <c r="LW29" s="5">
        <f>IF(ISERROR(LOOKUP(LW$1,$S29:$HK29,csv!$L29:$HD29)),NA(),LOOKUP(LW$1,$S29:$HK29,csv!$L29:$HD29))</f>
        <v>0</v>
      </c>
      <c r="LX29" s="5">
        <f>IF(ISERROR(LOOKUP(LX$1,$S29:$HK29,csv!$L29:$HD29)),NA(),LOOKUP(LX$1,$S29:$HK29,csv!$L29:$HD29))</f>
        <v>0</v>
      </c>
      <c r="LY29" s="5">
        <f>IF(ISERROR(LOOKUP(LY$1,$S29:$HK29,csv!$L29:$HD29)),NA(),LOOKUP(LY$1,$S29:$HK29,csv!$L29:$HD29))</f>
        <v>0</v>
      </c>
      <c r="LZ29" s="5">
        <f>IF(ISERROR(LOOKUP(LZ$1,$S29:$HK29,csv!$L29:$HD29)),NA(),LOOKUP(LZ$1,$S29:$HK29,csv!$L29:$HD29))</f>
        <v>0</v>
      </c>
      <c r="MA29" s="5">
        <f>IF(ISERROR(LOOKUP(MA$1,$S29:$HK29,csv!$L29:$HD29)),NA(),LOOKUP(MA$1,$S29:$HK29,csv!$L29:$HD29))</f>
        <v>0</v>
      </c>
      <c r="MB29" s="5">
        <f>IF(ISERROR(LOOKUP(MB$1,$S29:$HK29,csv!$L29:$HD29)),NA(),LOOKUP(MB$1,$S29:$HK29,csv!$L29:$HD29))</f>
        <v>0</v>
      </c>
      <c r="MC29" s="5">
        <f>IF(ISERROR(LOOKUP(MC$1,$S29:$HK29,csv!$L29:$HD29)),NA(),LOOKUP(MC$1,$S29:$HK29,csv!$L29:$HD29))</f>
        <v>0</v>
      </c>
      <c r="MD29" s="5">
        <f>IF(ISERROR(LOOKUP(MD$1,$S29:$HK29,csv!$L29:$HD29)),NA(),LOOKUP(MD$1,$S29:$HK29,csv!$L29:$HD29))</f>
        <v>0</v>
      </c>
      <c r="ME29" s="5">
        <f>IF(ISERROR(LOOKUP(ME$1,$S29:$HK29,csv!$L29:$HD29)),NA(),LOOKUP(ME$1,$S29:$HK29,csv!$L29:$HD29))</f>
        <v>0</v>
      </c>
      <c r="MF29" s="5">
        <f>IF(ISERROR(LOOKUP(MF$1,$S29:$HK29,csv!$L29:$HD29)),NA(),LOOKUP(MF$1,$S29:$HK29,csv!$L29:$HD29))</f>
        <v>0</v>
      </c>
      <c r="MG29" s="5">
        <f>IF(ISERROR(LOOKUP(MG$1,$S29:$HK29,csv!$L29:$HD29)),NA(),LOOKUP(MG$1,$S29:$HK29,csv!$L29:$HD29))</f>
        <v>0</v>
      </c>
      <c r="MH29" s="5">
        <f>IF(ISERROR(LOOKUP(MH$1,$S29:$HK29,csv!$L29:$HD29)),NA(),LOOKUP(MH$1,$S29:$HK29,csv!$L29:$HD29))</f>
        <v>0</v>
      </c>
      <c r="MI29" s="5">
        <f>IF(ISERROR(LOOKUP(MI$1,$S29:$HK29,csv!$L29:$HD29)),NA(),LOOKUP(MI$1,$S29:$HK29,csv!$L29:$HD29))</f>
        <v>0</v>
      </c>
      <c r="MJ29" s="5">
        <f>IF(ISERROR(LOOKUP(MJ$1,$S29:$HK29,csv!$L29:$HD29)),NA(),LOOKUP(MJ$1,$S29:$HK29,csv!$L29:$HD29))</f>
        <v>0</v>
      </c>
      <c r="MK29" s="5">
        <f>IF(ISERROR(LOOKUP(MK$1,$S29:$HK29,csv!$L29:$HD29)),NA(),LOOKUP(MK$1,$S29:$HK29,csv!$L29:$HD29))</f>
        <v>0</v>
      </c>
      <c r="ML29" s="5">
        <f>IF(ISERROR(LOOKUP(ML$1,$S29:$HK29,csv!$L29:$HD29)),NA(),LOOKUP(ML$1,$S29:$HK29,csv!$L29:$HD29))</f>
        <v>0</v>
      </c>
      <c r="MM29" s="5">
        <f>IF(ISERROR(LOOKUP(MM$1,$S29:$HK29,csv!$L29:$HD29)),NA(),LOOKUP(MM$1,$S29:$HK29,csv!$L29:$HD29))</f>
        <v>0</v>
      </c>
      <c r="MN29" s="5">
        <f>IF(ISERROR(LOOKUP(MN$1,$S29:$HK29,csv!$L29:$HD29)),NA(),LOOKUP(MN$1,$S29:$HK29,csv!$L29:$HD29))</f>
        <v>0</v>
      </c>
      <c r="MO29" s="5">
        <f>IF(ISERROR(LOOKUP(MO$1,$S29:$HK29,csv!$L29:$HD29)),NA(),LOOKUP(MO$1,$S29:$HK29,csv!$L29:$HD29))</f>
        <v>0</v>
      </c>
      <c r="MP29" s="5">
        <f>IF(ISERROR(LOOKUP(MP$1,$S29:$HK29,csv!$L29:$HD29)),NA(),LOOKUP(MP$1,$S29:$HK29,csv!$L29:$HD29))</f>
        <v>0</v>
      </c>
      <c r="MQ29" s="5">
        <f>IF(ISERROR(LOOKUP(MQ$1,$S29:$HK29,csv!$L29:$HD29)),NA(),LOOKUP(MQ$1,$S29:$HK29,csv!$L29:$HD29))</f>
        <v>0</v>
      </c>
      <c r="MR29" s="5">
        <f>IF(ISERROR(LOOKUP(MR$1,$S29:$HK29,csv!$L29:$HD29)),NA(),LOOKUP(MR$1,$S29:$HK29,csv!$L29:$HD29))</f>
        <v>0</v>
      </c>
      <c r="MS29" s="5">
        <f>IF(ISERROR(LOOKUP(MS$1,$S29:$HK29,csv!$L29:$HD29)),NA(),LOOKUP(MS$1,$S29:$HK29,csv!$L29:$HD29))</f>
        <v>0</v>
      </c>
      <c r="MT29" s="5">
        <f>IF(ISERROR(LOOKUP(MT$1,$S29:$HK29,csv!$L29:$HD29)),NA(),LOOKUP(MT$1,$S29:$HK29,csv!$L29:$HD29))</f>
        <v>0</v>
      </c>
      <c r="MU29" s="5">
        <f>IF(ISERROR(LOOKUP(MU$1,$S29:$HK29,csv!$L29:$HD29)),NA(),LOOKUP(MU$1,$S29:$HK29,csv!$L29:$HD29))</f>
        <v>0</v>
      </c>
      <c r="MV29" s="5">
        <f>IF(ISERROR(LOOKUP(MV$1,$S29:$HK29,csv!$L29:$HD29)),NA(),LOOKUP(MV$1,$S29:$HK29,csv!$L29:$HD29))</f>
        <v>0</v>
      </c>
      <c r="MW29" s="5">
        <f>IF(ISERROR(LOOKUP(MW$1,$S29:$HK29,csv!$L29:$HD29)),NA(),LOOKUP(MW$1,$S29:$HK29,csv!$L29:$HD29))</f>
        <v>0</v>
      </c>
      <c r="MX29" s="5">
        <f>IF(ISERROR(LOOKUP(MX$1,$S29:$HK29,csv!$L29:$HD29)),NA(),LOOKUP(MX$1,$S29:$HK29,csv!$L29:$HD29))</f>
        <v>0</v>
      </c>
      <c r="MY29" s="5">
        <f>IF(ISERROR(LOOKUP(MY$1,$S29:$HK29,csv!$L29:$HD29)),NA(),LOOKUP(MY$1,$S29:$HK29,csv!$L29:$HD29))</f>
        <v>0</v>
      </c>
      <c r="MZ29" s="5">
        <f>IF(ISERROR(LOOKUP(MZ$1,$S29:$HK29,csv!$L29:$HD29)),NA(),LOOKUP(MZ$1,$S29:$HK29,csv!$L29:$HD29))</f>
        <v>0</v>
      </c>
      <c r="NA29" s="5">
        <f>IF(ISERROR(LOOKUP(NA$1,$S29:$HK29,csv!$L29:$HD29)),NA(),LOOKUP(NA$1,$S29:$HK29,csv!$L29:$HD29))</f>
        <v>0</v>
      </c>
      <c r="NB29" s="5">
        <f>IF(ISERROR(LOOKUP(NB$1,$S29:$HK29,csv!$L29:$HD29)),NA(),LOOKUP(NB$1,$S29:$HK29,csv!$L29:$HD29))</f>
        <v>0</v>
      </c>
      <c r="NC29" s="5">
        <f>IF(ISERROR(LOOKUP(NC$1,$S29:$HK29,csv!$L29:$HD29)),NA(),LOOKUP(NC$1,$S29:$HK29,csv!$L29:$HD29))</f>
        <v>0</v>
      </c>
      <c r="ND29" s="5">
        <f>IF(ISERROR(LOOKUP(ND$1,$S29:$HK29,csv!$L29:$HD29)),NA(),LOOKUP(ND$1,$S29:$HK29,csv!$L29:$HD29))</f>
        <v>0</v>
      </c>
      <c r="NE29" s="5">
        <f>IF(ISERROR(LOOKUP(NE$1,$S29:$HK29,csv!$L29:$HD29)),NA(),LOOKUP(NE$1,$S29:$HK29,csv!$L29:$HD29))</f>
        <v>0</v>
      </c>
      <c r="NF29" s="5">
        <f>IF(ISERROR(LOOKUP(NF$1,$S29:$HK29,csv!$L29:$HD29)),NA(),LOOKUP(NF$1,$S29:$HK29,csv!$L29:$HD29))</f>
        <v>0</v>
      </c>
      <c r="NG29" s="5">
        <f>IF(ISERROR(LOOKUP(NG$1,$S29:$HK29,csv!$L29:$HD29)),NA(),LOOKUP(NG$1,$S29:$HK29,csv!$L29:$HD29))</f>
        <v>0</v>
      </c>
      <c r="NH29" s="5">
        <f>IF(ISERROR(LOOKUP(NH$1,$S29:$HK29,csv!$L29:$HD29)),NA(),LOOKUP(NH$1,$S29:$HK29,csv!$L29:$HD29))</f>
        <v>0</v>
      </c>
      <c r="NI29" s="5">
        <f>IF(ISERROR(LOOKUP(NI$1,$S29:$HK29,csv!$L29:$HD29)),NA(),LOOKUP(NI$1,$S29:$HK29,csv!$L29:$HD29))</f>
        <v>0</v>
      </c>
      <c r="NJ29" s="5">
        <f>IF(ISERROR(LOOKUP(NJ$1,$S29:$HK29,csv!$L29:$HD29)),NA(),LOOKUP(NJ$1,$S29:$HK29,csv!$L29:$HD29))</f>
        <v>0</v>
      </c>
      <c r="NK29" s="5">
        <f>IF(ISERROR(LOOKUP(NK$1,$S29:$HK29,csv!$L29:$HD29)),NA(),LOOKUP(NK$1,$S29:$HK29,csv!$L29:$HD29))</f>
        <v>0</v>
      </c>
      <c r="NL29" s="5">
        <f>IF(ISERROR(LOOKUP(NL$1,$S29:$HK29,csv!$L29:$HD29)),NA(),LOOKUP(NL$1,$S29:$HK29,csv!$L29:$HD29))</f>
        <v>0</v>
      </c>
      <c r="NM29" s="5">
        <f>IF(ISERROR(LOOKUP(NM$1,$S29:$HK29,csv!$L29:$HD29)),NA(),LOOKUP(NM$1,$S29:$HK29,csv!$L29:$HD29))</f>
        <v>0</v>
      </c>
      <c r="NN29" s="5">
        <f>IF(ISERROR(LOOKUP(NN$1,$S29:$HK29,csv!$L29:$HD29)),NA(),LOOKUP(NN$1,$S29:$HK29,csv!$L29:$HD29))</f>
        <v>0</v>
      </c>
      <c r="NO29" s="5">
        <f>IF(ISERROR(LOOKUP(NO$1,$S29:$HK29,csv!$L29:$HD29)),NA(),LOOKUP(NO$1,$S29:$HK29,csv!$L29:$HD29))</f>
        <v>0</v>
      </c>
      <c r="NP29" s="5">
        <f>IF(ISERROR(LOOKUP(NP$1,$S29:$HK29,csv!$L29:$HD29)),NA(),LOOKUP(NP$1,$S29:$HK29,csv!$L29:$HD29))</f>
        <v>0</v>
      </c>
      <c r="NQ29" s="5">
        <f>IF(ISERROR(LOOKUP(NQ$1,$S29:$HK29,csv!$L29:$HD29)),NA(),LOOKUP(NQ$1,$S29:$HK29,csv!$L29:$HD29))</f>
        <v>0</v>
      </c>
      <c r="NR29" s="5">
        <f>IF(ISERROR(LOOKUP(NR$1,$S29:$HK29,csv!$L29:$HD29)),NA(),LOOKUP(NR$1,$S29:$HK29,csv!$L29:$HD29))</f>
        <v>0</v>
      </c>
      <c r="NS29" s="5">
        <f>IF(ISERROR(LOOKUP(NS$1,$S29:$HK29,csv!$L29:$HD29)),NA(),LOOKUP(NS$1,$S29:$HK29,csv!$L29:$HD29))</f>
        <v>0</v>
      </c>
      <c r="NT29" s="5">
        <f>IF(ISERROR(LOOKUP(NT$1,$S29:$HK29,csv!$L29:$HD29)),NA(),LOOKUP(NT$1,$S29:$HK29,csv!$L29:$HD29))</f>
        <v>0</v>
      </c>
      <c r="NU29" s="5">
        <f>IF(ISERROR(LOOKUP(NU$1,$S29:$HK29,csv!$L29:$HD29)),NA(),LOOKUP(NU$1,$S29:$HK29,csv!$L29:$HD29))</f>
        <v>0</v>
      </c>
      <c r="NV29" s="5">
        <f>IF(ISERROR(LOOKUP(NV$1,$S29:$HK29,csv!$L29:$HD29)),NA(),LOOKUP(NV$1,$S29:$HK29,csv!$L29:$HD29))</f>
        <v>0</v>
      </c>
      <c r="NW29" s="5">
        <f>IF(ISERROR(LOOKUP(NW$1,$S29:$HK29,csv!$L29:$HD29)),NA(),LOOKUP(NW$1,$S29:$HK29,csv!$L29:$HD29))</f>
        <v>0</v>
      </c>
      <c r="NX29" s="5">
        <f>IF(ISERROR(LOOKUP(NX$1,$S29:$HK29,csv!$L29:$HD29)),NA(),LOOKUP(NX$1,$S29:$HK29,csv!$L29:$HD29))</f>
        <v>0</v>
      </c>
      <c r="NY29" s="5">
        <f>IF(ISERROR(LOOKUP(NY$1,$S29:$HK29,csv!$L29:$HD29)),NA(),LOOKUP(NY$1,$S29:$HK29,csv!$L29:$HD29))</f>
        <v>0</v>
      </c>
      <c r="NZ29" s="5">
        <f>IF(ISERROR(LOOKUP(NZ$1,$S29:$HK29,csv!$L29:$HD29)),NA(),LOOKUP(NZ$1,$S29:$HK29,csv!$L29:$HD29))</f>
        <v>0</v>
      </c>
      <c r="OA29" s="5">
        <f>IF(ISERROR(LOOKUP(OA$1,$S29:$HK29,csv!$L29:$HD29)),NA(),LOOKUP(OA$1,$S29:$HK29,csv!$L29:$HD29))</f>
        <v>0</v>
      </c>
      <c r="OB29" s="5">
        <f>IF(ISERROR(LOOKUP(OB$1,$S29:$HK29,csv!$L29:$HD29)),NA(),LOOKUP(OB$1,$S29:$HK29,csv!$L29:$HD29))</f>
        <v>0</v>
      </c>
      <c r="OC29" s="5">
        <f>IF(ISERROR(LOOKUP(OC$1,$S29:$HK29,csv!$L29:$HD29)),NA(),LOOKUP(OC$1,$S29:$HK29,csv!$L29:$HD29))</f>
        <v>0</v>
      </c>
      <c r="OD29" s="5">
        <f>IF(ISERROR(LOOKUP(OD$1,$S29:$HK29,csv!$L29:$HD29)),NA(),LOOKUP(OD$1,$S29:$HK29,csv!$L29:$HD29))</f>
        <v>0</v>
      </c>
      <c r="OE29" s="5">
        <f>IF(ISERROR(LOOKUP(OE$1,$S29:$HK29,csv!$L29:$HD29)),NA(),LOOKUP(OE$1,$S29:$HK29,csv!$L29:$HD29))</f>
        <v>0</v>
      </c>
      <c r="OF29" s="5">
        <f>IF(ISERROR(LOOKUP(OF$1,$S29:$HK29,csv!$L29:$HD29)),NA(),LOOKUP(OF$1,$S29:$HK29,csv!$L29:$HD29))</f>
        <v>0</v>
      </c>
      <c r="OG29" s="5">
        <f>IF(ISERROR(LOOKUP(OG$1,$S29:$HK29,csv!$L29:$HD29)),NA(),LOOKUP(OG$1,$S29:$HK29,csv!$L29:$HD29))</f>
        <v>0</v>
      </c>
      <c r="OH29" s="5">
        <f>IF(ISERROR(LOOKUP(OH$1,$S29:$HK29,csv!$L29:$HD29)),NA(),LOOKUP(OH$1,$S29:$HK29,csv!$L29:$HD29))</f>
        <v>0</v>
      </c>
      <c r="OI29" s="5">
        <f>IF(ISERROR(LOOKUP(OI$1,$S29:$HK29,csv!$L29:$HD29)),NA(),LOOKUP(OI$1,$S29:$HK29,csv!$L29:$HD29))</f>
        <v>0</v>
      </c>
      <c r="OJ29" s="5">
        <f>IF(ISERROR(LOOKUP(OJ$1,$S29:$HK29,csv!$L29:$HD29)),NA(),LOOKUP(OJ$1,$S29:$HK29,csv!$L29:$HD29))</f>
        <v>0</v>
      </c>
      <c r="OK29" s="5">
        <f>IF(ISERROR(LOOKUP(OK$1,$S29:$HK29,csv!$L29:$HD29)),NA(),LOOKUP(OK$1,$S29:$HK29,csv!$L29:$HD29))</f>
        <v>0</v>
      </c>
      <c r="OL29" s="5">
        <f>IF(ISERROR(LOOKUP(OL$1,$S29:$HK29,csv!$L29:$HD29)),NA(),LOOKUP(OL$1,$S29:$HK29,csv!$L29:$HD29))</f>
        <v>0</v>
      </c>
      <c r="OM29" s="5">
        <f>IF(ISERROR(LOOKUP(OM$1,$S29:$HK29,csv!$L29:$HD29)),NA(),LOOKUP(OM$1,$S29:$HK29,csv!$L29:$HD29))</f>
        <v>0</v>
      </c>
      <c r="ON29" s="5">
        <f>IF(ISERROR(LOOKUP(ON$1,$S29:$HK29,csv!$L29:$HD29)),NA(),LOOKUP(ON$1,$S29:$HK29,csv!$L29:$HD29))</f>
        <v>0</v>
      </c>
      <c r="OO29" s="5">
        <f>IF(ISERROR(LOOKUP(OO$1,$S29:$HK29,csv!$L29:$HD29)),NA(),LOOKUP(OO$1,$S29:$HK29,csv!$L29:$HD29))</f>
        <v>0</v>
      </c>
      <c r="OP29" s="5">
        <f>IF(ISERROR(LOOKUP(OP$1,$S29:$HK29,csv!$L29:$HD29)),NA(),LOOKUP(OP$1,$S29:$HK29,csv!$L29:$HD29))</f>
        <v>0</v>
      </c>
      <c r="OQ29" s="5">
        <f>IF(ISERROR(LOOKUP(OQ$1,$S29:$HK29,csv!$L29:$HD29)),NA(),LOOKUP(OQ$1,$S29:$HK29,csv!$L29:$HD29))</f>
        <v>0</v>
      </c>
      <c r="OR29" s="5">
        <f>IF(ISERROR(LOOKUP(OR$1,$S29:$HK29,csv!$L29:$HD29)),NA(),LOOKUP(OR$1,$S29:$HK29,csv!$L29:$HD29))</f>
        <v>0</v>
      </c>
      <c r="OS29" s="5">
        <f>IF(ISERROR(LOOKUP(OS$1,$S29:$HK29,csv!$L29:$HD29)),NA(),LOOKUP(OS$1,$S29:$HK29,csv!$L29:$HD29))</f>
        <v>0</v>
      </c>
      <c r="OT29" s="5">
        <f>IF(ISERROR(LOOKUP(OT$1,$S29:$HK29,csv!$L29:$HD29)),NA(),LOOKUP(OT$1,$S29:$HK29,csv!$L29:$HD29))</f>
        <v>0</v>
      </c>
      <c r="OU29" s="5">
        <f>IF(ISERROR(LOOKUP(OU$1,$S29:$HK29,csv!$L29:$HD29)),NA(),LOOKUP(OU$1,$S29:$HK29,csv!$L29:$HD29))</f>
        <v>0</v>
      </c>
      <c r="OV29" s="5">
        <f>IF(ISERROR(LOOKUP(OV$1,$S29:$HK29,csv!$L29:$HD29)),NA(),LOOKUP(OV$1,$S29:$HK29,csv!$L29:$HD29))</f>
        <v>0</v>
      </c>
      <c r="OW29" s="5">
        <f>IF(ISERROR(LOOKUP(OW$1,$S29:$HK29,csv!$L29:$HD29)),NA(),LOOKUP(OW$1,$S29:$HK29,csv!$L29:$HD29))</f>
        <v>0</v>
      </c>
      <c r="OX29" s="5">
        <f>IF(ISERROR(LOOKUP(OX$1,$S29:$HK29,csv!$L29:$HD29)),NA(),LOOKUP(OX$1,$S29:$HK29,csv!$L29:$HD29))</f>
        <v>0</v>
      </c>
      <c r="OY29" s="5">
        <f>IF(ISERROR(LOOKUP(OY$1,$S29:$HK29,csv!$L29:$HD29)),NA(),LOOKUP(OY$1,$S29:$HK29,csv!$L29:$HD29))</f>
        <v>0</v>
      </c>
      <c r="OZ29" s="5">
        <f>IF(ISERROR(LOOKUP(OZ$1,$S29:$HK29,csv!$L29:$HD29)),NA(),LOOKUP(OZ$1,$S29:$HK29,csv!$L29:$HD29))</f>
        <v>0</v>
      </c>
      <c r="PA29" s="5">
        <f>IF(ISERROR(LOOKUP(PA$1,$S29:$HK29,csv!$L29:$HD29)),NA(),LOOKUP(PA$1,$S29:$HK29,csv!$L29:$HD29))</f>
        <v>0</v>
      </c>
      <c r="PB29" s="5">
        <f>IF(ISERROR(LOOKUP(PB$1,$S29:$HK29,csv!$L29:$HD29)),NA(),LOOKUP(PB$1,$S29:$HK29,csv!$L29:$HD29))</f>
        <v>0</v>
      </c>
      <c r="PC29" s="5">
        <f>IF(ISERROR(LOOKUP(PC$1,$S29:$HK29,csv!$L29:$HD29)),NA(),LOOKUP(PC$1,$S29:$HK29,csv!$L29:$HD29))</f>
        <v>0</v>
      </c>
      <c r="PD29" s="5">
        <f>IF(ISERROR(LOOKUP(PD$1,$S29:$HK29,csv!$L29:$HD29)),NA(),LOOKUP(PD$1,$S29:$HK29,csv!$L29:$HD29))</f>
        <v>0</v>
      </c>
      <c r="PE29" s="5">
        <f>IF(ISERROR(LOOKUP(PE$1,$S29:$HK29,csv!$L29:$HD29)),NA(),LOOKUP(PE$1,$S29:$HK29,csv!$L29:$HD29))</f>
        <v>0</v>
      </c>
      <c r="PF29" s="5">
        <f>IF(ISERROR(LOOKUP(PF$1,$S29:$HK29,csv!$L29:$HD29)),NA(),LOOKUP(PF$1,$S29:$HK29,csv!$L29:$HD29))</f>
        <v>0</v>
      </c>
      <c r="PG29" s="5">
        <f>IF(ISERROR(LOOKUP(PG$1,$S29:$HK29,csv!$L29:$HD29)),NA(),LOOKUP(PG$1,$S29:$HK29,csv!$L29:$HD29))</f>
        <v>0</v>
      </c>
      <c r="PH29" s="5">
        <f>IF(ISERROR(LOOKUP(PH$1,$S29:$HK29,csv!$L29:$HD29)),NA(),LOOKUP(PH$1,$S29:$HK29,csv!$L29:$HD29))</f>
        <v>0</v>
      </c>
      <c r="PI29" s="5">
        <f>IF(ISERROR(LOOKUP(PI$1,$S29:$HK29,csv!$L29:$HD29)),NA(),LOOKUP(PI$1,$S29:$HK29,csv!$L29:$HD29))</f>
        <v>0</v>
      </c>
      <c r="PJ29" s="5">
        <f>IF(ISERROR(LOOKUP(PJ$1,$S29:$HK29,csv!$L29:$HD29)),NA(),LOOKUP(PJ$1,$S29:$HK29,csv!$L29:$HD29))</f>
        <v>0</v>
      </c>
      <c r="PK29" s="5">
        <f>IF(ISERROR(LOOKUP(PK$1,$S29:$HK29,csv!$L29:$HD29)),NA(),LOOKUP(PK$1,$S29:$HK29,csv!$L29:$HD29))</f>
        <v>0</v>
      </c>
      <c r="PL29" s="5">
        <f>IF(ISERROR(LOOKUP(PL$1,$S29:$HK29,csv!$L29:$HD29)),NA(),LOOKUP(PL$1,$S29:$HK29,csv!$L29:$HD29))</f>
        <v>0</v>
      </c>
      <c r="PM29" s="5">
        <f>IF(ISERROR(LOOKUP(PM$1,$S29:$HK29,csv!$L29:$HD29)),NA(),LOOKUP(PM$1,$S29:$HK29,csv!$L29:$HD29))</f>
        <v>0</v>
      </c>
      <c r="PN29" s="5">
        <f>IF(ISERROR(LOOKUP(PN$1,$S29:$HK29,csv!$L29:$HD29)),NA(),LOOKUP(PN$1,$S29:$HK29,csv!$L29:$HD29))</f>
        <v>0</v>
      </c>
      <c r="PO29" s="5">
        <f>IF(ISERROR(LOOKUP(PO$1,$S29:$HK29,csv!$L29:$HD29)),NA(),LOOKUP(PO$1,$S29:$HK29,csv!$L29:$HD29))</f>
        <v>0</v>
      </c>
      <c r="PP29" s="5">
        <f>IF(ISERROR(LOOKUP(PP$1,$S29:$HK29,csv!$L29:$HD29)),NA(),LOOKUP(PP$1,$S29:$HK29,csv!$L29:$HD29))</f>
        <v>0</v>
      </c>
      <c r="PQ29" s="5">
        <f>IF(ISERROR(LOOKUP(PQ$1,$S29:$HK29,csv!$L29:$HD29)),NA(),LOOKUP(PQ$1,$S29:$HK29,csv!$L29:$HD29))</f>
        <v>0</v>
      </c>
      <c r="PR29" s="5">
        <f>IF(ISERROR(LOOKUP(PR$1,$S29:$HK29,csv!$L29:$HD29)),NA(),LOOKUP(PR$1,$S29:$HK29,csv!$L29:$HD29))</f>
        <v>0</v>
      </c>
      <c r="PS29" s="5">
        <f>IF(ISERROR(LOOKUP(PS$1,$S29:$HK29,csv!$L29:$HD29)),NA(),LOOKUP(PS$1,$S29:$HK29,csv!$L29:$HD29))</f>
        <v>0</v>
      </c>
      <c r="PT29" s="5">
        <f>IF(ISERROR(LOOKUP(PT$1,$S29:$HK29,csv!$L29:$HD29)),NA(),LOOKUP(PT$1,$S29:$HK29,csv!$L29:$HD29))</f>
        <v>0</v>
      </c>
      <c r="PU29" s="5">
        <f>IF(ISERROR(LOOKUP(PU$1,$S29:$HK29,csv!$L29:$HD29)),NA(),LOOKUP(PU$1,$S29:$HK29,csv!$L29:$HD29))</f>
        <v>0</v>
      </c>
      <c r="PV29" s="5">
        <f>IF(ISERROR(LOOKUP(PV$1,$S29:$HK29,csv!$L29:$HD29)),NA(),LOOKUP(PV$1,$S29:$HK29,csv!$L29:$HD29))</f>
        <v>0</v>
      </c>
      <c r="PW29" s="5">
        <f>IF(ISERROR(LOOKUP(PW$1,$S29:$HK29,csv!$L29:$HD29)),NA(),LOOKUP(PW$1,$S29:$HK29,csv!$L29:$HD29))</f>
        <v>0</v>
      </c>
      <c r="PX29" s="5">
        <f>IF(ISERROR(LOOKUP(PX$1,$S29:$HK29,csv!$L29:$HD29)),NA(),LOOKUP(PX$1,$S29:$HK29,csv!$L29:$HD29))</f>
        <v>0</v>
      </c>
      <c r="PY29" s="5">
        <f>IF(ISERROR(LOOKUP(PY$1,$S29:$HK29,csv!$L29:$HD29)),NA(),LOOKUP(PY$1,$S29:$HK29,csv!$L29:$HD29))</f>
        <v>0</v>
      </c>
      <c r="PZ29" s="5">
        <f>IF(ISERROR(LOOKUP(PZ$1,$S29:$HK29,csv!$L29:$HD29)),NA(),LOOKUP(PZ$1,$S29:$HK29,csv!$L29:$HD29))</f>
        <v>0</v>
      </c>
      <c r="QA29" s="5">
        <f>IF(ISERROR(LOOKUP(QA$1,$S29:$HK29,csv!$L29:$HD29)),NA(),LOOKUP(QA$1,$S29:$HK29,csv!$L29:$HD29))</f>
        <v>0</v>
      </c>
      <c r="QB29" s="5">
        <f>IF(ISERROR(LOOKUP(QB$1,$S29:$HK29,csv!$L29:$HD29)),NA(),LOOKUP(QB$1,$S29:$HK29,csv!$L29:$HD29))</f>
        <v>0</v>
      </c>
      <c r="QC29" s="5">
        <f>IF(ISERROR(LOOKUP(QC$1,$S29:$HK29,csv!$L29:$HD29)),NA(),LOOKUP(QC$1,$S29:$HK29,csv!$L29:$HD29))</f>
        <v>0</v>
      </c>
      <c r="QD29" s="5">
        <f>IF(ISERROR(LOOKUP(QD$1,$S29:$HK29,csv!$L29:$HD29)),NA(),LOOKUP(QD$1,$S29:$HK29,csv!$L29:$HD29))</f>
        <v>0</v>
      </c>
      <c r="QE29" s="5">
        <f>IF(ISERROR(LOOKUP(QE$1,$S29:$HK29,csv!$L29:$HD29)),NA(),LOOKUP(QE$1,$S29:$HK29,csv!$L29:$HD29))</f>
        <v>0</v>
      </c>
      <c r="QF29" s="5">
        <f>IF(ISERROR(LOOKUP(QF$1,$S29:$HK29,csv!$L29:$HD29)),NA(),LOOKUP(QF$1,$S29:$HK29,csv!$L29:$HD29))</f>
        <v>0</v>
      </c>
      <c r="QG29" s="5">
        <f>IF(ISERROR(LOOKUP(QG$1,$S29:$HK29,csv!$L29:$HD29)),NA(),LOOKUP(QG$1,$S29:$HK29,csv!$L29:$HD29))</f>
        <v>0</v>
      </c>
      <c r="QH29" s="5">
        <f>IF(ISERROR(LOOKUP(QH$1,$S29:$HK29,csv!$L29:$HD29)),NA(),LOOKUP(QH$1,$S29:$HK29,csv!$L29:$HD29))</f>
        <v>0</v>
      </c>
      <c r="QI29" s="5">
        <f>IF(ISERROR(LOOKUP(QI$1,$S29:$HK29,csv!$L29:$HD29)),NA(),LOOKUP(QI$1,$S29:$HK29,csv!$L29:$HD29))</f>
        <v>0</v>
      </c>
      <c r="QJ29" s="5">
        <f>IF(ISERROR(LOOKUP(QJ$1,$S29:$HK29,csv!$L29:$HD29)),NA(),LOOKUP(QJ$1,$S29:$HK29,csv!$L29:$HD29))</f>
        <v>0</v>
      </c>
      <c r="QK29" s="5">
        <f>IF(ISERROR(LOOKUP(QK$1,$S29:$HK29,csv!$L29:$HD29)),NA(),LOOKUP(QK$1,$S29:$HK29,csv!$L29:$HD29))</f>
        <v>0</v>
      </c>
      <c r="QL29" s="5">
        <f>IF(ISERROR(LOOKUP(QL$1,$S29:$HK29,csv!$L29:$HD29)),NA(),LOOKUP(QL$1,$S29:$HK29,csv!$L29:$HD29))</f>
        <v>0</v>
      </c>
      <c r="QM29" s="5">
        <f>IF(ISERROR(LOOKUP(QM$1,$S29:$HK29,csv!$L29:$HD29)),NA(),LOOKUP(QM$1,$S29:$HK29,csv!$L29:$HD29))</f>
        <v>0</v>
      </c>
      <c r="QN29" s="5">
        <f>IF(ISERROR(LOOKUP(QN$1,$S29:$HK29,csv!$L29:$HD29)),NA(),LOOKUP(QN$1,$S29:$HK29,csv!$L29:$HD29))</f>
        <v>0</v>
      </c>
      <c r="QO29" s="5">
        <f>IF(ISERROR(LOOKUP(QO$1,$S29:$HK29,csv!$L29:$HD29)),NA(),LOOKUP(QO$1,$S29:$HK29,csv!$L29:$HD29))</f>
        <v>0</v>
      </c>
      <c r="QP29" s="5">
        <f>IF(ISERROR(LOOKUP(QP$1,$S29:$HK29,csv!$L29:$HD29)),NA(),LOOKUP(QP$1,$S29:$HK29,csv!$L29:$HD29))</f>
        <v>0</v>
      </c>
      <c r="QQ29" s="5">
        <f>IF(ISERROR(LOOKUP(QQ$1,$S29:$HK29,csv!$L29:$HD29)),NA(),LOOKUP(QQ$1,$S29:$HK29,csv!$L29:$HD29))</f>
        <v>0</v>
      </c>
      <c r="QR29" s="5">
        <f>IF(ISERROR(LOOKUP(QR$1,$S29:$HK29,csv!$L29:$HD29)),NA(),LOOKUP(QR$1,$S29:$HK29,csv!$L29:$HD29))</f>
        <v>0</v>
      </c>
      <c r="QS29" s="5">
        <f>IF(ISERROR(LOOKUP(QS$1,$S29:$HK29,csv!$L29:$HD29)),NA(),LOOKUP(QS$1,$S29:$HK29,csv!$L29:$HD29))</f>
        <v>0</v>
      </c>
      <c r="QT29" s="5">
        <f>IF(ISERROR(LOOKUP(QT$1,$S29:$HK29,csv!$L29:$HD29)),NA(),LOOKUP(QT$1,$S29:$HK29,csv!$L29:$HD29))</f>
        <v>0</v>
      </c>
      <c r="QU29" s="5">
        <f>IF(ISERROR(LOOKUP(QU$1,$S29:$HK29,csv!$L29:$HD29)),NA(),LOOKUP(QU$1,$S29:$HK29,csv!$L29:$HD29))</f>
        <v>0</v>
      </c>
      <c r="QV29" s="5">
        <f>IF(ISERROR(LOOKUP(QV$1,$S29:$HK29,csv!$L29:$HD29)),NA(),LOOKUP(QV$1,$S29:$HK29,csv!$L29:$HD29))</f>
        <v>0</v>
      </c>
      <c r="QW29" s="5">
        <f>IF(ISERROR(LOOKUP(QW$1,$S29:$HK29,csv!$L29:$HD29)),NA(),LOOKUP(QW$1,$S29:$HK29,csv!$L29:$HD29))</f>
        <v>0</v>
      </c>
      <c r="QX29" s="5">
        <f>IF(ISERROR(LOOKUP(QX$1,$S29:$HK29,csv!$L29:$HD29)),NA(),LOOKUP(QX$1,$S29:$HK29,csv!$L29:$HD29))</f>
        <v>0</v>
      </c>
      <c r="QY29" s="5">
        <f>IF(ISERROR(LOOKUP(QY$1,$S29:$HK29,csv!$L29:$HD29)),NA(),LOOKUP(QY$1,$S29:$HK29,csv!$L29:$HD29))</f>
        <v>0</v>
      </c>
      <c r="QZ29" s="5">
        <f>IF(ISERROR(LOOKUP(QZ$1,$S29:$HK29,csv!$L29:$HD29)),NA(),LOOKUP(QZ$1,$S29:$HK29,csv!$L29:$HD29))</f>
        <v>0</v>
      </c>
      <c r="RA29" s="5">
        <f>IF(ISERROR(LOOKUP(RA$1,$S29:$HK29,csv!$L29:$HD29)),NA(),LOOKUP(RA$1,$S29:$HK29,csv!$L29:$HD29))</f>
        <v>0</v>
      </c>
      <c r="RB29" s="5">
        <f>IF(ISERROR(LOOKUP(RB$1,$S29:$HK29,csv!$L29:$HD29)),NA(),LOOKUP(RB$1,$S29:$HK29,csv!$L29:$HD29))</f>
        <v>0</v>
      </c>
      <c r="RC29" s="5">
        <f>IF(ISERROR(LOOKUP(RC$1,$S29:$HK29,csv!$L29:$HD29)),NA(),LOOKUP(RC$1,$S29:$HK29,csv!$L29:$HD29))</f>
        <v>0</v>
      </c>
      <c r="RD29" s="5">
        <f>IF(ISERROR(LOOKUP(RD$1,$S29:$HK29,csv!$L29:$HD29)),NA(),LOOKUP(RD$1,$S29:$HK29,csv!$L29:$HD29))</f>
        <v>0</v>
      </c>
      <c r="RE29" s="5">
        <f>IF(ISERROR(LOOKUP(RE$1,$S29:$HK29,csv!$L29:$HD29)),NA(),LOOKUP(RE$1,$S29:$HK29,csv!$L29:$HD29))</f>
        <v>0</v>
      </c>
      <c r="RF29" s="5">
        <f>IF(ISERROR(LOOKUP(RF$1,$S29:$HK29,csv!$L29:$HD29)),NA(),LOOKUP(RF$1,$S29:$HK29,csv!$L29:$HD29))</f>
        <v>0</v>
      </c>
      <c r="RG29" s="5">
        <f>IF(ISERROR(LOOKUP(RG$1,$S29:$HK29,csv!$L29:$HD29)),NA(),LOOKUP(RG$1,$S29:$HK29,csv!$L29:$HD29))</f>
        <v>0</v>
      </c>
      <c r="RH29" s="5">
        <f>IF(ISERROR(LOOKUP(RH$1,$S29:$HK29,csv!$L29:$HD29)),NA(),LOOKUP(RH$1,$S29:$HK29,csv!$L29:$HD29))</f>
        <v>0</v>
      </c>
      <c r="RI29" s="5">
        <f>IF(ISERROR(LOOKUP(RI$1,$S29:$HK29,csv!$L29:$HD29)),NA(),LOOKUP(RI$1,$S29:$HK29,csv!$L29:$HD29))</f>
        <v>0</v>
      </c>
      <c r="RJ29" s="5">
        <f>IF(ISERROR(LOOKUP(RJ$1,$S29:$HK29,csv!$L29:$HD29)),NA(),LOOKUP(RJ$1,$S29:$HK29,csv!$L29:$HD29))</f>
        <v>0</v>
      </c>
      <c r="RK29" s="5">
        <f>IF(ISERROR(LOOKUP(RK$1,$S29:$HK29,csv!$L29:$HD29)),NA(),LOOKUP(RK$1,$S29:$HK29,csv!$L29:$HD29))</f>
        <v>0</v>
      </c>
      <c r="RL29" s="5">
        <f>IF(ISERROR(LOOKUP(RL$1,$S29:$HK29,csv!$L29:$HD29)),NA(),LOOKUP(RL$1,$S29:$HK29,csv!$L29:$HD29))</f>
        <v>0</v>
      </c>
      <c r="RM29" s="5">
        <f>IF(ISERROR(LOOKUP(RM$1,$S29:$HK29,csv!$L29:$HD29)),NA(),LOOKUP(RM$1,$S29:$HK29,csv!$L29:$HD29))</f>
        <v>0</v>
      </c>
      <c r="RN29" s="5">
        <f>IF(ISERROR(LOOKUP(RN$1,$S29:$HK29,csv!$L29:$HD29)),NA(),LOOKUP(RN$1,$S29:$HK29,csv!$L29:$HD29))</f>
        <v>0</v>
      </c>
      <c r="RO29" s="5">
        <f>IF(ISERROR(LOOKUP(RO$1,$S29:$HK29,csv!$L29:$HD29)),NA(),LOOKUP(RO$1,$S29:$HK29,csv!$L29:$HD29))</f>
        <v>0</v>
      </c>
      <c r="RP29" s="5">
        <f>IF(ISERROR(LOOKUP(RP$1,$S29:$HK29,csv!$L29:$HD29)),NA(),LOOKUP(RP$1,$S29:$HK29,csv!$L29:$HD29))</f>
        <v>0</v>
      </c>
      <c r="RQ29" s="5">
        <f>IF(ISERROR(LOOKUP(RQ$1,$S29:$HK29,csv!$L29:$HD29)),NA(),LOOKUP(RQ$1,$S29:$HK29,csv!$L29:$HD29))</f>
        <v>0</v>
      </c>
      <c r="RR29" s="5">
        <f>IF(ISERROR(LOOKUP(RR$1,$S29:$HK29,csv!$L29:$HD29)),NA(),LOOKUP(RR$1,$S29:$HK29,csv!$L29:$HD29))</f>
        <v>0</v>
      </c>
      <c r="RS29" s="5">
        <f>IF(ISERROR(LOOKUP(RS$1,$S29:$HK29,csv!$L29:$HD29)),NA(),LOOKUP(RS$1,$S29:$HK29,csv!$L29:$HD29))</f>
        <v>0</v>
      </c>
      <c r="RT29" s="5">
        <f>IF(ISERROR(LOOKUP(RT$1,$S29:$HK29,csv!$L29:$HD29)),NA(),LOOKUP(RT$1,$S29:$HK29,csv!$L29:$HD29))</f>
        <v>0</v>
      </c>
      <c r="RU29" s="5">
        <f>IF(ISERROR(LOOKUP(RU$1,$S29:$HK29,csv!$L29:$HD29)),NA(),LOOKUP(RU$1,$S29:$HK29,csv!$L29:$HD29))</f>
        <v>0</v>
      </c>
      <c r="RV29" s="5">
        <f>IF(ISERROR(LOOKUP(RV$1,$S29:$HK29,csv!$L29:$HD29)),NA(),LOOKUP(RV$1,$S29:$HK29,csv!$L29:$HD29))</f>
        <v>0</v>
      </c>
      <c r="RW29" s="5">
        <f>IF(ISERROR(LOOKUP(RW$1,$S29:$HK29,csv!$L29:$HD29)),NA(),LOOKUP(RW$1,$S29:$HK29,csv!$L29:$HD29))</f>
        <v>0</v>
      </c>
      <c r="RX29" s="5">
        <f>IF(ISERROR(LOOKUP(RX$1,$S29:$HK29,csv!$L29:$HD29)),NA(),LOOKUP(RX$1,$S29:$HK29,csv!$L29:$HD29))</f>
        <v>0</v>
      </c>
      <c r="RY29" s="5">
        <f>IF(ISERROR(LOOKUP(RY$1,$S29:$HK29,csv!$L29:$HD29)),NA(),LOOKUP(RY$1,$S29:$HK29,csv!$L29:$HD29))</f>
        <v>0</v>
      </c>
      <c r="RZ29" s="5">
        <f>IF(ISERROR(LOOKUP(RZ$1,$S29:$HK29,csv!$L29:$HD29)),NA(),LOOKUP(RZ$1,$S29:$HK29,csv!$L29:$HD29))</f>
        <v>0</v>
      </c>
      <c r="SA29" s="5">
        <f>IF(ISERROR(LOOKUP(SA$1,$S29:$HK29,csv!$L29:$HD29)),NA(),LOOKUP(SA$1,$S29:$HK29,csv!$L29:$HD29))</f>
        <v>0</v>
      </c>
      <c r="SB29" s="5">
        <f>IF(ISERROR(LOOKUP(SB$1,$S29:$HK29,csv!$L29:$HD29)),NA(),LOOKUP(SB$1,$S29:$HK29,csv!$L29:$HD29))</f>
        <v>0</v>
      </c>
      <c r="SC29" s="5">
        <f>IF(ISERROR(LOOKUP(SC$1,$S29:$HK29,csv!$L29:$HD29)),NA(),LOOKUP(SC$1,$S29:$HK29,csv!$L29:$HD29))</f>
        <v>0</v>
      </c>
      <c r="SD29" s="5">
        <f>IF(ISERROR(LOOKUP(SD$1,$S29:$HK29,csv!$L29:$HD29)),NA(),LOOKUP(SD$1,$S29:$HK29,csv!$L29:$HD29))</f>
        <v>0</v>
      </c>
      <c r="SE29" s="5">
        <f>IF(ISERROR(LOOKUP(SE$1,$S29:$HK29,csv!$L29:$HD29)),NA(),LOOKUP(SE$1,$S29:$HK29,csv!$L29:$HD29))</f>
        <v>0</v>
      </c>
      <c r="SF29" s="5">
        <f>IF(ISERROR(LOOKUP(SF$1,$S29:$HK29,csv!$L29:$HD29)),NA(),LOOKUP(SF$1,$S29:$HK29,csv!$L29:$HD29))</f>
        <v>0</v>
      </c>
      <c r="SG29" s="5">
        <f>IF(ISERROR(LOOKUP(SG$1,$S29:$HK29,csv!$L29:$HD29)),NA(),LOOKUP(SG$1,$S29:$HK29,csv!$L29:$HD29))</f>
        <v>0</v>
      </c>
      <c r="SH29" s="5">
        <f>IF(ISERROR(LOOKUP(SH$1,$S29:$HK29,csv!$L29:$HD29)),NA(),LOOKUP(SH$1,$S29:$HK29,csv!$L29:$HD29))</f>
        <v>0</v>
      </c>
      <c r="SI29" s="5">
        <f>IF(ISERROR(LOOKUP(SI$1,$S29:$HK29,csv!$L29:$HD29)),NA(),LOOKUP(SI$1,$S29:$HK29,csv!$L29:$HD29))</f>
        <v>0</v>
      </c>
      <c r="SJ29" s="5">
        <f>IF(ISERROR(LOOKUP(SJ$1,$S29:$HK29,csv!$L29:$HD29)),NA(),LOOKUP(SJ$1,$S29:$HK29,csv!$L29:$HD29))</f>
        <v>0</v>
      </c>
      <c r="SK29" s="5">
        <f>IF(ISERROR(LOOKUP(SK$1,$S29:$HK29,csv!$L29:$HD29)),NA(),LOOKUP(SK$1,$S29:$HK29,csv!$L29:$HD29))</f>
        <v>0</v>
      </c>
      <c r="SL29" s="5">
        <f>IF(ISERROR(LOOKUP(SL$1,$S29:$HK29,csv!$L29:$HD29)),NA(),LOOKUP(SL$1,$S29:$HK29,csv!$L29:$HD29))</f>
        <v>0</v>
      </c>
      <c r="SM29" s="5">
        <f>IF(ISERROR(LOOKUP(SM$1,$S29:$HK29,csv!$L29:$HD29)),NA(),LOOKUP(SM$1,$S29:$HK29,csv!$L29:$HD29))</f>
        <v>0</v>
      </c>
      <c r="SN29" s="5">
        <f>IF(ISERROR(LOOKUP(SN$1,$S29:$HK29,csv!$L29:$HD29)),NA(),LOOKUP(SN$1,$S29:$HK29,csv!$L29:$HD29))</f>
        <v>0</v>
      </c>
      <c r="SO29" s="5">
        <f>IF(ISERROR(LOOKUP(SO$1,$S29:$HK29,csv!$L29:$HD29)),NA(),LOOKUP(SO$1,$S29:$HK29,csv!$L29:$HD29))</f>
        <v>0</v>
      </c>
      <c r="SP29" s="5">
        <f>IF(ISERROR(LOOKUP(SP$1,$S29:$HK29,csv!$L29:$HD29)),NA(),LOOKUP(SP$1,$S29:$HK29,csv!$L29:$HD29))</f>
        <v>0</v>
      </c>
      <c r="SQ29" s="5">
        <f>IF(ISERROR(LOOKUP(SQ$1,$S29:$HK29,csv!$L29:$HD29)),NA(),LOOKUP(SQ$1,$S29:$HK29,csv!$L29:$HD29))</f>
        <v>0</v>
      </c>
      <c r="SR29" s="5">
        <f>IF(ISERROR(LOOKUP(SR$1,$S29:$HK29,csv!$L29:$HD29)),NA(),LOOKUP(SR$1,$S29:$HK29,csv!$L29:$HD29))</f>
        <v>0</v>
      </c>
      <c r="SS29" s="5">
        <f>IF(ISERROR(LOOKUP(SS$1,$S29:$HK29,csv!$L29:$HD29)),NA(),LOOKUP(SS$1,$S29:$HK29,csv!$L29:$HD29))</f>
        <v>0</v>
      </c>
      <c r="ST29" s="5">
        <f>IF(ISERROR(LOOKUP(ST$1,$S29:$HK29,csv!$L29:$HD29)),NA(),LOOKUP(ST$1,$S29:$HK29,csv!$L29:$HD29))</f>
        <v>0</v>
      </c>
      <c r="SU29" s="5">
        <f>IF(ISERROR(LOOKUP(SU$1,$S29:$HK29,csv!$L29:$HD29)),NA(),LOOKUP(SU$1,$S29:$HK29,csv!$L29:$HD29))</f>
        <v>0</v>
      </c>
      <c r="SV29" s="5">
        <f>IF(ISERROR(LOOKUP(SV$1,$S29:$HK29,csv!$L29:$HD29)),NA(),LOOKUP(SV$1,$S29:$HK29,csv!$L29:$HD29))</f>
        <v>0</v>
      </c>
      <c r="SW29" s="5">
        <f>IF(ISERROR(LOOKUP(SW$1,$S29:$HK29,csv!$L29:$HD29)),NA(),LOOKUP(SW$1,$S29:$HK29,csv!$L29:$HD29))</f>
        <v>0</v>
      </c>
      <c r="SX29" s="5">
        <f>IF(ISERROR(LOOKUP(SX$1,$S29:$HK29,csv!$L29:$HD29)),NA(),LOOKUP(SX$1,$S29:$HK29,csv!$L29:$HD29))</f>
        <v>0</v>
      </c>
      <c r="SY29" s="5">
        <f>IF(ISERROR(LOOKUP(SY$1,$S29:$HK29,csv!$L29:$HD29)),NA(),LOOKUP(SY$1,$S29:$HK29,csv!$L29:$HD29))</f>
        <v>0</v>
      </c>
      <c r="SZ29" s="5">
        <f>IF(ISERROR(LOOKUP(SZ$1,$S29:$HK29,csv!$L29:$HD29)),NA(),LOOKUP(SZ$1,$S29:$HK29,csv!$L29:$HD29))</f>
        <v>0</v>
      </c>
      <c r="TA29" s="5">
        <f>IF(ISERROR(LOOKUP(TA$1,$S29:$HK29,csv!$L29:$HD29)),NA(),LOOKUP(TA$1,$S29:$HK29,csv!$L29:$HD29))</f>
        <v>0</v>
      </c>
      <c r="TB29" s="5">
        <f>IF(ISERROR(LOOKUP(TB$1,$S29:$HK29,csv!$L29:$HD29)),NA(),LOOKUP(TB$1,$S29:$HK29,csv!$L29:$HD29))</f>
        <v>0</v>
      </c>
      <c r="TD29">
        <f>csv!HG29/10</f>
        <v>0</v>
      </c>
    </row>
    <row r="30" spans="3:524" x14ac:dyDescent="0.15">
      <c r="S30" s="4">
        <f>ROUND((csv!$HG30/10+calc!S$1),1)</f>
        <v>-10</v>
      </c>
      <c r="T30" s="4">
        <f>ROUND((csv!$HG30/10+calc!T$1),1)</f>
        <v>-9.9</v>
      </c>
      <c r="U30" s="4">
        <f>ROUND((csv!$HG30/10+calc!U$1),1)</f>
        <v>-9.8000000000000007</v>
      </c>
      <c r="V30" s="4">
        <f>ROUND((csv!$HG30/10+calc!V$1),1)</f>
        <v>-9.6999999999999993</v>
      </c>
      <c r="W30" s="4">
        <f>ROUND((csv!$HG30/10+calc!W$1),1)</f>
        <v>-9.6</v>
      </c>
      <c r="X30" s="4">
        <f>ROUND((csv!$HG30/10+calc!X$1),1)</f>
        <v>-9.5</v>
      </c>
      <c r="Y30" s="4">
        <f>ROUND((csv!$HG30/10+calc!Y$1),1)</f>
        <v>-9.4</v>
      </c>
      <c r="Z30" s="4">
        <f>ROUND((csv!$HG30/10+calc!Z$1),1)</f>
        <v>-9.3000000000000007</v>
      </c>
      <c r="AA30" s="4">
        <f>ROUND((csv!$HG30/10+calc!AA$1),1)</f>
        <v>-9.1999999999999993</v>
      </c>
      <c r="AB30" s="4">
        <f>ROUND((csv!$HG30/10+calc!AB$1),1)</f>
        <v>-9.1</v>
      </c>
      <c r="AC30" s="4">
        <f>ROUND((csv!$HG30/10+calc!AC$1),1)</f>
        <v>-9</v>
      </c>
      <c r="AD30" s="4">
        <f>ROUND((csv!$HG30/10+calc!AD$1),1)</f>
        <v>-8.9</v>
      </c>
      <c r="AE30" s="4">
        <f>ROUND((csv!$HG30/10+calc!AE$1),1)</f>
        <v>-8.8000000000000007</v>
      </c>
      <c r="AF30" s="4">
        <f>ROUND((csv!$HG30/10+calc!AF$1),1)</f>
        <v>-8.6999999999999993</v>
      </c>
      <c r="AG30" s="4">
        <f>ROUND((csv!$HG30/10+calc!AG$1),1)</f>
        <v>-8.6</v>
      </c>
      <c r="AH30" s="4">
        <f>ROUND((csv!$HG30/10+calc!AH$1),1)</f>
        <v>-8.5</v>
      </c>
      <c r="AI30" s="4">
        <f>ROUND((csv!$HG30/10+calc!AI$1),1)</f>
        <v>-8.4</v>
      </c>
      <c r="AJ30" s="4">
        <f>ROUND((csv!$HG30/10+calc!AJ$1),1)</f>
        <v>-8.3000000000000007</v>
      </c>
      <c r="AK30" s="4">
        <f>ROUND((csv!$HG30/10+calc!AK$1),1)</f>
        <v>-8.1999999999999993</v>
      </c>
      <c r="AL30" s="4">
        <f>ROUND((csv!$HG30/10+calc!AL$1),1)</f>
        <v>-8.1</v>
      </c>
      <c r="AM30" s="4">
        <f>ROUND((csv!$HG30/10+calc!AM$1),1)</f>
        <v>-8</v>
      </c>
      <c r="AN30" s="4">
        <f>ROUND((csv!$HG30/10+calc!AN$1),1)</f>
        <v>-7.9</v>
      </c>
      <c r="AO30" s="4">
        <f>ROUND((csv!$HG30/10+calc!AO$1),1)</f>
        <v>-7.8</v>
      </c>
      <c r="AP30" s="4">
        <f>ROUND((csv!$HG30/10+calc!AP$1),1)</f>
        <v>-7.7</v>
      </c>
      <c r="AQ30" s="4">
        <f>ROUND((csv!$HG30/10+calc!AQ$1),1)</f>
        <v>-7.6</v>
      </c>
      <c r="AR30" s="4">
        <f>ROUND((csv!$HG30/10+calc!AR$1),1)</f>
        <v>-7.5</v>
      </c>
      <c r="AS30" s="4">
        <f>ROUND((csv!$HG30/10+calc!AS$1),1)</f>
        <v>-7.4</v>
      </c>
      <c r="AT30" s="4">
        <f>ROUND((csv!$HG30/10+calc!AT$1),1)</f>
        <v>-7.3</v>
      </c>
      <c r="AU30" s="4">
        <f>ROUND((csv!$HG30/10+calc!AU$1),1)</f>
        <v>-7.2</v>
      </c>
      <c r="AV30" s="4">
        <f>ROUND((csv!$HG30/10+calc!AV$1),1)</f>
        <v>-7.1</v>
      </c>
      <c r="AW30" s="4">
        <f>ROUND((csv!$HG30/10+calc!AW$1),1)</f>
        <v>-7</v>
      </c>
      <c r="AX30" s="4">
        <f>ROUND((csv!$HG30/10+calc!AX$1),1)</f>
        <v>-6.9</v>
      </c>
      <c r="AY30" s="4">
        <f>ROUND((csv!$HG30/10+calc!AY$1),1)</f>
        <v>-6.8</v>
      </c>
      <c r="AZ30" s="4">
        <f>ROUND((csv!$HG30/10+calc!AZ$1),1)</f>
        <v>-6.7</v>
      </c>
      <c r="BA30" s="4">
        <f>ROUND((csv!$HG30/10+calc!BA$1),1)</f>
        <v>-6.6</v>
      </c>
      <c r="BB30" s="4">
        <f>ROUND((csv!$HG30/10+calc!BB$1),1)</f>
        <v>-6.5</v>
      </c>
      <c r="BC30" s="4">
        <f>ROUND((csv!$HG30/10+calc!BC$1),1)</f>
        <v>-6.4</v>
      </c>
      <c r="BD30" s="4">
        <f>ROUND((csv!$HG30/10+calc!BD$1),1)</f>
        <v>-6.3</v>
      </c>
      <c r="BE30" s="4">
        <f>ROUND((csv!$HG30/10+calc!BE$1),1)</f>
        <v>-6.2</v>
      </c>
      <c r="BF30" s="4">
        <f>ROUND((csv!$HG30/10+calc!BF$1),1)</f>
        <v>-6.1</v>
      </c>
      <c r="BG30" s="4">
        <f>ROUND((csv!$HG30/10+calc!BG$1),1)</f>
        <v>-6</v>
      </c>
      <c r="BH30" s="4">
        <f>ROUND((csv!$HG30/10+calc!BH$1),1)</f>
        <v>-5.9</v>
      </c>
      <c r="BI30" s="4">
        <f>ROUND((csv!$HG30/10+calc!BI$1),1)</f>
        <v>-5.8</v>
      </c>
      <c r="BJ30" s="4">
        <f>ROUND((csv!$HG30/10+calc!BJ$1),1)</f>
        <v>-5.7</v>
      </c>
      <c r="BK30" s="4">
        <f>ROUND((csv!$HG30/10+calc!BK$1),1)</f>
        <v>-5.6</v>
      </c>
      <c r="BL30" s="4">
        <f>ROUND((csv!$HG30/10+calc!BL$1),1)</f>
        <v>-5.5</v>
      </c>
      <c r="BM30" s="4">
        <f>ROUND((csv!$HG30/10+calc!BM$1),1)</f>
        <v>-5.4</v>
      </c>
      <c r="BN30" s="4">
        <f>ROUND((csv!$HG30/10+calc!BN$1),1)</f>
        <v>-5.3</v>
      </c>
      <c r="BO30" s="4">
        <f>ROUND((csv!$HG30/10+calc!BO$1),1)</f>
        <v>-5.2</v>
      </c>
      <c r="BP30" s="4">
        <f>ROUND((csv!$HG30/10+calc!BP$1),1)</f>
        <v>-5.0999999999999996</v>
      </c>
      <c r="BQ30" s="4">
        <f>ROUND((csv!$HG30/10+calc!BQ$1),1)</f>
        <v>-5</v>
      </c>
      <c r="BR30" s="4">
        <f>ROUND((csv!$HG30/10+calc!BR$1),1)</f>
        <v>-4.9000000000000004</v>
      </c>
      <c r="BS30" s="4">
        <f>ROUND((csv!$HG30/10+calc!BS$1),1)</f>
        <v>-4.8</v>
      </c>
      <c r="BT30" s="4">
        <f>ROUND((csv!$HG30/10+calc!BT$1),1)</f>
        <v>-4.7</v>
      </c>
      <c r="BU30" s="4">
        <f>ROUND((csv!$HG30/10+calc!BU$1),1)</f>
        <v>-4.5999999999999996</v>
      </c>
      <c r="BV30" s="4">
        <f>ROUND((csv!$HG30/10+calc!BV$1),1)</f>
        <v>-4.5</v>
      </c>
      <c r="BW30" s="4">
        <f>ROUND((csv!$HG30/10+calc!BW$1),1)</f>
        <v>-4.4000000000000004</v>
      </c>
      <c r="BX30" s="4">
        <f>ROUND((csv!$HG30/10+calc!BX$1),1)</f>
        <v>-4.3</v>
      </c>
      <c r="BY30" s="4">
        <f>ROUND((csv!$HG30/10+calc!BY$1),1)</f>
        <v>-4.2</v>
      </c>
      <c r="BZ30" s="4">
        <f>ROUND((csv!$HG30/10+calc!BZ$1),1)</f>
        <v>-4.0999999999999996</v>
      </c>
      <c r="CA30" s="4">
        <f>ROUND((csv!$HG30/10+calc!CA$1),1)</f>
        <v>-4</v>
      </c>
      <c r="CB30" s="4">
        <f>ROUND((csv!$HG30/10+calc!CB$1),1)</f>
        <v>-3.9</v>
      </c>
      <c r="CC30" s="4">
        <f>ROUND((csv!$HG30/10+calc!CC$1),1)</f>
        <v>-3.8</v>
      </c>
      <c r="CD30" s="4">
        <f>ROUND((csv!$HG30/10+calc!CD$1),1)</f>
        <v>-3.7</v>
      </c>
      <c r="CE30" s="4">
        <f>ROUND((csv!$HG30/10+calc!CE$1),1)</f>
        <v>-3.6</v>
      </c>
      <c r="CF30" s="4">
        <f>ROUND((csv!$HG30/10+calc!CF$1),1)</f>
        <v>-3.5</v>
      </c>
      <c r="CG30" s="4">
        <f>ROUND((csv!$HG30/10+calc!CG$1),1)</f>
        <v>-3.4</v>
      </c>
      <c r="CH30" s="4">
        <f>ROUND((csv!$HG30/10+calc!CH$1),1)</f>
        <v>-3.3</v>
      </c>
      <c r="CI30" s="4">
        <f>ROUND((csv!$HG30/10+calc!CI$1),1)</f>
        <v>-3.2</v>
      </c>
      <c r="CJ30" s="4">
        <f>ROUND((csv!$HG30/10+calc!CJ$1),1)</f>
        <v>-3.1</v>
      </c>
      <c r="CK30" s="4">
        <f>ROUND((csv!$HG30/10+calc!CK$1),1)</f>
        <v>-3</v>
      </c>
      <c r="CL30" s="4">
        <f>ROUND((csv!$HG30/10+calc!CL$1),1)</f>
        <v>-2.9</v>
      </c>
      <c r="CM30" s="4">
        <f>ROUND((csv!$HG30/10+calc!CM$1),1)</f>
        <v>-2.8</v>
      </c>
      <c r="CN30" s="4">
        <f>ROUND((csv!$HG30/10+calc!CN$1),1)</f>
        <v>-2.7</v>
      </c>
      <c r="CO30" s="4">
        <f>ROUND((csv!$HG30/10+calc!CO$1),1)</f>
        <v>-2.6</v>
      </c>
      <c r="CP30" s="4">
        <f>ROUND((csv!$HG30/10+calc!CP$1),1)</f>
        <v>-2.5</v>
      </c>
      <c r="CQ30" s="4">
        <f>ROUND((csv!$HG30/10+calc!CQ$1),1)</f>
        <v>-2.4</v>
      </c>
      <c r="CR30" s="4">
        <f>ROUND((csv!$HG30/10+calc!CR$1),1)</f>
        <v>-2.2999999999999998</v>
      </c>
      <c r="CS30" s="4">
        <f>ROUND((csv!$HG30/10+calc!CS$1),1)</f>
        <v>-2.2000000000000002</v>
      </c>
      <c r="CT30" s="4">
        <f>ROUND((csv!$HG30/10+calc!CT$1),1)</f>
        <v>-2.1</v>
      </c>
      <c r="CU30" s="4">
        <f>ROUND((csv!$HG30/10+calc!CU$1),1)</f>
        <v>-2</v>
      </c>
      <c r="CV30" s="4">
        <f>ROUND((csv!$HG30/10+calc!CV$1),1)</f>
        <v>-1.9</v>
      </c>
      <c r="CW30" s="4">
        <f>ROUND((csv!$HG30/10+calc!CW$1),1)</f>
        <v>-1.8</v>
      </c>
      <c r="CX30" s="4">
        <f>ROUND((csv!$HG30/10+calc!CX$1),1)</f>
        <v>-1.7</v>
      </c>
      <c r="CY30" s="4">
        <f>ROUND((csv!$HG30/10+calc!CY$1),1)</f>
        <v>-1.6</v>
      </c>
      <c r="CZ30" s="4">
        <f>ROUND((csv!$HG30/10+calc!CZ$1),1)</f>
        <v>-1.5</v>
      </c>
      <c r="DA30" s="4">
        <f>ROUND((csv!$HG30/10+calc!DA$1),1)</f>
        <v>-1.4</v>
      </c>
      <c r="DB30" s="4">
        <f>ROUND((csv!$HG30/10+calc!DB$1),1)</f>
        <v>-1.3</v>
      </c>
      <c r="DC30" s="4">
        <f>ROUND((csv!$HG30/10+calc!DC$1),1)</f>
        <v>-1.2</v>
      </c>
      <c r="DD30" s="4">
        <f>ROUND((csv!$HG30/10+calc!DD$1),1)</f>
        <v>-1.1000000000000001</v>
      </c>
      <c r="DE30" s="4">
        <f>ROUND((csv!$HG30/10+calc!DE$1),1)</f>
        <v>-1</v>
      </c>
      <c r="DF30" s="4">
        <f>ROUND((csv!$HG30/10+calc!DF$1),1)</f>
        <v>-0.9</v>
      </c>
      <c r="DG30" s="4">
        <f>ROUND((csv!$HG30/10+calc!DG$1),1)</f>
        <v>-0.8</v>
      </c>
      <c r="DH30" s="4">
        <f>ROUND((csv!$HG30/10+calc!DH$1),1)</f>
        <v>-0.7</v>
      </c>
      <c r="DI30" s="4">
        <f>ROUND((csv!$HG30/10+calc!DI$1),1)</f>
        <v>-0.6</v>
      </c>
      <c r="DJ30" s="4">
        <f>ROUND((csv!$HG30/10+calc!DJ$1),1)</f>
        <v>-0.5</v>
      </c>
      <c r="DK30" s="4">
        <f>ROUND((csv!$HG30/10+calc!DK$1),1)</f>
        <v>-0.4</v>
      </c>
      <c r="DL30" s="4">
        <f>ROUND((csv!$HG30/10+calc!DL$1),1)</f>
        <v>-0.3</v>
      </c>
      <c r="DM30" s="4">
        <f>ROUND((csv!$HG30/10+calc!DM$1),1)</f>
        <v>-0.2</v>
      </c>
      <c r="DN30" s="4">
        <f>ROUND((csv!$HG30/10+calc!DN$1),1)</f>
        <v>-0.1</v>
      </c>
      <c r="DO30" s="4">
        <f>ROUND((csv!$HG30/10+calc!DO$1),1)</f>
        <v>0</v>
      </c>
      <c r="DP30" s="4">
        <f>ROUND((csv!$HG30/10+calc!DP$1),1)</f>
        <v>0.1</v>
      </c>
      <c r="DQ30" s="4">
        <f>ROUND((csv!$HG30/10+calc!DQ$1),1)</f>
        <v>0.2</v>
      </c>
      <c r="DR30" s="4">
        <f>ROUND((csv!$HG30/10+calc!DR$1),1)</f>
        <v>0.3</v>
      </c>
      <c r="DS30" s="4">
        <f>ROUND((csv!$HG30/10+calc!DS$1),1)</f>
        <v>0.4</v>
      </c>
      <c r="DT30" s="4">
        <f>ROUND((csv!$HG30/10+calc!DT$1),1)</f>
        <v>0.5</v>
      </c>
      <c r="DU30" s="4">
        <f>ROUND((csv!$HG30/10+calc!DU$1),1)</f>
        <v>0.6</v>
      </c>
      <c r="DV30" s="4">
        <f>ROUND((csv!$HG30/10+calc!DV$1),1)</f>
        <v>0.7</v>
      </c>
      <c r="DW30" s="4">
        <f>ROUND((csv!$HG30/10+calc!DW$1),1)</f>
        <v>0.8</v>
      </c>
      <c r="DX30" s="4">
        <f>ROUND((csv!$HG30/10+calc!DX$1),1)</f>
        <v>0.9</v>
      </c>
      <c r="DY30" s="4">
        <f>ROUND((csv!$HG30/10+calc!DY$1),1)</f>
        <v>1</v>
      </c>
      <c r="DZ30" s="4">
        <f>ROUND((csv!$HG30/10+calc!DZ$1),1)</f>
        <v>1.1000000000000001</v>
      </c>
      <c r="EA30" s="4">
        <f>ROUND((csv!$HG30/10+calc!EA$1),1)</f>
        <v>1.2</v>
      </c>
      <c r="EB30" s="4">
        <f>ROUND((csv!$HG30/10+calc!EB$1),1)</f>
        <v>1.3</v>
      </c>
      <c r="EC30" s="4">
        <f>ROUND((csv!$HG30/10+calc!EC$1),1)</f>
        <v>1.4</v>
      </c>
      <c r="ED30" s="4">
        <f>ROUND((csv!$HG30/10+calc!ED$1),1)</f>
        <v>1.5</v>
      </c>
      <c r="EE30" s="4">
        <f>ROUND((csv!$HG30/10+calc!EE$1),1)</f>
        <v>1.6</v>
      </c>
      <c r="EF30" s="4">
        <f>ROUND((csv!$HG30/10+calc!EF$1),1)</f>
        <v>1.7</v>
      </c>
      <c r="EG30" s="4">
        <f>ROUND((csv!$HG30/10+calc!EG$1),1)</f>
        <v>1.8</v>
      </c>
      <c r="EH30" s="4">
        <f>ROUND((csv!$HG30/10+calc!EH$1),1)</f>
        <v>1.9</v>
      </c>
      <c r="EI30" s="4">
        <f>ROUND((csv!$HG30/10+calc!EI$1),1)</f>
        <v>2</v>
      </c>
      <c r="EJ30" s="4">
        <f>ROUND((csv!$HG30/10+calc!EJ$1),1)</f>
        <v>2.1</v>
      </c>
      <c r="EK30" s="4">
        <f>ROUND((csv!$HG30/10+calc!EK$1),1)</f>
        <v>2.2000000000000002</v>
      </c>
      <c r="EL30" s="4">
        <f>ROUND((csv!$HG30/10+calc!EL$1),1)</f>
        <v>2.2999999999999998</v>
      </c>
      <c r="EM30" s="4">
        <f>ROUND((csv!$HG30/10+calc!EM$1),1)</f>
        <v>2.4</v>
      </c>
      <c r="EN30" s="4">
        <f>ROUND((csv!$HG30/10+calc!EN$1),1)</f>
        <v>2.5</v>
      </c>
      <c r="EO30" s="4">
        <f>ROUND((csv!$HG30/10+calc!EO$1),1)</f>
        <v>2.6</v>
      </c>
      <c r="EP30" s="4">
        <f>ROUND((csv!$HG30/10+calc!EP$1),1)</f>
        <v>2.7</v>
      </c>
      <c r="EQ30" s="4">
        <f>ROUND((csv!$HG30/10+calc!EQ$1),1)</f>
        <v>2.8</v>
      </c>
      <c r="ER30" s="4">
        <f>ROUND((csv!$HG30/10+calc!ER$1),1)</f>
        <v>2.9</v>
      </c>
      <c r="ES30" s="4">
        <f>ROUND((csv!$HG30/10+calc!ES$1),1)</f>
        <v>3</v>
      </c>
      <c r="ET30" s="4">
        <f>ROUND((csv!$HG30/10+calc!ET$1),1)</f>
        <v>3.1</v>
      </c>
      <c r="EU30" s="4">
        <f>ROUND((csv!$HG30/10+calc!EU$1),1)</f>
        <v>3.2</v>
      </c>
      <c r="EV30" s="4">
        <f>ROUND((csv!$HG30/10+calc!EV$1),1)</f>
        <v>3.3</v>
      </c>
      <c r="EW30" s="4">
        <f>ROUND((csv!$HG30/10+calc!EW$1),1)</f>
        <v>3.4</v>
      </c>
      <c r="EX30" s="4">
        <f>ROUND((csv!$HG30/10+calc!EX$1),1)</f>
        <v>3.5</v>
      </c>
      <c r="EY30" s="4">
        <f>ROUND((csv!$HG30/10+calc!EY$1),1)</f>
        <v>3.6</v>
      </c>
      <c r="EZ30" s="4">
        <f>ROUND((csv!$HG30/10+calc!EZ$1),1)</f>
        <v>3.7</v>
      </c>
      <c r="FA30" s="4">
        <f>ROUND((csv!$HG30/10+calc!FA$1),1)</f>
        <v>3.8</v>
      </c>
      <c r="FB30" s="4">
        <f>ROUND((csv!$HG30/10+calc!FB$1),1)</f>
        <v>3.9</v>
      </c>
      <c r="FC30" s="4">
        <f>ROUND((csv!$HG30/10+calc!FC$1),1)</f>
        <v>4</v>
      </c>
      <c r="FD30" s="4">
        <f>ROUND((csv!$HG30/10+calc!FD$1),1)</f>
        <v>4.0999999999999996</v>
      </c>
      <c r="FE30" s="4">
        <f>ROUND((csv!$HG30/10+calc!FE$1),1)</f>
        <v>4.2</v>
      </c>
      <c r="FF30" s="4">
        <f>ROUND((csv!$HG30/10+calc!FF$1),1)</f>
        <v>4.3</v>
      </c>
      <c r="FG30" s="4">
        <f>ROUND((csv!$HG30/10+calc!FG$1),1)</f>
        <v>4.4000000000000004</v>
      </c>
      <c r="FH30" s="4">
        <f>ROUND((csv!$HG30/10+calc!FH$1),1)</f>
        <v>4.5</v>
      </c>
      <c r="FI30" s="4">
        <f>ROUND((csv!$HG30/10+calc!FI$1),1)</f>
        <v>4.5999999999999996</v>
      </c>
      <c r="FJ30" s="4">
        <f>ROUND((csv!$HG30/10+calc!FJ$1),1)</f>
        <v>4.7</v>
      </c>
      <c r="FK30" s="4">
        <f>ROUND((csv!$HG30/10+calc!FK$1),1)</f>
        <v>4.8</v>
      </c>
      <c r="FL30" s="4">
        <f>ROUND((csv!$HG30/10+calc!FL$1),1)</f>
        <v>4.9000000000000004</v>
      </c>
      <c r="FM30" s="4">
        <f>ROUND((csv!$HG30/10+calc!FM$1),1)</f>
        <v>5</v>
      </c>
      <c r="FN30" s="4">
        <f>ROUND((csv!$HG30/10+calc!FN$1),1)</f>
        <v>5.0999999999999996</v>
      </c>
      <c r="FO30" s="4">
        <f>ROUND((csv!$HG30/10+calc!FO$1),1)</f>
        <v>5.2</v>
      </c>
      <c r="FP30" s="4">
        <f>ROUND((csv!$HG30/10+calc!FP$1),1)</f>
        <v>5.3</v>
      </c>
      <c r="FQ30" s="4">
        <f>ROUND((csv!$HG30/10+calc!FQ$1),1)</f>
        <v>5.4</v>
      </c>
      <c r="FR30" s="4">
        <f>ROUND((csv!$HG30/10+calc!FR$1),1)</f>
        <v>5.5</v>
      </c>
      <c r="FS30" s="4">
        <f>ROUND((csv!$HG30/10+calc!FS$1),1)</f>
        <v>5.6</v>
      </c>
      <c r="FT30" s="4">
        <f>ROUND((csv!$HG30/10+calc!FT$1),1)</f>
        <v>5.7</v>
      </c>
      <c r="FU30" s="4">
        <f>ROUND((csv!$HG30/10+calc!FU$1),1)</f>
        <v>5.8</v>
      </c>
      <c r="FV30" s="4">
        <f>ROUND((csv!$HG30/10+calc!FV$1),1)</f>
        <v>5.9</v>
      </c>
      <c r="FW30" s="4">
        <f>ROUND((csv!$HG30/10+calc!FW$1),1)</f>
        <v>6</v>
      </c>
      <c r="FX30" s="4">
        <f>ROUND((csv!$HG30/10+calc!FX$1),1)</f>
        <v>6.1</v>
      </c>
      <c r="FY30" s="4">
        <f>ROUND((csv!$HG30/10+calc!FY$1),1)</f>
        <v>6.2</v>
      </c>
      <c r="FZ30" s="4">
        <f>ROUND((csv!$HG30/10+calc!FZ$1),1)</f>
        <v>6.3</v>
      </c>
      <c r="GA30" s="4">
        <f>ROUND((csv!$HG30/10+calc!GA$1),1)</f>
        <v>6.4</v>
      </c>
      <c r="GB30" s="4">
        <f>ROUND((csv!$HG30/10+calc!GB$1),1)</f>
        <v>6.5</v>
      </c>
      <c r="GC30" s="4">
        <f>ROUND((csv!$HG30/10+calc!GC$1),1)</f>
        <v>6.6</v>
      </c>
      <c r="GD30" s="4">
        <f>ROUND((csv!$HG30/10+calc!GD$1),1)</f>
        <v>6.7</v>
      </c>
      <c r="GE30" s="4">
        <f>ROUND((csv!$HG30/10+calc!GE$1),1)</f>
        <v>6.8</v>
      </c>
      <c r="GF30" s="4">
        <f>ROUND((csv!$HG30/10+calc!GF$1),1)</f>
        <v>6.9</v>
      </c>
      <c r="GG30" s="4">
        <f>ROUND((csv!$HG30/10+calc!GG$1),1)</f>
        <v>7</v>
      </c>
      <c r="GH30" s="4">
        <f>ROUND((csv!$HG30/10+calc!GH$1),1)</f>
        <v>7.1</v>
      </c>
      <c r="GI30" s="4">
        <f>ROUND((csv!$HG30/10+calc!GI$1),1)</f>
        <v>7.2</v>
      </c>
      <c r="GJ30" s="4">
        <f>ROUND((csv!$HG30/10+calc!GJ$1),1)</f>
        <v>7.3</v>
      </c>
      <c r="GK30" s="4">
        <f>ROUND((csv!$HG30/10+calc!GK$1),1)</f>
        <v>7.4</v>
      </c>
      <c r="GL30" s="4">
        <f>ROUND((csv!$HG30/10+calc!GL$1),1)</f>
        <v>7.5</v>
      </c>
      <c r="GM30" s="4">
        <f>ROUND((csv!$HG30/10+calc!GM$1),1)</f>
        <v>7.6</v>
      </c>
      <c r="GN30" s="4">
        <f>ROUND((csv!$HG30/10+calc!GN$1),1)</f>
        <v>7.7</v>
      </c>
      <c r="GO30" s="4">
        <f>ROUND((csv!$HG30/10+calc!GO$1),1)</f>
        <v>7.8</v>
      </c>
      <c r="GP30" s="4">
        <f>ROUND((csv!$HG30/10+calc!GP$1),1)</f>
        <v>7.9</v>
      </c>
      <c r="GQ30" s="4">
        <f>ROUND((csv!$HG30/10+calc!GQ$1),1)</f>
        <v>8</v>
      </c>
      <c r="GR30" s="4">
        <f>ROUND((csv!$HG30/10+calc!GR$1),1)</f>
        <v>8.1</v>
      </c>
      <c r="GS30" s="4">
        <f>ROUND((csv!$HG30/10+calc!GS$1),1)</f>
        <v>8.1999999999999993</v>
      </c>
      <c r="GT30" s="4">
        <f>ROUND((csv!$HG30/10+calc!GT$1),1)</f>
        <v>8.3000000000000007</v>
      </c>
      <c r="GU30" s="4">
        <f>ROUND((csv!$HG30/10+calc!GU$1),1)</f>
        <v>8.4</v>
      </c>
      <c r="GV30" s="4">
        <f>ROUND((csv!$HG30/10+calc!GV$1),1)</f>
        <v>8.5</v>
      </c>
      <c r="GW30" s="4">
        <f>ROUND((csv!$HG30/10+calc!GW$1),1)</f>
        <v>8.6</v>
      </c>
      <c r="GX30" s="4">
        <f>ROUND((csv!$HG30/10+calc!GX$1),1)</f>
        <v>8.6999999999999993</v>
      </c>
      <c r="GY30" s="4">
        <f>ROUND((csv!$HG30/10+calc!GY$1),1)</f>
        <v>8.8000000000000007</v>
      </c>
      <c r="GZ30" s="4">
        <f>ROUND((csv!$HG30/10+calc!GZ$1),1)</f>
        <v>8.9</v>
      </c>
      <c r="HA30" s="4">
        <f>ROUND((csv!$HG30/10+calc!HA$1),1)</f>
        <v>9</v>
      </c>
      <c r="HB30" s="4">
        <f>ROUND((csv!$HG30/10+calc!HB$1),1)</f>
        <v>9.1</v>
      </c>
      <c r="HC30" s="4">
        <f>ROUND((csv!$HG30/10+calc!HC$1),1)</f>
        <v>9.1999999999999993</v>
      </c>
      <c r="HD30" s="4">
        <f>ROUND((csv!$HG30/10+calc!HD$1),1)</f>
        <v>9.3000000000000007</v>
      </c>
      <c r="HE30" s="4">
        <f>ROUND((csv!$HG30/10+calc!HE$1),1)</f>
        <v>9.4</v>
      </c>
      <c r="HF30" s="4">
        <f>ROUND((csv!$HG30/10+calc!HF$1),1)</f>
        <v>9.5</v>
      </c>
      <c r="HG30" s="4">
        <f>ROUND((csv!$HG30/10+calc!HG$1),1)</f>
        <v>9.6</v>
      </c>
      <c r="HH30" s="4">
        <f>ROUND((csv!$HG30/10+calc!HH$1),1)</f>
        <v>9.6999999999999993</v>
      </c>
      <c r="HI30" s="4">
        <f>ROUND((csv!$HG30/10+calc!HI$1),1)</f>
        <v>9.8000000000000007</v>
      </c>
      <c r="HJ30" s="4">
        <f>ROUND((csv!$HG30/10+calc!HJ$1),1)</f>
        <v>9.9</v>
      </c>
      <c r="HK30" s="4">
        <f>ROUND((csv!$HG30/10+calc!HK$1),1)</f>
        <v>10</v>
      </c>
      <c r="HM30" s="2">
        <f>csv!A30*10000+csv!B30*100+csv!C30</f>
        <v>0</v>
      </c>
      <c r="HN30" s="5">
        <f>IF(ISERROR(LOOKUP(HN$1,$S30:$HK30,csv!$L30:$HD30)),NA(),LOOKUP(HN$1,$S30:$HK30,csv!$L30:$HD30))</f>
        <v>0</v>
      </c>
      <c r="HO30" s="5">
        <f>IF(ISERROR(LOOKUP(HO$1,$S30:$HK30,csv!$L30:$HD30)),NA(),LOOKUP(HO$1,$S30:$HK30,csv!$L30:$HD30))</f>
        <v>0</v>
      </c>
      <c r="HP30" s="5">
        <f>IF(ISERROR(LOOKUP(HP$1,$S30:$HK30,csv!$L30:$HD30)),NA(),LOOKUP(HP$1,$S30:$HK30,csv!$L30:$HD30))</f>
        <v>0</v>
      </c>
      <c r="HQ30" s="5">
        <f>IF(ISERROR(LOOKUP(HQ$1,$S30:$HK30,csv!$L30:$HD30)),NA(),LOOKUP(HQ$1,$S30:$HK30,csv!$L30:$HD30))</f>
        <v>0</v>
      </c>
      <c r="HR30" s="5">
        <f>IF(ISERROR(LOOKUP(HR$1,$S30:$HK30,csv!$L30:$HD30)),NA(),LOOKUP(HR$1,$S30:$HK30,csv!$L30:$HD30))</f>
        <v>0</v>
      </c>
      <c r="HS30" s="5">
        <f>IF(ISERROR(LOOKUP(HS$1,$S30:$HK30,csv!$L30:$HD30)),NA(),LOOKUP(HS$1,$S30:$HK30,csv!$L30:$HD30))</f>
        <v>0</v>
      </c>
      <c r="HT30" s="5">
        <f>IF(ISERROR(LOOKUP(HT$1,$S30:$HK30,csv!$L30:$HD30)),NA(),LOOKUP(HT$1,$S30:$HK30,csv!$L30:$HD30))</f>
        <v>0</v>
      </c>
      <c r="HU30" s="5">
        <f>IF(ISERROR(LOOKUP(HU$1,$S30:$HK30,csv!$L30:$HD30)),NA(),LOOKUP(HU$1,$S30:$HK30,csv!$L30:$HD30))</f>
        <v>0</v>
      </c>
      <c r="HV30" s="5">
        <f>IF(ISERROR(LOOKUP(HV$1,$S30:$HK30,csv!$L30:$HD30)),NA(),LOOKUP(HV$1,$S30:$HK30,csv!$L30:$HD30))</f>
        <v>0</v>
      </c>
      <c r="HW30" s="5">
        <f>IF(ISERROR(LOOKUP(HW$1,$S30:$HK30,csv!$L30:$HD30)),NA(),LOOKUP(HW$1,$S30:$HK30,csv!$L30:$HD30))</f>
        <v>0</v>
      </c>
      <c r="HX30" s="5">
        <f>IF(ISERROR(LOOKUP(HX$1,$S30:$HK30,csv!$L30:$HD30)),NA(),LOOKUP(HX$1,$S30:$HK30,csv!$L30:$HD30))</f>
        <v>0</v>
      </c>
      <c r="HY30" s="5">
        <f>IF(ISERROR(LOOKUP(HY$1,$S30:$HK30,csv!$L30:$HD30)),NA(),LOOKUP(HY$1,$S30:$HK30,csv!$L30:$HD30))</f>
        <v>0</v>
      </c>
      <c r="HZ30" s="5">
        <f>IF(ISERROR(LOOKUP(HZ$1,$S30:$HK30,csv!$L30:$HD30)),NA(),LOOKUP(HZ$1,$S30:$HK30,csv!$L30:$HD30))</f>
        <v>0</v>
      </c>
      <c r="IA30" s="5">
        <f>IF(ISERROR(LOOKUP(IA$1,$S30:$HK30,csv!$L30:$HD30)),NA(),LOOKUP(IA$1,$S30:$HK30,csv!$L30:$HD30))</f>
        <v>0</v>
      </c>
      <c r="IB30" s="5">
        <f>IF(ISERROR(LOOKUP(IB$1,$S30:$HK30,csv!$L30:$HD30)),NA(),LOOKUP(IB$1,$S30:$HK30,csv!$L30:$HD30))</f>
        <v>0</v>
      </c>
      <c r="IC30" s="5">
        <f>IF(ISERROR(LOOKUP(IC$1,$S30:$HK30,csv!$L30:$HD30)),NA(),LOOKUP(IC$1,$S30:$HK30,csv!$L30:$HD30))</f>
        <v>0</v>
      </c>
      <c r="ID30" s="5">
        <f>IF(ISERROR(LOOKUP(ID$1,$S30:$HK30,csv!$L30:$HD30)),NA(),LOOKUP(ID$1,$S30:$HK30,csv!$L30:$HD30))</f>
        <v>0</v>
      </c>
      <c r="IE30" s="5">
        <f>IF(ISERROR(LOOKUP(IE$1,$S30:$HK30,csv!$L30:$HD30)),NA(),LOOKUP(IE$1,$S30:$HK30,csv!$L30:$HD30))</f>
        <v>0</v>
      </c>
      <c r="IF30" s="5">
        <f>IF(ISERROR(LOOKUP(IF$1,$S30:$HK30,csv!$L30:$HD30)),NA(),LOOKUP(IF$1,$S30:$HK30,csv!$L30:$HD30))</f>
        <v>0</v>
      </c>
      <c r="IG30" s="5">
        <f>IF(ISERROR(LOOKUP(IG$1,$S30:$HK30,csv!$L30:$HD30)),NA(),LOOKUP(IG$1,$S30:$HK30,csv!$L30:$HD30))</f>
        <v>0</v>
      </c>
      <c r="IH30" s="5">
        <f>IF(ISERROR(LOOKUP(IH$1,$S30:$HK30,csv!$L30:$HD30)),NA(),LOOKUP(IH$1,$S30:$HK30,csv!$L30:$HD30))</f>
        <v>0</v>
      </c>
      <c r="II30" s="5">
        <f>IF(ISERROR(LOOKUP(II$1,$S30:$HK30,csv!$L30:$HD30)),NA(),LOOKUP(II$1,$S30:$HK30,csv!$L30:$HD30))</f>
        <v>0</v>
      </c>
      <c r="IJ30" s="5">
        <f>IF(ISERROR(LOOKUP(IJ$1,$S30:$HK30,csv!$L30:$HD30)),NA(),LOOKUP(IJ$1,$S30:$HK30,csv!$L30:$HD30))</f>
        <v>0</v>
      </c>
      <c r="IK30" s="5">
        <f>IF(ISERROR(LOOKUP(IK$1,$S30:$HK30,csv!$L30:$HD30)),NA(),LOOKUP(IK$1,$S30:$HK30,csv!$L30:$HD30))</f>
        <v>0</v>
      </c>
      <c r="IL30" s="5">
        <f>IF(ISERROR(LOOKUP(IL$1,$S30:$HK30,csv!$L30:$HD30)),NA(),LOOKUP(IL$1,$S30:$HK30,csv!$L30:$HD30))</f>
        <v>0</v>
      </c>
      <c r="IM30" s="5">
        <f>IF(ISERROR(LOOKUP(IM$1,$S30:$HK30,csv!$L30:$HD30)),NA(),LOOKUP(IM$1,$S30:$HK30,csv!$L30:$HD30))</f>
        <v>0</v>
      </c>
      <c r="IN30" s="5">
        <f>IF(ISERROR(LOOKUP(IN$1,$S30:$HK30,csv!$L30:$HD30)),NA(),LOOKUP(IN$1,$S30:$HK30,csv!$L30:$HD30))</f>
        <v>0</v>
      </c>
      <c r="IO30" s="5">
        <f>IF(ISERROR(LOOKUP(IO$1,$S30:$HK30,csv!$L30:$HD30)),NA(),LOOKUP(IO$1,$S30:$HK30,csv!$L30:$HD30))</f>
        <v>0</v>
      </c>
      <c r="IP30" s="5">
        <f>IF(ISERROR(LOOKUP(IP$1,$S30:$HK30,csv!$L30:$HD30)),NA(),LOOKUP(IP$1,$S30:$HK30,csv!$L30:$HD30))</f>
        <v>0</v>
      </c>
      <c r="IQ30" s="5">
        <f>IF(ISERROR(LOOKUP(IQ$1,$S30:$HK30,csv!$L30:$HD30)),NA(),LOOKUP(IQ$1,$S30:$HK30,csv!$L30:$HD30))</f>
        <v>0</v>
      </c>
      <c r="IR30" s="5">
        <f>IF(ISERROR(LOOKUP(IR$1,$S30:$HK30,csv!$L30:$HD30)),NA(),LOOKUP(IR$1,$S30:$HK30,csv!$L30:$HD30))</f>
        <v>0</v>
      </c>
      <c r="IS30" s="5">
        <f>IF(ISERROR(LOOKUP(IS$1,$S30:$HK30,csv!$L30:$HD30)),NA(),LOOKUP(IS$1,$S30:$HK30,csv!$L30:$HD30))</f>
        <v>0</v>
      </c>
      <c r="IT30" s="5">
        <f>IF(ISERROR(LOOKUP(IT$1,$S30:$HK30,csv!$L30:$HD30)),NA(),LOOKUP(IT$1,$S30:$HK30,csv!$L30:$HD30))</f>
        <v>0</v>
      </c>
      <c r="IU30" s="5">
        <f>IF(ISERROR(LOOKUP(IU$1,$S30:$HK30,csv!$L30:$HD30)),NA(),LOOKUP(IU$1,$S30:$HK30,csv!$L30:$HD30))</f>
        <v>0</v>
      </c>
      <c r="IV30" s="5">
        <f>IF(ISERROR(LOOKUP(IV$1,$S30:$HK30,csv!$L30:$HD30)),NA(),LOOKUP(IV$1,$S30:$HK30,csv!$L30:$HD30))</f>
        <v>0</v>
      </c>
      <c r="IW30" s="5">
        <f>IF(ISERROR(LOOKUP(IW$1,$S30:$HK30,csv!$L30:$HD30)),NA(),LOOKUP(IW$1,$S30:$HK30,csv!$L30:$HD30))</f>
        <v>0</v>
      </c>
      <c r="IX30" s="5">
        <f>IF(ISERROR(LOOKUP(IX$1,$S30:$HK30,csv!$L30:$HD30)),NA(),LOOKUP(IX$1,$S30:$HK30,csv!$L30:$HD30))</f>
        <v>0</v>
      </c>
      <c r="IY30" s="5">
        <f>IF(ISERROR(LOOKUP(IY$1,$S30:$HK30,csv!$L30:$HD30)),NA(),LOOKUP(IY$1,$S30:$HK30,csv!$L30:$HD30))</f>
        <v>0</v>
      </c>
      <c r="IZ30" s="5">
        <f>IF(ISERROR(LOOKUP(IZ$1,$S30:$HK30,csv!$L30:$HD30)),NA(),LOOKUP(IZ$1,$S30:$HK30,csv!$L30:$HD30))</f>
        <v>0</v>
      </c>
      <c r="JA30" s="5">
        <f>IF(ISERROR(LOOKUP(JA$1,$S30:$HK30,csv!$L30:$HD30)),NA(),LOOKUP(JA$1,$S30:$HK30,csv!$L30:$HD30))</f>
        <v>0</v>
      </c>
      <c r="JB30" s="5">
        <f>IF(ISERROR(LOOKUP(JB$1,$S30:$HK30,csv!$L30:$HD30)),NA(),LOOKUP(JB$1,$S30:$HK30,csv!$L30:$HD30))</f>
        <v>0</v>
      </c>
      <c r="JC30" s="5">
        <f>IF(ISERROR(LOOKUP(JC$1,$S30:$HK30,csv!$L30:$HD30)),NA(),LOOKUP(JC$1,$S30:$HK30,csv!$L30:$HD30))</f>
        <v>0</v>
      </c>
      <c r="JD30" s="5">
        <f>IF(ISERROR(LOOKUP(JD$1,$S30:$HK30,csv!$L30:$HD30)),NA(),LOOKUP(JD$1,$S30:$HK30,csv!$L30:$HD30))</f>
        <v>0</v>
      </c>
      <c r="JE30" s="5">
        <f>IF(ISERROR(LOOKUP(JE$1,$S30:$HK30,csv!$L30:$HD30)),NA(),LOOKUP(JE$1,$S30:$HK30,csv!$L30:$HD30))</f>
        <v>0</v>
      </c>
      <c r="JF30" s="5">
        <f>IF(ISERROR(LOOKUP(JF$1,$S30:$HK30,csv!$L30:$HD30)),NA(),LOOKUP(JF$1,$S30:$HK30,csv!$L30:$HD30))</f>
        <v>0</v>
      </c>
      <c r="JG30" s="5">
        <f>IF(ISERROR(LOOKUP(JG$1,$S30:$HK30,csv!$L30:$HD30)),NA(),LOOKUP(JG$1,$S30:$HK30,csv!$L30:$HD30))</f>
        <v>0</v>
      </c>
      <c r="JH30" s="5">
        <f>IF(ISERROR(LOOKUP(JH$1,$S30:$HK30,csv!$L30:$HD30)),NA(),LOOKUP(JH$1,$S30:$HK30,csv!$L30:$HD30))</f>
        <v>0</v>
      </c>
      <c r="JI30" s="5">
        <f>IF(ISERROR(LOOKUP(JI$1,$S30:$HK30,csv!$L30:$HD30)),NA(),LOOKUP(JI$1,$S30:$HK30,csv!$L30:$HD30))</f>
        <v>0</v>
      </c>
      <c r="JJ30" s="5">
        <f>IF(ISERROR(LOOKUP(JJ$1,$S30:$HK30,csv!$L30:$HD30)),NA(),LOOKUP(JJ$1,$S30:$HK30,csv!$L30:$HD30))</f>
        <v>0</v>
      </c>
      <c r="JK30" s="5">
        <f>IF(ISERROR(LOOKUP(JK$1,$S30:$HK30,csv!$L30:$HD30)),NA(),LOOKUP(JK$1,$S30:$HK30,csv!$L30:$HD30))</f>
        <v>0</v>
      </c>
      <c r="JL30" s="5">
        <f>IF(ISERROR(LOOKUP(JL$1,$S30:$HK30,csv!$L30:$HD30)),NA(),LOOKUP(JL$1,$S30:$HK30,csv!$L30:$HD30))</f>
        <v>0</v>
      </c>
      <c r="JM30" s="5">
        <f>IF(ISERROR(LOOKUP(JM$1,$S30:$HK30,csv!$L30:$HD30)),NA(),LOOKUP(JM$1,$S30:$HK30,csv!$L30:$HD30))</f>
        <v>0</v>
      </c>
      <c r="JN30" s="5">
        <f>IF(ISERROR(LOOKUP(JN$1,$S30:$HK30,csv!$L30:$HD30)),NA(),LOOKUP(JN$1,$S30:$HK30,csv!$L30:$HD30))</f>
        <v>0</v>
      </c>
      <c r="JO30" s="5">
        <f>IF(ISERROR(LOOKUP(JO$1,$S30:$HK30,csv!$L30:$HD30)),NA(),LOOKUP(JO$1,$S30:$HK30,csv!$L30:$HD30))</f>
        <v>0</v>
      </c>
      <c r="JP30" s="5">
        <f>IF(ISERROR(LOOKUP(JP$1,$S30:$HK30,csv!$L30:$HD30)),NA(),LOOKUP(JP$1,$S30:$HK30,csv!$L30:$HD30))</f>
        <v>0</v>
      </c>
      <c r="JQ30" s="5">
        <f>IF(ISERROR(LOOKUP(JQ$1,$S30:$HK30,csv!$L30:$HD30)),NA(),LOOKUP(JQ$1,$S30:$HK30,csv!$L30:$HD30))</f>
        <v>0</v>
      </c>
      <c r="JR30" s="5">
        <f>IF(ISERROR(LOOKUP(JR$1,$S30:$HK30,csv!$L30:$HD30)),NA(),LOOKUP(JR$1,$S30:$HK30,csv!$L30:$HD30))</f>
        <v>0</v>
      </c>
      <c r="JS30" s="5">
        <f>IF(ISERROR(LOOKUP(JS$1,$S30:$HK30,csv!$L30:$HD30)),NA(),LOOKUP(JS$1,$S30:$HK30,csv!$L30:$HD30))</f>
        <v>0</v>
      </c>
      <c r="JT30" s="5">
        <f>IF(ISERROR(LOOKUP(JT$1,$S30:$HK30,csv!$L30:$HD30)),NA(),LOOKUP(JT$1,$S30:$HK30,csv!$L30:$HD30))</f>
        <v>0</v>
      </c>
      <c r="JU30" s="5">
        <f>IF(ISERROR(LOOKUP(JU$1,$S30:$HK30,csv!$L30:$HD30)),NA(),LOOKUP(JU$1,$S30:$HK30,csv!$L30:$HD30))</f>
        <v>0</v>
      </c>
      <c r="JV30" s="5">
        <f>IF(ISERROR(LOOKUP(JV$1,$S30:$HK30,csv!$L30:$HD30)),NA(),LOOKUP(JV$1,$S30:$HK30,csv!$L30:$HD30))</f>
        <v>0</v>
      </c>
      <c r="JW30" s="5">
        <f>IF(ISERROR(LOOKUP(JW$1,$S30:$HK30,csv!$L30:$HD30)),NA(),LOOKUP(JW$1,$S30:$HK30,csv!$L30:$HD30))</f>
        <v>0</v>
      </c>
      <c r="JX30" s="5">
        <f>IF(ISERROR(LOOKUP(JX$1,$S30:$HK30,csv!$L30:$HD30)),NA(),LOOKUP(JX$1,$S30:$HK30,csv!$L30:$HD30))</f>
        <v>0</v>
      </c>
      <c r="JY30" s="5">
        <f>IF(ISERROR(LOOKUP(JY$1,$S30:$HK30,csv!$L30:$HD30)),NA(),LOOKUP(JY$1,$S30:$HK30,csv!$L30:$HD30))</f>
        <v>0</v>
      </c>
      <c r="JZ30" s="5">
        <f>IF(ISERROR(LOOKUP(JZ$1,$S30:$HK30,csv!$L30:$HD30)),NA(),LOOKUP(JZ$1,$S30:$HK30,csv!$L30:$HD30))</f>
        <v>0</v>
      </c>
      <c r="KA30" s="5">
        <f>IF(ISERROR(LOOKUP(KA$1,$S30:$HK30,csv!$L30:$HD30)),NA(),LOOKUP(KA$1,$S30:$HK30,csv!$L30:$HD30))</f>
        <v>0</v>
      </c>
      <c r="KB30" s="5">
        <f>IF(ISERROR(LOOKUP(KB$1,$S30:$HK30,csv!$L30:$HD30)),NA(),LOOKUP(KB$1,$S30:$HK30,csv!$L30:$HD30))</f>
        <v>0</v>
      </c>
      <c r="KC30" s="5">
        <f>IF(ISERROR(LOOKUP(KC$1,$S30:$HK30,csv!$L30:$HD30)),NA(),LOOKUP(KC$1,$S30:$HK30,csv!$L30:$HD30))</f>
        <v>0</v>
      </c>
      <c r="KD30" s="5">
        <f>IF(ISERROR(LOOKUP(KD$1,$S30:$HK30,csv!$L30:$HD30)),NA(),LOOKUP(KD$1,$S30:$HK30,csv!$L30:$HD30))</f>
        <v>0</v>
      </c>
      <c r="KE30" s="5">
        <f>IF(ISERROR(LOOKUP(KE$1,$S30:$HK30,csv!$L30:$HD30)),NA(),LOOKUP(KE$1,$S30:$HK30,csv!$L30:$HD30))</f>
        <v>0</v>
      </c>
      <c r="KF30" s="5">
        <f>IF(ISERROR(LOOKUP(KF$1,$S30:$HK30,csv!$L30:$HD30)),NA(),LOOKUP(KF$1,$S30:$HK30,csv!$L30:$HD30))</f>
        <v>0</v>
      </c>
      <c r="KG30" s="5">
        <f>IF(ISERROR(LOOKUP(KG$1,$S30:$HK30,csv!$L30:$HD30)),NA(),LOOKUP(KG$1,$S30:$HK30,csv!$L30:$HD30))</f>
        <v>0</v>
      </c>
      <c r="KH30" s="5">
        <f>IF(ISERROR(LOOKUP(KH$1,$S30:$HK30,csv!$L30:$HD30)),NA(),LOOKUP(KH$1,$S30:$HK30,csv!$L30:$HD30))</f>
        <v>0</v>
      </c>
      <c r="KI30" s="5">
        <f>IF(ISERROR(LOOKUP(KI$1,$S30:$HK30,csv!$L30:$HD30)),NA(),LOOKUP(KI$1,$S30:$HK30,csv!$L30:$HD30))</f>
        <v>0</v>
      </c>
      <c r="KJ30" s="5">
        <f>IF(ISERROR(LOOKUP(KJ$1,$S30:$HK30,csv!$L30:$HD30)),NA(),LOOKUP(KJ$1,$S30:$HK30,csv!$L30:$HD30))</f>
        <v>0</v>
      </c>
      <c r="KK30" s="5">
        <f>IF(ISERROR(LOOKUP(KK$1,$S30:$HK30,csv!$L30:$HD30)),NA(),LOOKUP(KK$1,$S30:$HK30,csv!$L30:$HD30))</f>
        <v>0</v>
      </c>
      <c r="KL30" s="5">
        <f>IF(ISERROR(LOOKUP(KL$1,$S30:$HK30,csv!$L30:$HD30)),NA(),LOOKUP(KL$1,$S30:$HK30,csv!$L30:$HD30))</f>
        <v>0</v>
      </c>
      <c r="KM30" s="5">
        <f>IF(ISERROR(LOOKUP(KM$1,$S30:$HK30,csv!$L30:$HD30)),NA(),LOOKUP(KM$1,$S30:$HK30,csv!$L30:$HD30))</f>
        <v>0</v>
      </c>
      <c r="KN30" s="5">
        <f>IF(ISERROR(LOOKUP(KN$1,$S30:$HK30,csv!$L30:$HD30)),NA(),LOOKUP(KN$1,$S30:$HK30,csv!$L30:$HD30))</f>
        <v>0</v>
      </c>
      <c r="KO30" s="5">
        <f>IF(ISERROR(LOOKUP(KO$1,$S30:$HK30,csv!$L30:$HD30)),NA(),LOOKUP(KO$1,$S30:$HK30,csv!$L30:$HD30))</f>
        <v>0</v>
      </c>
      <c r="KP30" s="5">
        <f>IF(ISERROR(LOOKUP(KP$1,$S30:$HK30,csv!$L30:$HD30)),NA(),LOOKUP(KP$1,$S30:$HK30,csv!$L30:$HD30))</f>
        <v>0</v>
      </c>
      <c r="KQ30" s="5">
        <f>IF(ISERROR(LOOKUP(KQ$1,$S30:$HK30,csv!$L30:$HD30)),NA(),LOOKUP(KQ$1,$S30:$HK30,csv!$L30:$HD30))</f>
        <v>0</v>
      </c>
      <c r="KR30" s="5">
        <f>IF(ISERROR(LOOKUP(KR$1,$S30:$HK30,csv!$L30:$HD30)),NA(),LOOKUP(KR$1,$S30:$HK30,csv!$L30:$HD30))</f>
        <v>0</v>
      </c>
      <c r="KS30" s="5">
        <f>IF(ISERROR(LOOKUP(KS$1,$S30:$HK30,csv!$L30:$HD30)),NA(),LOOKUP(KS$1,$S30:$HK30,csv!$L30:$HD30))</f>
        <v>0</v>
      </c>
      <c r="KT30" s="5">
        <f>IF(ISERROR(LOOKUP(KT$1,$S30:$HK30,csv!$L30:$HD30)),NA(),LOOKUP(KT$1,$S30:$HK30,csv!$L30:$HD30))</f>
        <v>0</v>
      </c>
      <c r="KU30" s="5">
        <f>IF(ISERROR(LOOKUP(KU$1,$S30:$HK30,csv!$L30:$HD30)),NA(),LOOKUP(KU$1,$S30:$HK30,csv!$L30:$HD30))</f>
        <v>0</v>
      </c>
      <c r="KV30" s="5">
        <f>IF(ISERROR(LOOKUP(KV$1,$S30:$HK30,csv!$L30:$HD30)),NA(),LOOKUP(KV$1,$S30:$HK30,csv!$L30:$HD30))</f>
        <v>0</v>
      </c>
      <c r="KW30" s="5">
        <f>IF(ISERROR(LOOKUP(KW$1,$S30:$HK30,csv!$L30:$HD30)),NA(),LOOKUP(KW$1,$S30:$HK30,csv!$L30:$HD30))</f>
        <v>0</v>
      </c>
      <c r="KX30" s="5">
        <f>IF(ISERROR(LOOKUP(KX$1,$S30:$HK30,csv!$L30:$HD30)),NA(),LOOKUP(KX$1,$S30:$HK30,csv!$L30:$HD30))</f>
        <v>0</v>
      </c>
      <c r="KY30" s="5">
        <f>IF(ISERROR(LOOKUP(KY$1,$S30:$HK30,csv!$L30:$HD30)),NA(),LOOKUP(KY$1,$S30:$HK30,csv!$L30:$HD30))</f>
        <v>0</v>
      </c>
      <c r="KZ30" s="5">
        <f>IF(ISERROR(LOOKUP(KZ$1,$S30:$HK30,csv!$L30:$HD30)),NA(),LOOKUP(KZ$1,$S30:$HK30,csv!$L30:$HD30))</f>
        <v>0</v>
      </c>
      <c r="LA30" s="5">
        <f>IF(ISERROR(LOOKUP(LA$1,$S30:$HK30,csv!$L30:$HD30)),NA(),LOOKUP(LA$1,$S30:$HK30,csv!$L30:$HD30))</f>
        <v>0</v>
      </c>
      <c r="LB30" s="5">
        <f>IF(ISERROR(LOOKUP(LB$1,$S30:$HK30,csv!$L30:$HD30)),NA(),LOOKUP(LB$1,$S30:$HK30,csv!$L30:$HD30))</f>
        <v>0</v>
      </c>
      <c r="LC30" s="5">
        <f>IF(ISERROR(LOOKUP(LC$1,$S30:$HK30,csv!$L30:$HD30)),NA(),LOOKUP(LC$1,$S30:$HK30,csv!$L30:$HD30))</f>
        <v>0</v>
      </c>
      <c r="LD30" s="5">
        <f>IF(ISERROR(LOOKUP(LD$1,$S30:$HK30,csv!$L30:$HD30)),NA(),LOOKUP(LD$1,$S30:$HK30,csv!$L30:$HD30))</f>
        <v>0</v>
      </c>
      <c r="LE30" s="5">
        <f>IF(ISERROR(LOOKUP(LE$1,$S30:$HK30,csv!$L30:$HD30)),NA(),LOOKUP(LE$1,$S30:$HK30,csv!$L30:$HD30))</f>
        <v>0</v>
      </c>
      <c r="LF30" s="5">
        <f>IF(ISERROR(LOOKUP(LF$1,$S30:$HK30,csv!$L30:$HD30)),NA(),LOOKUP(LF$1,$S30:$HK30,csv!$L30:$HD30))</f>
        <v>0</v>
      </c>
      <c r="LG30" s="5">
        <f>IF(ISERROR(LOOKUP(LG$1,$S30:$HK30,csv!$L30:$HD30)),NA(),LOOKUP(LG$1,$S30:$HK30,csv!$L30:$HD30))</f>
        <v>0</v>
      </c>
      <c r="LH30" s="5">
        <f>IF(ISERROR(LOOKUP(LH$1,$S30:$HK30,csv!$L30:$HD30)),NA(),LOOKUP(LH$1,$S30:$HK30,csv!$L30:$HD30))</f>
        <v>0</v>
      </c>
      <c r="LI30" s="5">
        <f>IF(ISERROR(LOOKUP(LI$1,$S30:$HK30,csv!$L30:$HD30)),NA(),LOOKUP(LI$1,$S30:$HK30,csv!$L30:$HD30))</f>
        <v>0</v>
      </c>
      <c r="LJ30" s="5">
        <f>IF(ISERROR(LOOKUP(LJ$1,$S30:$HK30,csv!$L30:$HD30)),NA(),LOOKUP(LJ$1,$S30:$HK30,csv!$L30:$HD30))</f>
        <v>0</v>
      </c>
      <c r="LK30" s="5">
        <f>IF(ISERROR(LOOKUP(LK$1,$S30:$HK30,csv!$L30:$HD30)),NA(),LOOKUP(LK$1,$S30:$HK30,csv!$L30:$HD30))</f>
        <v>0</v>
      </c>
      <c r="LL30" s="5">
        <f>IF(ISERROR(LOOKUP(LL$1,$S30:$HK30,csv!$L30:$HD30)),NA(),LOOKUP(LL$1,$S30:$HK30,csv!$L30:$HD30))</f>
        <v>0</v>
      </c>
      <c r="LM30" s="5">
        <f>IF(ISERROR(LOOKUP(LM$1,$S30:$HK30,csv!$L30:$HD30)),NA(),LOOKUP(LM$1,$S30:$HK30,csv!$L30:$HD30))</f>
        <v>0</v>
      </c>
      <c r="LN30" s="5">
        <f>IF(ISERROR(LOOKUP(LN$1,$S30:$HK30,csv!$L30:$HD30)),NA(),LOOKUP(LN$1,$S30:$HK30,csv!$L30:$HD30))</f>
        <v>0</v>
      </c>
      <c r="LO30" s="5">
        <f>IF(ISERROR(LOOKUP(LO$1,$S30:$HK30,csv!$L30:$HD30)),NA(),LOOKUP(LO$1,$S30:$HK30,csv!$L30:$HD30))</f>
        <v>0</v>
      </c>
      <c r="LP30" s="5">
        <f>IF(ISERROR(LOOKUP(LP$1,$S30:$HK30,csv!$L30:$HD30)),NA(),LOOKUP(LP$1,$S30:$HK30,csv!$L30:$HD30))</f>
        <v>0</v>
      </c>
      <c r="LQ30" s="5">
        <f>IF(ISERROR(LOOKUP(LQ$1,$S30:$HK30,csv!$L30:$HD30)),NA(),LOOKUP(LQ$1,$S30:$HK30,csv!$L30:$HD30))</f>
        <v>0</v>
      </c>
      <c r="LR30" s="5">
        <f>IF(ISERROR(LOOKUP(LR$1,$S30:$HK30,csv!$L30:$HD30)),NA(),LOOKUP(LR$1,$S30:$HK30,csv!$L30:$HD30))</f>
        <v>0</v>
      </c>
      <c r="LS30" s="5">
        <f>IF(ISERROR(LOOKUP(LS$1,$S30:$HK30,csv!$L30:$HD30)),NA(),LOOKUP(LS$1,$S30:$HK30,csv!$L30:$HD30))</f>
        <v>0</v>
      </c>
      <c r="LT30" s="5">
        <f>IF(ISERROR(LOOKUP(LT$1,$S30:$HK30,csv!$L30:$HD30)),NA(),LOOKUP(LT$1,$S30:$HK30,csv!$L30:$HD30))</f>
        <v>0</v>
      </c>
      <c r="LU30" s="5">
        <f>IF(ISERROR(LOOKUP(LU$1,$S30:$HK30,csv!$L30:$HD30)),NA(),LOOKUP(LU$1,$S30:$HK30,csv!$L30:$HD30))</f>
        <v>0</v>
      </c>
      <c r="LV30" s="5">
        <f>IF(ISERROR(LOOKUP(LV$1,$S30:$HK30,csv!$L30:$HD30)),NA(),LOOKUP(LV$1,$S30:$HK30,csv!$L30:$HD30))</f>
        <v>0</v>
      </c>
      <c r="LW30" s="5">
        <f>IF(ISERROR(LOOKUP(LW$1,$S30:$HK30,csv!$L30:$HD30)),NA(),LOOKUP(LW$1,$S30:$HK30,csv!$L30:$HD30))</f>
        <v>0</v>
      </c>
      <c r="LX30" s="5">
        <f>IF(ISERROR(LOOKUP(LX$1,$S30:$HK30,csv!$L30:$HD30)),NA(),LOOKUP(LX$1,$S30:$HK30,csv!$L30:$HD30))</f>
        <v>0</v>
      </c>
      <c r="LY30" s="5">
        <f>IF(ISERROR(LOOKUP(LY$1,$S30:$HK30,csv!$L30:$HD30)),NA(),LOOKUP(LY$1,$S30:$HK30,csv!$L30:$HD30))</f>
        <v>0</v>
      </c>
      <c r="LZ30" s="5">
        <f>IF(ISERROR(LOOKUP(LZ$1,$S30:$HK30,csv!$L30:$HD30)),NA(),LOOKUP(LZ$1,$S30:$HK30,csv!$L30:$HD30))</f>
        <v>0</v>
      </c>
      <c r="MA30" s="5">
        <f>IF(ISERROR(LOOKUP(MA$1,$S30:$HK30,csv!$L30:$HD30)),NA(),LOOKUP(MA$1,$S30:$HK30,csv!$L30:$HD30))</f>
        <v>0</v>
      </c>
      <c r="MB30" s="5">
        <f>IF(ISERROR(LOOKUP(MB$1,$S30:$HK30,csv!$L30:$HD30)),NA(),LOOKUP(MB$1,$S30:$HK30,csv!$L30:$HD30))</f>
        <v>0</v>
      </c>
      <c r="MC30" s="5">
        <f>IF(ISERROR(LOOKUP(MC$1,$S30:$HK30,csv!$L30:$HD30)),NA(),LOOKUP(MC$1,$S30:$HK30,csv!$L30:$HD30))</f>
        <v>0</v>
      </c>
      <c r="MD30" s="5">
        <f>IF(ISERROR(LOOKUP(MD$1,$S30:$HK30,csv!$L30:$HD30)),NA(),LOOKUP(MD$1,$S30:$HK30,csv!$L30:$HD30))</f>
        <v>0</v>
      </c>
      <c r="ME30" s="5">
        <f>IF(ISERROR(LOOKUP(ME$1,$S30:$HK30,csv!$L30:$HD30)),NA(),LOOKUP(ME$1,$S30:$HK30,csv!$L30:$HD30))</f>
        <v>0</v>
      </c>
      <c r="MF30" s="5">
        <f>IF(ISERROR(LOOKUP(MF$1,$S30:$HK30,csv!$L30:$HD30)),NA(),LOOKUP(MF$1,$S30:$HK30,csv!$L30:$HD30))</f>
        <v>0</v>
      </c>
      <c r="MG30" s="5">
        <f>IF(ISERROR(LOOKUP(MG$1,$S30:$HK30,csv!$L30:$HD30)),NA(),LOOKUP(MG$1,$S30:$HK30,csv!$L30:$HD30))</f>
        <v>0</v>
      </c>
      <c r="MH30" s="5">
        <f>IF(ISERROR(LOOKUP(MH$1,$S30:$HK30,csv!$L30:$HD30)),NA(),LOOKUP(MH$1,$S30:$HK30,csv!$L30:$HD30))</f>
        <v>0</v>
      </c>
      <c r="MI30" s="5">
        <f>IF(ISERROR(LOOKUP(MI$1,$S30:$HK30,csv!$L30:$HD30)),NA(),LOOKUP(MI$1,$S30:$HK30,csv!$L30:$HD30))</f>
        <v>0</v>
      </c>
      <c r="MJ30" s="5">
        <f>IF(ISERROR(LOOKUP(MJ$1,$S30:$HK30,csv!$L30:$HD30)),NA(),LOOKUP(MJ$1,$S30:$HK30,csv!$L30:$HD30))</f>
        <v>0</v>
      </c>
      <c r="MK30" s="5">
        <f>IF(ISERROR(LOOKUP(MK$1,$S30:$HK30,csv!$L30:$HD30)),NA(),LOOKUP(MK$1,$S30:$HK30,csv!$L30:$HD30))</f>
        <v>0</v>
      </c>
      <c r="ML30" s="5">
        <f>IF(ISERROR(LOOKUP(ML$1,$S30:$HK30,csv!$L30:$HD30)),NA(),LOOKUP(ML$1,$S30:$HK30,csv!$L30:$HD30))</f>
        <v>0</v>
      </c>
      <c r="MM30" s="5">
        <f>IF(ISERROR(LOOKUP(MM$1,$S30:$HK30,csv!$L30:$HD30)),NA(),LOOKUP(MM$1,$S30:$HK30,csv!$L30:$HD30))</f>
        <v>0</v>
      </c>
      <c r="MN30" s="5">
        <f>IF(ISERROR(LOOKUP(MN$1,$S30:$HK30,csv!$L30:$HD30)),NA(),LOOKUP(MN$1,$S30:$HK30,csv!$L30:$HD30))</f>
        <v>0</v>
      </c>
      <c r="MO30" s="5">
        <f>IF(ISERROR(LOOKUP(MO$1,$S30:$HK30,csv!$L30:$HD30)),NA(),LOOKUP(MO$1,$S30:$HK30,csv!$L30:$HD30))</f>
        <v>0</v>
      </c>
      <c r="MP30" s="5">
        <f>IF(ISERROR(LOOKUP(MP$1,$S30:$HK30,csv!$L30:$HD30)),NA(),LOOKUP(MP$1,$S30:$HK30,csv!$L30:$HD30))</f>
        <v>0</v>
      </c>
      <c r="MQ30" s="5">
        <f>IF(ISERROR(LOOKUP(MQ$1,$S30:$HK30,csv!$L30:$HD30)),NA(),LOOKUP(MQ$1,$S30:$HK30,csv!$L30:$HD30))</f>
        <v>0</v>
      </c>
      <c r="MR30" s="5">
        <f>IF(ISERROR(LOOKUP(MR$1,$S30:$HK30,csv!$L30:$HD30)),NA(),LOOKUP(MR$1,$S30:$HK30,csv!$L30:$HD30))</f>
        <v>0</v>
      </c>
      <c r="MS30" s="5">
        <f>IF(ISERROR(LOOKUP(MS$1,$S30:$HK30,csv!$L30:$HD30)),NA(),LOOKUP(MS$1,$S30:$HK30,csv!$L30:$HD30))</f>
        <v>0</v>
      </c>
      <c r="MT30" s="5">
        <f>IF(ISERROR(LOOKUP(MT$1,$S30:$HK30,csv!$L30:$HD30)),NA(),LOOKUP(MT$1,$S30:$HK30,csv!$L30:$HD30))</f>
        <v>0</v>
      </c>
      <c r="MU30" s="5">
        <f>IF(ISERROR(LOOKUP(MU$1,$S30:$HK30,csv!$L30:$HD30)),NA(),LOOKUP(MU$1,$S30:$HK30,csv!$L30:$HD30))</f>
        <v>0</v>
      </c>
      <c r="MV30" s="5">
        <f>IF(ISERROR(LOOKUP(MV$1,$S30:$HK30,csv!$L30:$HD30)),NA(),LOOKUP(MV$1,$S30:$HK30,csv!$L30:$HD30))</f>
        <v>0</v>
      </c>
      <c r="MW30" s="5">
        <f>IF(ISERROR(LOOKUP(MW$1,$S30:$HK30,csv!$L30:$HD30)),NA(),LOOKUP(MW$1,$S30:$HK30,csv!$L30:$HD30))</f>
        <v>0</v>
      </c>
      <c r="MX30" s="5">
        <f>IF(ISERROR(LOOKUP(MX$1,$S30:$HK30,csv!$L30:$HD30)),NA(),LOOKUP(MX$1,$S30:$HK30,csv!$L30:$HD30))</f>
        <v>0</v>
      </c>
      <c r="MY30" s="5">
        <f>IF(ISERROR(LOOKUP(MY$1,$S30:$HK30,csv!$L30:$HD30)),NA(),LOOKUP(MY$1,$S30:$HK30,csv!$L30:$HD30))</f>
        <v>0</v>
      </c>
      <c r="MZ30" s="5">
        <f>IF(ISERROR(LOOKUP(MZ$1,$S30:$HK30,csv!$L30:$HD30)),NA(),LOOKUP(MZ$1,$S30:$HK30,csv!$L30:$HD30))</f>
        <v>0</v>
      </c>
      <c r="NA30" s="5">
        <f>IF(ISERROR(LOOKUP(NA$1,$S30:$HK30,csv!$L30:$HD30)),NA(),LOOKUP(NA$1,$S30:$HK30,csv!$L30:$HD30))</f>
        <v>0</v>
      </c>
      <c r="NB30" s="5">
        <f>IF(ISERROR(LOOKUP(NB$1,$S30:$HK30,csv!$L30:$HD30)),NA(),LOOKUP(NB$1,$S30:$HK30,csv!$L30:$HD30))</f>
        <v>0</v>
      </c>
      <c r="NC30" s="5">
        <f>IF(ISERROR(LOOKUP(NC$1,$S30:$HK30,csv!$L30:$HD30)),NA(),LOOKUP(NC$1,$S30:$HK30,csv!$L30:$HD30))</f>
        <v>0</v>
      </c>
      <c r="ND30" s="5">
        <f>IF(ISERROR(LOOKUP(ND$1,$S30:$HK30,csv!$L30:$HD30)),NA(),LOOKUP(ND$1,$S30:$HK30,csv!$L30:$HD30))</f>
        <v>0</v>
      </c>
      <c r="NE30" s="5">
        <f>IF(ISERROR(LOOKUP(NE$1,$S30:$HK30,csv!$L30:$HD30)),NA(),LOOKUP(NE$1,$S30:$HK30,csv!$L30:$HD30))</f>
        <v>0</v>
      </c>
      <c r="NF30" s="5">
        <f>IF(ISERROR(LOOKUP(NF$1,$S30:$HK30,csv!$L30:$HD30)),NA(),LOOKUP(NF$1,$S30:$HK30,csv!$L30:$HD30))</f>
        <v>0</v>
      </c>
      <c r="NG30" s="5">
        <f>IF(ISERROR(LOOKUP(NG$1,$S30:$HK30,csv!$L30:$HD30)),NA(),LOOKUP(NG$1,$S30:$HK30,csv!$L30:$HD30))</f>
        <v>0</v>
      </c>
      <c r="NH30" s="5">
        <f>IF(ISERROR(LOOKUP(NH$1,$S30:$HK30,csv!$L30:$HD30)),NA(),LOOKUP(NH$1,$S30:$HK30,csv!$L30:$HD30))</f>
        <v>0</v>
      </c>
      <c r="NI30" s="5">
        <f>IF(ISERROR(LOOKUP(NI$1,$S30:$HK30,csv!$L30:$HD30)),NA(),LOOKUP(NI$1,$S30:$HK30,csv!$L30:$HD30))</f>
        <v>0</v>
      </c>
      <c r="NJ30" s="5">
        <f>IF(ISERROR(LOOKUP(NJ$1,$S30:$HK30,csv!$L30:$HD30)),NA(),LOOKUP(NJ$1,$S30:$HK30,csv!$L30:$HD30))</f>
        <v>0</v>
      </c>
      <c r="NK30" s="5">
        <f>IF(ISERROR(LOOKUP(NK$1,$S30:$HK30,csv!$L30:$HD30)),NA(),LOOKUP(NK$1,$S30:$HK30,csv!$L30:$HD30))</f>
        <v>0</v>
      </c>
      <c r="NL30" s="5">
        <f>IF(ISERROR(LOOKUP(NL$1,$S30:$HK30,csv!$L30:$HD30)),NA(),LOOKUP(NL$1,$S30:$HK30,csv!$L30:$HD30))</f>
        <v>0</v>
      </c>
      <c r="NM30" s="5">
        <f>IF(ISERROR(LOOKUP(NM$1,$S30:$HK30,csv!$L30:$HD30)),NA(),LOOKUP(NM$1,$S30:$HK30,csv!$L30:$HD30))</f>
        <v>0</v>
      </c>
      <c r="NN30" s="5">
        <f>IF(ISERROR(LOOKUP(NN$1,$S30:$HK30,csv!$L30:$HD30)),NA(),LOOKUP(NN$1,$S30:$HK30,csv!$L30:$HD30))</f>
        <v>0</v>
      </c>
      <c r="NO30" s="5">
        <f>IF(ISERROR(LOOKUP(NO$1,$S30:$HK30,csv!$L30:$HD30)),NA(),LOOKUP(NO$1,$S30:$HK30,csv!$L30:$HD30))</f>
        <v>0</v>
      </c>
      <c r="NP30" s="5">
        <f>IF(ISERROR(LOOKUP(NP$1,$S30:$HK30,csv!$L30:$HD30)),NA(),LOOKUP(NP$1,$S30:$HK30,csv!$L30:$HD30))</f>
        <v>0</v>
      </c>
      <c r="NQ30" s="5">
        <f>IF(ISERROR(LOOKUP(NQ$1,$S30:$HK30,csv!$L30:$HD30)),NA(),LOOKUP(NQ$1,$S30:$HK30,csv!$L30:$HD30))</f>
        <v>0</v>
      </c>
      <c r="NR30" s="5">
        <f>IF(ISERROR(LOOKUP(NR$1,$S30:$HK30,csv!$L30:$HD30)),NA(),LOOKUP(NR$1,$S30:$HK30,csv!$L30:$HD30))</f>
        <v>0</v>
      </c>
      <c r="NS30" s="5">
        <f>IF(ISERROR(LOOKUP(NS$1,$S30:$HK30,csv!$L30:$HD30)),NA(),LOOKUP(NS$1,$S30:$HK30,csv!$L30:$HD30))</f>
        <v>0</v>
      </c>
      <c r="NT30" s="5">
        <f>IF(ISERROR(LOOKUP(NT$1,$S30:$HK30,csv!$L30:$HD30)),NA(),LOOKUP(NT$1,$S30:$HK30,csv!$L30:$HD30))</f>
        <v>0</v>
      </c>
      <c r="NU30" s="5">
        <f>IF(ISERROR(LOOKUP(NU$1,$S30:$HK30,csv!$L30:$HD30)),NA(),LOOKUP(NU$1,$S30:$HK30,csv!$L30:$HD30))</f>
        <v>0</v>
      </c>
      <c r="NV30" s="5">
        <f>IF(ISERROR(LOOKUP(NV$1,$S30:$HK30,csv!$L30:$HD30)),NA(),LOOKUP(NV$1,$S30:$HK30,csv!$L30:$HD30))</f>
        <v>0</v>
      </c>
      <c r="NW30" s="5">
        <f>IF(ISERROR(LOOKUP(NW$1,$S30:$HK30,csv!$L30:$HD30)),NA(),LOOKUP(NW$1,$S30:$HK30,csv!$L30:$HD30))</f>
        <v>0</v>
      </c>
      <c r="NX30" s="5">
        <f>IF(ISERROR(LOOKUP(NX$1,$S30:$HK30,csv!$L30:$HD30)),NA(),LOOKUP(NX$1,$S30:$HK30,csv!$L30:$HD30))</f>
        <v>0</v>
      </c>
      <c r="NY30" s="5">
        <f>IF(ISERROR(LOOKUP(NY$1,$S30:$HK30,csv!$L30:$HD30)),NA(),LOOKUP(NY$1,$S30:$HK30,csv!$L30:$HD30))</f>
        <v>0</v>
      </c>
      <c r="NZ30" s="5">
        <f>IF(ISERROR(LOOKUP(NZ$1,$S30:$HK30,csv!$L30:$HD30)),NA(),LOOKUP(NZ$1,$S30:$HK30,csv!$L30:$HD30))</f>
        <v>0</v>
      </c>
      <c r="OA30" s="5">
        <f>IF(ISERROR(LOOKUP(OA$1,$S30:$HK30,csv!$L30:$HD30)),NA(),LOOKUP(OA$1,$S30:$HK30,csv!$L30:$HD30))</f>
        <v>0</v>
      </c>
      <c r="OB30" s="5">
        <f>IF(ISERROR(LOOKUP(OB$1,$S30:$HK30,csv!$L30:$HD30)),NA(),LOOKUP(OB$1,$S30:$HK30,csv!$L30:$HD30))</f>
        <v>0</v>
      </c>
      <c r="OC30" s="5">
        <f>IF(ISERROR(LOOKUP(OC$1,$S30:$HK30,csv!$L30:$HD30)),NA(),LOOKUP(OC$1,$S30:$HK30,csv!$L30:$HD30))</f>
        <v>0</v>
      </c>
      <c r="OD30" s="5">
        <f>IF(ISERROR(LOOKUP(OD$1,$S30:$HK30,csv!$L30:$HD30)),NA(),LOOKUP(OD$1,$S30:$HK30,csv!$L30:$HD30))</f>
        <v>0</v>
      </c>
      <c r="OE30" s="5">
        <f>IF(ISERROR(LOOKUP(OE$1,$S30:$HK30,csv!$L30:$HD30)),NA(),LOOKUP(OE$1,$S30:$HK30,csv!$L30:$HD30))</f>
        <v>0</v>
      </c>
      <c r="OF30" s="5">
        <f>IF(ISERROR(LOOKUP(OF$1,$S30:$HK30,csv!$L30:$HD30)),NA(),LOOKUP(OF$1,$S30:$HK30,csv!$L30:$HD30))</f>
        <v>0</v>
      </c>
      <c r="OG30" s="5">
        <f>IF(ISERROR(LOOKUP(OG$1,$S30:$HK30,csv!$L30:$HD30)),NA(),LOOKUP(OG$1,$S30:$HK30,csv!$L30:$HD30))</f>
        <v>0</v>
      </c>
      <c r="OH30" s="5">
        <f>IF(ISERROR(LOOKUP(OH$1,$S30:$HK30,csv!$L30:$HD30)),NA(),LOOKUP(OH$1,$S30:$HK30,csv!$L30:$HD30))</f>
        <v>0</v>
      </c>
      <c r="OI30" s="5">
        <f>IF(ISERROR(LOOKUP(OI$1,$S30:$HK30,csv!$L30:$HD30)),NA(),LOOKUP(OI$1,$S30:$HK30,csv!$L30:$HD30))</f>
        <v>0</v>
      </c>
      <c r="OJ30" s="5">
        <f>IF(ISERROR(LOOKUP(OJ$1,$S30:$HK30,csv!$L30:$HD30)),NA(),LOOKUP(OJ$1,$S30:$HK30,csv!$L30:$HD30))</f>
        <v>0</v>
      </c>
      <c r="OK30" s="5">
        <f>IF(ISERROR(LOOKUP(OK$1,$S30:$HK30,csv!$L30:$HD30)),NA(),LOOKUP(OK$1,$S30:$HK30,csv!$L30:$HD30))</f>
        <v>0</v>
      </c>
      <c r="OL30" s="5">
        <f>IF(ISERROR(LOOKUP(OL$1,$S30:$HK30,csv!$L30:$HD30)),NA(),LOOKUP(OL$1,$S30:$HK30,csv!$L30:$HD30))</f>
        <v>0</v>
      </c>
      <c r="OM30" s="5">
        <f>IF(ISERROR(LOOKUP(OM$1,$S30:$HK30,csv!$L30:$HD30)),NA(),LOOKUP(OM$1,$S30:$HK30,csv!$L30:$HD30))</f>
        <v>0</v>
      </c>
      <c r="ON30" s="5">
        <f>IF(ISERROR(LOOKUP(ON$1,$S30:$HK30,csv!$L30:$HD30)),NA(),LOOKUP(ON$1,$S30:$HK30,csv!$L30:$HD30))</f>
        <v>0</v>
      </c>
      <c r="OO30" s="5">
        <f>IF(ISERROR(LOOKUP(OO$1,$S30:$HK30,csv!$L30:$HD30)),NA(),LOOKUP(OO$1,$S30:$HK30,csv!$L30:$HD30))</f>
        <v>0</v>
      </c>
      <c r="OP30" s="5">
        <f>IF(ISERROR(LOOKUP(OP$1,$S30:$HK30,csv!$L30:$HD30)),NA(),LOOKUP(OP$1,$S30:$HK30,csv!$L30:$HD30))</f>
        <v>0</v>
      </c>
      <c r="OQ30" s="5">
        <f>IF(ISERROR(LOOKUP(OQ$1,$S30:$HK30,csv!$L30:$HD30)),NA(),LOOKUP(OQ$1,$S30:$HK30,csv!$L30:$HD30))</f>
        <v>0</v>
      </c>
      <c r="OR30" s="5">
        <f>IF(ISERROR(LOOKUP(OR$1,$S30:$HK30,csv!$L30:$HD30)),NA(),LOOKUP(OR$1,$S30:$HK30,csv!$L30:$HD30))</f>
        <v>0</v>
      </c>
      <c r="OS30" s="5">
        <f>IF(ISERROR(LOOKUP(OS$1,$S30:$HK30,csv!$L30:$HD30)),NA(),LOOKUP(OS$1,$S30:$HK30,csv!$L30:$HD30))</f>
        <v>0</v>
      </c>
      <c r="OT30" s="5">
        <f>IF(ISERROR(LOOKUP(OT$1,$S30:$HK30,csv!$L30:$HD30)),NA(),LOOKUP(OT$1,$S30:$HK30,csv!$L30:$HD30))</f>
        <v>0</v>
      </c>
      <c r="OU30" s="5">
        <f>IF(ISERROR(LOOKUP(OU$1,$S30:$HK30,csv!$L30:$HD30)),NA(),LOOKUP(OU$1,$S30:$HK30,csv!$L30:$HD30))</f>
        <v>0</v>
      </c>
      <c r="OV30" s="5">
        <f>IF(ISERROR(LOOKUP(OV$1,$S30:$HK30,csv!$L30:$HD30)),NA(),LOOKUP(OV$1,$S30:$HK30,csv!$L30:$HD30))</f>
        <v>0</v>
      </c>
      <c r="OW30" s="5">
        <f>IF(ISERROR(LOOKUP(OW$1,$S30:$HK30,csv!$L30:$HD30)),NA(),LOOKUP(OW$1,$S30:$HK30,csv!$L30:$HD30))</f>
        <v>0</v>
      </c>
      <c r="OX30" s="5">
        <f>IF(ISERROR(LOOKUP(OX$1,$S30:$HK30,csv!$L30:$HD30)),NA(),LOOKUP(OX$1,$S30:$HK30,csv!$L30:$HD30))</f>
        <v>0</v>
      </c>
      <c r="OY30" s="5">
        <f>IF(ISERROR(LOOKUP(OY$1,$S30:$HK30,csv!$L30:$HD30)),NA(),LOOKUP(OY$1,$S30:$HK30,csv!$L30:$HD30))</f>
        <v>0</v>
      </c>
      <c r="OZ30" s="5">
        <f>IF(ISERROR(LOOKUP(OZ$1,$S30:$HK30,csv!$L30:$HD30)),NA(),LOOKUP(OZ$1,$S30:$HK30,csv!$L30:$HD30))</f>
        <v>0</v>
      </c>
      <c r="PA30" s="5">
        <f>IF(ISERROR(LOOKUP(PA$1,$S30:$HK30,csv!$L30:$HD30)),NA(),LOOKUP(PA$1,$S30:$HK30,csv!$L30:$HD30))</f>
        <v>0</v>
      </c>
      <c r="PB30" s="5">
        <f>IF(ISERROR(LOOKUP(PB$1,$S30:$HK30,csv!$L30:$HD30)),NA(),LOOKUP(PB$1,$S30:$HK30,csv!$L30:$HD30))</f>
        <v>0</v>
      </c>
      <c r="PC30" s="5">
        <f>IF(ISERROR(LOOKUP(PC$1,$S30:$HK30,csv!$L30:$HD30)),NA(),LOOKUP(PC$1,$S30:$HK30,csv!$L30:$HD30))</f>
        <v>0</v>
      </c>
      <c r="PD30" s="5">
        <f>IF(ISERROR(LOOKUP(PD$1,$S30:$HK30,csv!$L30:$HD30)),NA(),LOOKUP(PD$1,$S30:$HK30,csv!$L30:$HD30))</f>
        <v>0</v>
      </c>
      <c r="PE30" s="5">
        <f>IF(ISERROR(LOOKUP(PE$1,$S30:$HK30,csv!$L30:$HD30)),NA(),LOOKUP(PE$1,$S30:$HK30,csv!$L30:$HD30))</f>
        <v>0</v>
      </c>
      <c r="PF30" s="5">
        <f>IF(ISERROR(LOOKUP(PF$1,$S30:$HK30,csv!$L30:$HD30)),NA(),LOOKUP(PF$1,$S30:$HK30,csv!$L30:$HD30))</f>
        <v>0</v>
      </c>
      <c r="PG30" s="5">
        <f>IF(ISERROR(LOOKUP(PG$1,$S30:$HK30,csv!$L30:$HD30)),NA(),LOOKUP(PG$1,$S30:$HK30,csv!$L30:$HD30))</f>
        <v>0</v>
      </c>
      <c r="PH30" s="5">
        <f>IF(ISERROR(LOOKUP(PH$1,$S30:$HK30,csv!$L30:$HD30)),NA(),LOOKUP(PH$1,$S30:$HK30,csv!$L30:$HD30))</f>
        <v>0</v>
      </c>
      <c r="PI30" s="5">
        <f>IF(ISERROR(LOOKUP(PI$1,$S30:$HK30,csv!$L30:$HD30)),NA(),LOOKUP(PI$1,$S30:$HK30,csv!$L30:$HD30))</f>
        <v>0</v>
      </c>
      <c r="PJ30" s="5">
        <f>IF(ISERROR(LOOKUP(PJ$1,$S30:$HK30,csv!$L30:$HD30)),NA(),LOOKUP(PJ$1,$S30:$HK30,csv!$L30:$HD30))</f>
        <v>0</v>
      </c>
      <c r="PK30" s="5">
        <f>IF(ISERROR(LOOKUP(PK$1,$S30:$HK30,csv!$L30:$HD30)),NA(),LOOKUP(PK$1,$S30:$HK30,csv!$L30:$HD30))</f>
        <v>0</v>
      </c>
      <c r="PL30" s="5">
        <f>IF(ISERROR(LOOKUP(PL$1,$S30:$HK30,csv!$L30:$HD30)),NA(),LOOKUP(PL$1,$S30:$HK30,csv!$L30:$HD30))</f>
        <v>0</v>
      </c>
      <c r="PM30" s="5">
        <f>IF(ISERROR(LOOKUP(PM$1,$S30:$HK30,csv!$L30:$HD30)),NA(),LOOKUP(PM$1,$S30:$HK30,csv!$L30:$HD30))</f>
        <v>0</v>
      </c>
      <c r="PN30" s="5">
        <f>IF(ISERROR(LOOKUP(PN$1,$S30:$HK30,csv!$L30:$HD30)),NA(),LOOKUP(PN$1,$S30:$HK30,csv!$L30:$HD30))</f>
        <v>0</v>
      </c>
      <c r="PO30" s="5">
        <f>IF(ISERROR(LOOKUP(PO$1,$S30:$HK30,csv!$L30:$HD30)),NA(),LOOKUP(PO$1,$S30:$HK30,csv!$L30:$HD30))</f>
        <v>0</v>
      </c>
      <c r="PP30" s="5">
        <f>IF(ISERROR(LOOKUP(PP$1,$S30:$HK30,csv!$L30:$HD30)),NA(),LOOKUP(PP$1,$S30:$HK30,csv!$L30:$HD30))</f>
        <v>0</v>
      </c>
      <c r="PQ30" s="5">
        <f>IF(ISERROR(LOOKUP(PQ$1,$S30:$HK30,csv!$L30:$HD30)),NA(),LOOKUP(PQ$1,$S30:$HK30,csv!$L30:$HD30))</f>
        <v>0</v>
      </c>
      <c r="PR30" s="5">
        <f>IF(ISERROR(LOOKUP(PR$1,$S30:$HK30,csv!$L30:$HD30)),NA(),LOOKUP(PR$1,$S30:$HK30,csv!$L30:$HD30))</f>
        <v>0</v>
      </c>
      <c r="PS30" s="5">
        <f>IF(ISERROR(LOOKUP(PS$1,$S30:$HK30,csv!$L30:$HD30)),NA(),LOOKUP(PS$1,$S30:$HK30,csv!$L30:$HD30))</f>
        <v>0</v>
      </c>
      <c r="PT30" s="5">
        <f>IF(ISERROR(LOOKUP(PT$1,$S30:$HK30,csv!$L30:$HD30)),NA(),LOOKUP(PT$1,$S30:$HK30,csv!$L30:$HD30))</f>
        <v>0</v>
      </c>
      <c r="PU30" s="5">
        <f>IF(ISERROR(LOOKUP(PU$1,$S30:$HK30,csv!$L30:$HD30)),NA(),LOOKUP(PU$1,$S30:$HK30,csv!$L30:$HD30))</f>
        <v>0</v>
      </c>
      <c r="PV30" s="5">
        <f>IF(ISERROR(LOOKUP(PV$1,$S30:$HK30,csv!$L30:$HD30)),NA(),LOOKUP(PV$1,$S30:$HK30,csv!$L30:$HD30))</f>
        <v>0</v>
      </c>
      <c r="PW30" s="5">
        <f>IF(ISERROR(LOOKUP(PW$1,$S30:$HK30,csv!$L30:$HD30)),NA(),LOOKUP(PW$1,$S30:$HK30,csv!$L30:$HD30))</f>
        <v>0</v>
      </c>
      <c r="PX30" s="5">
        <f>IF(ISERROR(LOOKUP(PX$1,$S30:$HK30,csv!$L30:$HD30)),NA(),LOOKUP(PX$1,$S30:$HK30,csv!$L30:$HD30))</f>
        <v>0</v>
      </c>
      <c r="PY30" s="5">
        <f>IF(ISERROR(LOOKUP(PY$1,$S30:$HK30,csv!$L30:$HD30)),NA(),LOOKUP(PY$1,$S30:$HK30,csv!$L30:$HD30))</f>
        <v>0</v>
      </c>
      <c r="PZ30" s="5">
        <f>IF(ISERROR(LOOKUP(PZ$1,$S30:$HK30,csv!$L30:$HD30)),NA(),LOOKUP(PZ$1,$S30:$HK30,csv!$L30:$HD30))</f>
        <v>0</v>
      </c>
      <c r="QA30" s="5">
        <f>IF(ISERROR(LOOKUP(QA$1,$S30:$HK30,csv!$L30:$HD30)),NA(),LOOKUP(QA$1,$S30:$HK30,csv!$L30:$HD30))</f>
        <v>0</v>
      </c>
      <c r="QB30" s="5">
        <f>IF(ISERROR(LOOKUP(QB$1,$S30:$HK30,csv!$L30:$HD30)),NA(),LOOKUP(QB$1,$S30:$HK30,csv!$L30:$HD30))</f>
        <v>0</v>
      </c>
      <c r="QC30" s="5">
        <f>IF(ISERROR(LOOKUP(QC$1,$S30:$HK30,csv!$L30:$HD30)),NA(),LOOKUP(QC$1,$S30:$HK30,csv!$L30:$HD30))</f>
        <v>0</v>
      </c>
      <c r="QD30" s="5">
        <f>IF(ISERROR(LOOKUP(QD$1,$S30:$HK30,csv!$L30:$HD30)),NA(),LOOKUP(QD$1,$S30:$HK30,csv!$L30:$HD30))</f>
        <v>0</v>
      </c>
      <c r="QE30" s="5">
        <f>IF(ISERROR(LOOKUP(QE$1,$S30:$HK30,csv!$L30:$HD30)),NA(),LOOKUP(QE$1,$S30:$HK30,csv!$L30:$HD30))</f>
        <v>0</v>
      </c>
      <c r="QF30" s="5">
        <f>IF(ISERROR(LOOKUP(QF$1,$S30:$HK30,csv!$L30:$HD30)),NA(),LOOKUP(QF$1,$S30:$HK30,csv!$L30:$HD30))</f>
        <v>0</v>
      </c>
      <c r="QG30" s="5">
        <f>IF(ISERROR(LOOKUP(QG$1,$S30:$HK30,csv!$L30:$HD30)),NA(),LOOKUP(QG$1,$S30:$HK30,csv!$L30:$HD30))</f>
        <v>0</v>
      </c>
      <c r="QH30" s="5">
        <f>IF(ISERROR(LOOKUP(QH$1,$S30:$HK30,csv!$L30:$HD30)),NA(),LOOKUP(QH$1,$S30:$HK30,csv!$L30:$HD30))</f>
        <v>0</v>
      </c>
      <c r="QI30" s="5">
        <f>IF(ISERROR(LOOKUP(QI$1,$S30:$HK30,csv!$L30:$HD30)),NA(),LOOKUP(QI$1,$S30:$HK30,csv!$L30:$HD30))</f>
        <v>0</v>
      </c>
      <c r="QJ30" s="5">
        <f>IF(ISERROR(LOOKUP(QJ$1,$S30:$HK30,csv!$L30:$HD30)),NA(),LOOKUP(QJ$1,$S30:$HK30,csv!$L30:$HD30))</f>
        <v>0</v>
      </c>
      <c r="QK30" s="5">
        <f>IF(ISERROR(LOOKUP(QK$1,$S30:$HK30,csv!$L30:$HD30)),NA(),LOOKUP(QK$1,$S30:$HK30,csv!$L30:$HD30))</f>
        <v>0</v>
      </c>
      <c r="QL30" s="5">
        <f>IF(ISERROR(LOOKUP(QL$1,$S30:$HK30,csv!$L30:$HD30)),NA(),LOOKUP(QL$1,$S30:$HK30,csv!$L30:$HD30))</f>
        <v>0</v>
      </c>
      <c r="QM30" s="5">
        <f>IF(ISERROR(LOOKUP(QM$1,$S30:$HK30,csv!$L30:$HD30)),NA(),LOOKUP(QM$1,$S30:$HK30,csv!$L30:$HD30))</f>
        <v>0</v>
      </c>
      <c r="QN30" s="5">
        <f>IF(ISERROR(LOOKUP(QN$1,$S30:$HK30,csv!$L30:$HD30)),NA(),LOOKUP(QN$1,$S30:$HK30,csv!$L30:$HD30))</f>
        <v>0</v>
      </c>
      <c r="QO30" s="5">
        <f>IF(ISERROR(LOOKUP(QO$1,$S30:$HK30,csv!$L30:$HD30)),NA(),LOOKUP(QO$1,$S30:$HK30,csv!$L30:$HD30))</f>
        <v>0</v>
      </c>
      <c r="QP30" s="5">
        <f>IF(ISERROR(LOOKUP(QP$1,$S30:$HK30,csv!$L30:$HD30)),NA(),LOOKUP(QP$1,$S30:$HK30,csv!$L30:$HD30))</f>
        <v>0</v>
      </c>
      <c r="QQ30" s="5">
        <f>IF(ISERROR(LOOKUP(QQ$1,$S30:$HK30,csv!$L30:$HD30)),NA(),LOOKUP(QQ$1,$S30:$HK30,csv!$L30:$HD30))</f>
        <v>0</v>
      </c>
      <c r="QR30" s="5">
        <f>IF(ISERROR(LOOKUP(QR$1,$S30:$HK30,csv!$L30:$HD30)),NA(),LOOKUP(QR$1,$S30:$HK30,csv!$L30:$HD30))</f>
        <v>0</v>
      </c>
      <c r="QS30" s="5">
        <f>IF(ISERROR(LOOKUP(QS$1,$S30:$HK30,csv!$L30:$HD30)),NA(),LOOKUP(QS$1,$S30:$HK30,csv!$L30:$HD30))</f>
        <v>0</v>
      </c>
      <c r="QT30" s="5">
        <f>IF(ISERROR(LOOKUP(QT$1,$S30:$HK30,csv!$L30:$HD30)),NA(),LOOKUP(QT$1,$S30:$HK30,csv!$L30:$HD30))</f>
        <v>0</v>
      </c>
      <c r="QU30" s="5">
        <f>IF(ISERROR(LOOKUP(QU$1,$S30:$HK30,csv!$L30:$HD30)),NA(),LOOKUP(QU$1,$S30:$HK30,csv!$L30:$HD30))</f>
        <v>0</v>
      </c>
      <c r="QV30" s="5">
        <f>IF(ISERROR(LOOKUP(QV$1,$S30:$HK30,csv!$L30:$HD30)),NA(),LOOKUP(QV$1,$S30:$HK30,csv!$L30:$HD30))</f>
        <v>0</v>
      </c>
      <c r="QW30" s="5">
        <f>IF(ISERROR(LOOKUP(QW$1,$S30:$HK30,csv!$L30:$HD30)),NA(),LOOKUP(QW$1,$S30:$HK30,csv!$L30:$HD30))</f>
        <v>0</v>
      </c>
      <c r="QX30" s="5">
        <f>IF(ISERROR(LOOKUP(QX$1,$S30:$HK30,csv!$L30:$HD30)),NA(),LOOKUP(QX$1,$S30:$HK30,csv!$L30:$HD30))</f>
        <v>0</v>
      </c>
      <c r="QY30" s="5">
        <f>IF(ISERROR(LOOKUP(QY$1,$S30:$HK30,csv!$L30:$HD30)),NA(),LOOKUP(QY$1,$S30:$HK30,csv!$L30:$HD30))</f>
        <v>0</v>
      </c>
      <c r="QZ30" s="5">
        <f>IF(ISERROR(LOOKUP(QZ$1,$S30:$HK30,csv!$L30:$HD30)),NA(),LOOKUP(QZ$1,$S30:$HK30,csv!$L30:$HD30))</f>
        <v>0</v>
      </c>
      <c r="RA30" s="5">
        <f>IF(ISERROR(LOOKUP(RA$1,$S30:$HK30,csv!$L30:$HD30)),NA(),LOOKUP(RA$1,$S30:$HK30,csv!$L30:$HD30))</f>
        <v>0</v>
      </c>
      <c r="RB30" s="5">
        <f>IF(ISERROR(LOOKUP(RB$1,$S30:$HK30,csv!$L30:$HD30)),NA(),LOOKUP(RB$1,$S30:$HK30,csv!$L30:$HD30))</f>
        <v>0</v>
      </c>
      <c r="RC30" s="5">
        <f>IF(ISERROR(LOOKUP(RC$1,$S30:$HK30,csv!$L30:$HD30)),NA(),LOOKUP(RC$1,$S30:$HK30,csv!$L30:$HD30))</f>
        <v>0</v>
      </c>
      <c r="RD30" s="5">
        <f>IF(ISERROR(LOOKUP(RD$1,$S30:$HK30,csv!$L30:$HD30)),NA(),LOOKUP(RD$1,$S30:$HK30,csv!$L30:$HD30))</f>
        <v>0</v>
      </c>
      <c r="RE30" s="5">
        <f>IF(ISERROR(LOOKUP(RE$1,$S30:$HK30,csv!$L30:$HD30)),NA(),LOOKUP(RE$1,$S30:$HK30,csv!$L30:$HD30))</f>
        <v>0</v>
      </c>
      <c r="RF30" s="5">
        <f>IF(ISERROR(LOOKUP(RF$1,$S30:$HK30,csv!$L30:$HD30)),NA(),LOOKUP(RF$1,$S30:$HK30,csv!$L30:$HD30))</f>
        <v>0</v>
      </c>
      <c r="RG30" s="5">
        <f>IF(ISERROR(LOOKUP(RG$1,$S30:$HK30,csv!$L30:$HD30)),NA(),LOOKUP(RG$1,$S30:$HK30,csv!$L30:$HD30))</f>
        <v>0</v>
      </c>
      <c r="RH30" s="5">
        <f>IF(ISERROR(LOOKUP(RH$1,$S30:$HK30,csv!$L30:$HD30)),NA(),LOOKUP(RH$1,$S30:$HK30,csv!$L30:$HD30))</f>
        <v>0</v>
      </c>
      <c r="RI30" s="5">
        <f>IF(ISERROR(LOOKUP(RI$1,$S30:$HK30,csv!$L30:$HD30)),NA(),LOOKUP(RI$1,$S30:$HK30,csv!$L30:$HD30))</f>
        <v>0</v>
      </c>
      <c r="RJ30" s="5">
        <f>IF(ISERROR(LOOKUP(RJ$1,$S30:$HK30,csv!$L30:$HD30)),NA(),LOOKUP(RJ$1,$S30:$HK30,csv!$L30:$HD30))</f>
        <v>0</v>
      </c>
      <c r="RK30" s="5">
        <f>IF(ISERROR(LOOKUP(RK$1,$S30:$HK30,csv!$L30:$HD30)),NA(),LOOKUP(RK$1,$S30:$HK30,csv!$L30:$HD30))</f>
        <v>0</v>
      </c>
      <c r="RL30" s="5">
        <f>IF(ISERROR(LOOKUP(RL$1,$S30:$HK30,csv!$L30:$HD30)),NA(),LOOKUP(RL$1,$S30:$HK30,csv!$L30:$HD30))</f>
        <v>0</v>
      </c>
      <c r="RM30" s="5">
        <f>IF(ISERROR(LOOKUP(RM$1,$S30:$HK30,csv!$L30:$HD30)),NA(),LOOKUP(RM$1,$S30:$HK30,csv!$L30:$HD30))</f>
        <v>0</v>
      </c>
      <c r="RN30" s="5">
        <f>IF(ISERROR(LOOKUP(RN$1,$S30:$HK30,csv!$L30:$HD30)),NA(),LOOKUP(RN$1,$S30:$HK30,csv!$L30:$HD30))</f>
        <v>0</v>
      </c>
      <c r="RO30" s="5">
        <f>IF(ISERROR(LOOKUP(RO$1,$S30:$HK30,csv!$L30:$HD30)),NA(),LOOKUP(RO$1,$S30:$HK30,csv!$L30:$HD30))</f>
        <v>0</v>
      </c>
      <c r="RP30" s="5">
        <f>IF(ISERROR(LOOKUP(RP$1,$S30:$HK30,csv!$L30:$HD30)),NA(),LOOKUP(RP$1,$S30:$HK30,csv!$L30:$HD30))</f>
        <v>0</v>
      </c>
      <c r="RQ30" s="5">
        <f>IF(ISERROR(LOOKUP(RQ$1,$S30:$HK30,csv!$L30:$HD30)),NA(),LOOKUP(RQ$1,$S30:$HK30,csv!$L30:$HD30))</f>
        <v>0</v>
      </c>
      <c r="RR30" s="5">
        <f>IF(ISERROR(LOOKUP(RR$1,$S30:$HK30,csv!$L30:$HD30)),NA(),LOOKUP(RR$1,$S30:$HK30,csv!$L30:$HD30))</f>
        <v>0</v>
      </c>
      <c r="RS30" s="5">
        <f>IF(ISERROR(LOOKUP(RS$1,$S30:$HK30,csv!$L30:$HD30)),NA(),LOOKUP(RS$1,$S30:$HK30,csv!$L30:$HD30))</f>
        <v>0</v>
      </c>
      <c r="RT30" s="5">
        <f>IF(ISERROR(LOOKUP(RT$1,$S30:$HK30,csv!$L30:$HD30)),NA(),LOOKUP(RT$1,$S30:$HK30,csv!$L30:$HD30))</f>
        <v>0</v>
      </c>
      <c r="RU30" s="5">
        <f>IF(ISERROR(LOOKUP(RU$1,$S30:$HK30,csv!$L30:$HD30)),NA(),LOOKUP(RU$1,$S30:$HK30,csv!$L30:$HD30))</f>
        <v>0</v>
      </c>
      <c r="RV30" s="5">
        <f>IF(ISERROR(LOOKUP(RV$1,$S30:$HK30,csv!$L30:$HD30)),NA(),LOOKUP(RV$1,$S30:$HK30,csv!$L30:$HD30))</f>
        <v>0</v>
      </c>
      <c r="RW30" s="5">
        <f>IF(ISERROR(LOOKUP(RW$1,$S30:$HK30,csv!$L30:$HD30)),NA(),LOOKUP(RW$1,$S30:$HK30,csv!$L30:$HD30))</f>
        <v>0</v>
      </c>
      <c r="RX30" s="5">
        <f>IF(ISERROR(LOOKUP(RX$1,$S30:$HK30,csv!$L30:$HD30)),NA(),LOOKUP(RX$1,$S30:$HK30,csv!$L30:$HD30))</f>
        <v>0</v>
      </c>
      <c r="RY30" s="5">
        <f>IF(ISERROR(LOOKUP(RY$1,$S30:$HK30,csv!$L30:$HD30)),NA(),LOOKUP(RY$1,$S30:$HK30,csv!$L30:$HD30))</f>
        <v>0</v>
      </c>
      <c r="RZ30" s="5">
        <f>IF(ISERROR(LOOKUP(RZ$1,$S30:$HK30,csv!$L30:$HD30)),NA(),LOOKUP(RZ$1,$S30:$HK30,csv!$L30:$HD30))</f>
        <v>0</v>
      </c>
      <c r="SA30" s="5">
        <f>IF(ISERROR(LOOKUP(SA$1,$S30:$HK30,csv!$L30:$HD30)),NA(),LOOKUP(SA$1,$S30:$HK30,csv!$L30:$HD30))</f>
        <v>0</v>
      </c>
      <c r="SB30" s="5">
        <f>IF(ISERROR(LOOKUP(SB$1,$S30:$HK30,csv!$L30:$HD30)),NA(),LOOKUP(SB$1,$S30:$HK30,csv!$L30:$HD30))</f>
        <v>0</v>
      </c>
      <c r="SC30" s="5">
        <f>IF(ISERROR(LOOKUP(SC$1,$S30:$HK30,csv!$L30:$HD30)),NA(),LOOKUP(SC$1,$S30:$HK30,csv!$L30:$HD30))</f>
        <v>0</v>
      </c>
      <c r="SD30" s="5">
        <f>IF(ISERROR(LOOKUP(SD$1,$S30:$HK30,csv!$L30:$HD30)),NA(),LOOKUP(SD$1,$S30:$HK30,csv!$L30:$HD30))</f>
        <v>0</v>
      </c>
      <c r="SE30" s="5">
        <f>IF(ISERROR(LOOKUP(SE$1,$S30:$HK30,csv!$L30:$HD30)),NA(),LOOKUP(SE$1,$S30:$HK30,csv!$L30:$HD30))</f>
        <v>0</v>
      </c>
      <c r="SF30" s="5">
        <f>IF(ISERROR(LOOKUP(SF$1,$S30:$HK30,csv!$L30:$HD30)),NA(),LOOKUP(SF$1,$S30:$HK30,csv!$L30:$HD30))</f>
        <v>0</v>
      </c>
      <c r="SG30" s="5">
        <f>IF(ISERROR(LOOKUP(SG$1,$S30:$HK30,csv!$L30:$HD30)),NA(),LOOKUP(SG$1,$S30:$HK30,csv!$L30:$HD30))</f>
        <v>0</v>
      </c>
      <c r="SH30" s="5">
        <f>IF(ISERROR(LOOKUP(SH$1,$S30:$HK30,csv!$L30:$HD30)),NA(),LOOKUP(SH$1,$S30:$HK30,csv!$L30:$HD30))</f>
        <v>0</v>
      </c>
      <c r="SI30" s="5">
        <f>IF(ISERROR(LOOKUP(SI$1,$S30:$HK30,csv!$L30:$HD30)),NA(),LOOKUP(SI$1,$S30:$HK30,csv!$L30:$HD30))</f>
        <v>0</v>
      </c>
      <c r="SJ30" s="5">
        <f>IF(ISERROR(LOOKUP(SJ$1,$S30:$HK30,csv!$L30:$HD30)),NA(),LOOKUP(SJ$1,$S30:$HK30,csv!$L30:$HD30))</f>
        <v>0</v>
      </c>
      <c r="SK30" s="5">
        <f>IF(ISERROR(LOOKUP(SK$1,$S30:$HK30,csv!$L30:$HD30)),NA(),LOOKUP(SK$1,$S30:$HK30,csv!$L30:$HD30))</f>
        <v>0</v>
      </c>
      <c r="SL30" s="5">
        <f>IF(ISERROR(LOOKUP(SL$1,$S30:$HK30,csv!$L30:$HD30)),NA(),LOOKUP(SL$1,$S30:$HK30,csv!$L30:$HD30))</f>
        <v>0</v>
      </c>
      <c r="SM30" s="5">
        <f>IF(ISERROR(LOOKUP(SM$1,$S30:$HK30,csv!$L30:$HD30)),NA(),LOOKUP(SM$1,$S30:$HK30,csv!$L30:$HD30))</f>
        <v>0</v>
      </c>
      <c r="SN30" s="5">
        <f>IF(ISERROR(LOOKUP(SN$1,$S30:$HK30,csv!$L30:$HD30)),NA(),LOOKUP(SN$1,$S30:$HK30,csv!$L30:$HD30))</f>
        <v>0</v>
      </c>
      <c r="SO30" s="5">
        <f>IF(ISERROR(LOOKUP(SO$1,$S30:$HK30,csv!$L30:$HD30)),NA(),LOOKUP(SO$1,$S30:$HK30,csv!$L30:$HD30))</f>
        <v>0</v>
      </c>
      <c r="SP30" s="5">
        <f>IF(ISERROR(LOOKUP(SP$1,$S30:$HK30,csv!$L30:$HD30)),NA(),LOOKUP(SP$1,$S30:$HK30,csv!$L30:$HD30))</f>
        <v>0</v>
      </c>
      <c r="SQ30" s="5">
        <f>IF(ISERROR(LOOKUP(SQ$1,$S30:$HK30,csv!$L30:$HD30)),NA(),LOOKUP(SQ$1,$S30:$HK30,csv!$L30:$HD30))</f>
        <v>0</v>
      </c>
      <c r="SR30" s="5">
        <f>IF(ISERROR(LOOKUP(SR$1,$S30:$HK30,csv!$L30:$HD30)),NA(),LOOKUP(SR$1,$S30:$HK30,csv!$L30:$HD30))</f>
        <v>0</v>
      </c>
      <c r="SS30" s="5">
        <f>IF(ISERROR(LOOKUP(SS$1,$S30:$HK30,csv!$L30:$HD30)),NA(),LOOKUP(SS$1,$S30:$HK30,csv!$L30:$HD30))</f>
        <v>0</v>
      </c>
      <c r="ST30" s="5">
        <f>IF(ISERROR(LOOKUP(ST$1,$S30:$HK30,csv!$L30:$HD30)),NA(),LOOKUP(ST$1,$S30:$HK30,csv!$L30:$HD30))</f>
        <v>0</v>
      </c>
      <c r="SU30" s="5">
        <f>IF(ISERROR(LOOKUP(SU$1,$S30:$HK30,csv!$L30:$HD30)),NA(),LOOKUP(SU$1,$S30:$HK30,csv!$L30:$HD30))</f>
        <v>0</v>
      </c>
      <c r="SV30" s="5">
        <f>IF(ISERROR(LOOKUP(SV$1,$S30:$HK30,csv!$L30:$HD30)),NA(),LOOKUP(SV$1,$S30:$HK30,csv!$L30:$HD30))</f>
        <v>0</v>
      </c>
      <c r="SW30" s="5">
        <f>IF(ISERROR(LOOKUP(SW$1,$S30:$HK30,csv!$L30:$HD30)),NA(),LOOKUP(SW$1,$S30:$HK30,csv!$L30:$HD30))</f>
        <v>0</v>
      </c>
      <c r="SX30" s="5">
        <f>IF(ISERROR(LOOKUP(SX$1,$S30:$HK30,csv!$L30:$HD30)),NA(),LOOKUP(SX$1,$S30:$HK30,csv!$L30:$HD30))</f>
        <v>0</v>
      </c>
      <c r="SY30" s="5">
        <f>IF(ISERROR(LOOKUP(SY$1,$S30:$HK30,csv!$L30:$HD30)),NA(),LOOKUP(SY$1,$S30:$HK30,csv!$L30:$HD30))</f>
        <v>0</v>
      </c>
      <c r="SZ30" s="5">
        <f>IF(ISERROR(LOOKUP(SZ$1,$S30:$HK30,csv!$L30:$HD30)),NA(),LOOKUP(SZ$1,$S30:$HK30,csv!$L30:$HD30))</f>
        <v>0</v>
      </c>
      <c r="TA30" s="5">
        <f>IF(ISERROR(LOOKUP(TA$1,$S30:$HK30,csv!$L30:$HD30)),NA(),LOOKUP(TA$1,$S30:$HK30,csv!$L30:$HD30))</f>
        <v>0</v>
      </c>
      <c r="TB30" s="5">
        <f>IF(ISERROR(LOOKUP(TB$1,$S30:$HK30,csv!$L30:$HD30)),NA(),LOOKUP(TB$1,$S30:$HK30,csv!$L30:$HD30))</f>
        <v>0</v>
      </c>
      <c r="TD30">
        <f>csv!HG30/10</f>
        <v>0</v>
      </c>
    </row>
    <row r="31" spans="3:524" x14ac:dyDescent="0.15">
      <c r="S31" s="4">
        <f>ROUND((csv!$HG31/10+calc!S$1),1)</f>
        <v>-10</v>
      </c>
      <c r="T31" s="4">
        <f>ROUND((csv!$HG31/10+calc!T$1),1)</f>
        <v>-9.9</v>
      </c>
      <c r="U31" s="4">
        <f>ROUND((csv!$HG31/10+calc!U$1),1)</f>
        <v>-9.8000000000000007</v>
      </c>
      <c r="V31" s="4">
        <f>ROUND((csv!$HG31/10+calc!V$1),1)</f>
        <v>-9.6999999999999993</v>
      </c>
      <c r="W31" s="4">
        <f>ROUND((csv!$HG31/10+calc!W$1),1)</f>
        <v>-9.6</v>
      </c>
      <c r="X31" s="4">
        <f>ROUND((csv!$HG31/10+calc!X$1),1)</f>
        <v>-9.5</v>
      </c>
      <c r="Y31" s="4">
        <f>ROUND((csv!$HG31/10+calc!Y$1),1)</f>
        <v>-9.4</v>
      </c>
      <c r="Z31" s="4">
        <f>ROUND((csv!$HG31/10+calc!Z$1),1)</f>
        <v>-9.3000000000000007</v>
      </c>
      <c r="AA31" s="4">
        <f>ROUND((csv!$HG31/10+calc!AA$1),1)</f>
        <v>-9.1999999999999993</v>
      </c>
      <c r="AB31" s="4">
        <f>ROUND((csv!$HG31/10+calc!AB$1),1)</f>
        <v>-9.1</v>
      </c>
      <c r="AC31" s="4">
        <f>ROUND((csv!$HG31/10+calc!AC$1),1)</f>
        <v>-9</v>
      </c>
      <c r="AD31" s="4">
        <f>ROUND((csv!$HG31/10+calc!AD$1),1)</f>
        <v>-8.9</v>
      </c>
      <c r="AE31" s="4">
        <f>ROUND((csv!$HG31/10+calc!AE$1),1)</f>
        <v>-8.8000000000000007</v>
      </c>
      <c r="AF31" s="4">
        <f>ROUND((csv!$HG31/10+calc!AF$1),1)</f>
        <v>-8.6999999999999993</v>
      </c>
      <c r="AG31" s="4">
        <f>ROUND((csv!$HG31/10+calc!AG$1),1)</f>
        <v>-8.6</v>
      </c>
      <c r="AH31" s="4">
        <f>ROUND((csv!$HG31/10+calc!AH$1),1)</f>
        <v>-8.5</v>
      </c>
      <c r="AI31" s="4">
        <f>ROUND((csv!$HG31/10+calc!AI$1),1)</f>
        <v>-8.4</v>
      </c>
      <c r="AJ31" s="4">
        <f>ROUND((csv!$HG31/10+calc!AJ$1),1)</f>
        <v>-8.3000000000000007</v>
      </c>
      <c r="AK31" s="4">
        <f>ROUND((csv!$HG31/10+calc!AK$1),1)</f>
        <v>-8.1999999999999993</v>
      </c>
      <c r="AL31" s="4">
        <f>ROUND((csv!$HG31/10+calc!AL$1),1)</f>
        <v>-8.1</v>
      </c>
      <c r="AM31" s="4">
        <f>ROUND((csv!$HG31/10+calc!AM$1),1)</f>
        <v>-8</v>
      </c>
      <c r="AN31" s="4">
        <f>ROUND((csv!$HG31/10+calc!AN$1),1)</f>
        <v>-7.9</v>
      </c>
      <c r="AO31" s="4">
        <f>ROUND((csv!$HG31/10+calc!AO$1),1)</f>
        <v>-7.8</v>
      </c>
      <c r="AP31" s="4">
        <f>ROUND((csv!$HG31/10+calc!AP$1),1)</f>
        <v>-7.7</v>
      </c>
      <c r="AQ31" s="4">
        <f>ROUND((csv!$HG31/10+calc!AQ$1),1)</f>
        <v>-7.6</v>
      </c>
      <c r="AR31" s="4">
        <f>ROUND((csv!$HG31/10+calc!AR$1),1)</f>
        <v>-7.5</v>
      </c>
      <c r="AS31" s="4">
        <f>ROUND((csv!$HG31/10+calc!AS$1),1)</f>
        <v>-7.4</v>
      </c>
      <c r="AT31" s="4">
        <f>ROUND((csv!$HG31/10+calc!AT$1),1)</f>
        <v>-7.3</v>
      </c>
      <c r="AU31" s="4">
        <f>ROUND((csv!$HG31/10+calc!AU$1),1)</f>
        <v>-7.2</v>
      </c>
      <c r="AV31" s="4">
        <f>ROUND((csv!$HG31/10+calc!AV$1),1)</f>
        <v>-7.1</v>
      </c>
      <c r="AW31" s="4">
        <f>ROUND((csv!$HG31/10+calc!AW$1),1)</f>
        <v>-7</v>
      </c>
      <c r="AX31" s="4">
        <f>ROUND((csv!$HG31/10+calc!AX$1),1)</f>
        <v>-6.9</v>
      </c>
      <c r="AY31" s="4">
        <f>ROUND((csv!$HG31/10+calc!AY$1),1)</f>
        <v>-6.8</v>
      </c>
      <c r="AZ31" s="4">
        <f>ROUND((csv!$HG31/10+calc!AZ$1),1)</f>
        <v>-6.7</v>
      </c>
      <c r="BA31" s="4">
        <f>ROUND((csv!$HG31/10+calc!BA$1),1)</f>
        <v>-6.6</v>
      </c>
      <c r="BB31" s="4">
        <f>ROUND((csv!$HG31/10+calc!BB$1),1)</f>
        <v>-6.5</v>
      </c>
      <c r="BC31" s="4">
        <f>ROUND((csv!$HG31/10+calc!BC$1),1)</f>
        <v>-6.4</v>
      </c>
      <c r="BD31" s="4">
        <f>ROUND((csv!$HG31/10+calc!BD$1),1)</f>
        <v>-6.3</v>
      </c>
      <c r="BE31" s="4">
        <f>ROUND((csv!$HG31/10+calc!BE$1),1)</f>
        <v>-6.2</v>
      </c>
      <c r="BF31" s="4">
        <f>ROUND((csv!$HG31/10+calc!BF$1),1)</f>
        <v>-6.1</v>
      </c>
      <c r="BG31" s="4">
        <f>ROUND((csv!$HG31/10+calc!BG$1),1)</f>
        <v>-6</v>
      </c>
      <c r="BH31" s="4">
        <f>ROUND((csv!$HG31/10+calc!BH$1),1)</f>
        <v>-5.9</v>
      </c>
      <c r="BI31" s="4">
        <f>ROUND((csv!$HG31/10+calc!BI$1),1)</f>
        <v>-5.8</v>
      </c>
      <c r="BJ31" s="4">
        <f>ROUND((csv!$HG31/10+calc!BJ$1),1)</f>
        <v>-5.7</v>
      </c>
      <c r="BK31" s="4">
        <f>ROUND((csv!$HG31/10+calc!BK$1),1)</f>
        <v>-5.6</v>
      </c>
      <c r="BL31" s="4">
        <f>ROUND((csv!$HG31/10+calc!BL$1),1)</f>
        <v>-5.5</v>
      </c>
      <c r="BM31" s="4">
        <f>ROUND((csv!$HG31/10+calc!BM$1),1)</f>
        <v>-5.4</v>
      </c>
      <c r="BN31" s="4">
        <f>ROUND((csv!$HG31/10+calc!BN$1),1)</f>
        <v>-5.3</v>
      </c>
      <c r="BO31" s="4">
        <f>ROUND((csv!$HG31/10+calc!BO$1),1)</f>
        <v>-5.2</v>
      </c>
      <c r="BP31" s="4">
        <f>ROUND((csv!$HG31/10+calc!BP$1),1)</f>
        <v>-5.0999999999999996</v>
      </c>
      <c r="BQ31" s="4">
        <f>ROUND((csv!$HG31/10+calc!BQ$1),1)</f>
        <v>-5</v>
      </c>
      <c r="BR31" s="4">
        <f>ROUND((csv!$HG31/10+calc!BR$1),1)</f>
        <v>-4.9000000000000004</v>
      </c>
      <c r="BS31" s="4">
        <f>ROUND((csv!$HG31/10+calc!BS$1),1)</f>
        <v>-4.8</v>
      </c>
      <c r="BT31" s="4">
        <f>ROUND((csv!$HG31/10+calc!BT$1),1)</f>
        <v>-4.7</v>
      </c>
      <c r="BU31" s="4">
        <f>ROUND((csv!$HG31/10+calc!BU$1),1)</f>
        <v>-4.5999999999999996</v>
      </c>
      <c r="BV31" s="4">
        <f>ROUND((csv!$HG31/10+calc!BV$1),1)</f>
        <v>-4.5</v>
      </c>
      <c r="BW31" s="4">
        <f>ROUND((csv!$HG31/10+calc!BW$1),1)</f>
        <v>-4.4000000000000004</v>
      </c>
      <c r="BX31" s="4">
        <f>ROUND((csv!$HG31/10+calc!BX$1),1)</f>
        <v>-4.3</v>
      </c>
      <c r="BY31" s="4">
        <f>ROUND((csv!$HG31/10+calc!BY$1),1)</f>
        <v>-4.2</v>
      </c>
      <c r="BZ31" s="4">
        <f>ROUND((csv!$HG31/10+calc!BZ$1),1)</f>
        <v>-4.0999999999999996</v>
      </c>
      <c r="CA31" s="4">
        <f>ROUND((csv!$HG31/10+calc!CA$1),1)</f>
        <v>-4</v>
      </c>
      <c r="CB31" s="4">
        <f>ROUND((csv!$HG31/10+calc!CB$1),1)</f>
        <v>-3.9</v>
      </c>
      <c r="CC31" s="4">
        <f>ROUND((csv!$HG31/10+calc!CC$1),1)</f>
        <v>-3.8</v>
      </c>
      <c r="CD31" s="4">
        <f>ROUND((csv!$HG31/10+calc!CD$1),1)</f>
        <v>-3.7</v>
      </c>
      <c r="CE31" s="4">
        <f>ROUND((csv!$HG31/10+calc!CE$1),1)</f>
        <v>-3.6</v>
      </c>
      <c r="CF31" s="4">
        <f>ROUND((csv!$HG31/10+calc!CF$1),1)</f>
        <v>-3.5</v>
      </c>
      <c r="CG31" s="4">
        <f>ROUND((csv!$HG31/10+calc!CG$1),1)</f>
        <v>-3.4</v>
      </c>
      <c r="CH31" s="4">
        <f>ROUND((csv!$HG31/10+calc!CH$1),1)</f>
        <v>-3.3</v>
      </c>
      <c r="CI31" s="4">
        <f>ROUND((csv!$HG31/10+calc!CI$1),1)</f>
        <v>-3.2</v>
      </c>
      <c r="CJ31" s="4">
        <f>ROUND((csv!$HG31/10+calc!CJ$1),1)</f>
        <v>-3.1</v>
      </c>
      <c r="CK31" s="4">
        <f>ROUND((csv!$HG31/10+calc!CK$1),1)</f>
        <v>-3</v>
      </c>
      <c r="CL31" s="4">
        <f>ROUND((csv!$HG31/10+calc!CL$1),1)</f>
        <v>-2.9</v>
      </c>
      <c r="CM31" s="4">
        <f>ROUND((csv!$HG31/10+calc!CM$1),1)</f>
        <v>-2.8</v>
      </c>
      <c r="CN31" s="4">
        <f>ROUND((csv!$HG31/10+calc!CN$1),1)</f>
        <v>-2.7</v>
      </c>
      <c r="CO31" s="4">
        <f>ROUND((csv!$HG31/10+calc!CO$1),1)</f>
        <v>-2.6</v>
      </c>
      <c r="CP31" s="4">
        <f>ROUND((csv!$HG31/10+calc!CP$1),1)</f>
        <v>-2.5</v>
      </c>
      <c r="CQ31" s="4">
        <f>ROUND((csv!$HG31/10+calc!CQ$1),1)</f>
        <v>-2.4</v>
      </c>
      <c r="CR31" s="4">
        <f>ROUND((csv!$HG31/10+calc!CR$1),1)</f>
        <v>-2.2999999999999998</v>
      </c>
      <c r="CS31" s="4">
        <f>ROUND((csv!$HG31/10+calc!CS$1),1)</f>
        <v>-2.2000000000000002</v>
      </c>
      <c r="CT31" s="4">
        <f>ROUND((csv!$HG31/10+calc!CT$1),1)</f>
        <v>-2.1</v>
      </c>
      <c r="CU31" s="4">
        <f>ROUND((csv!$HG31/10+calc!CU$1),1)</f>
        <v>-2</v>
      </c>
      <c r="CV31" s="4">
        <f>ROUND((csv!$HG31/10+calc!CV$1),1)</f>
        <v>-1.9</v>
      </c>
      <c r="CW31" s="4">
        <f>ROUND((csv!$HG31/10+calc!CW$1),1)</f>
        <v>-1.8</v>
      </c>
      <c r="CX31" s="4">
        <f>ROUND((csv!$HG31/10+calc!CX$1),1)</f>
        <v>-1.7</v>
      </c>
      <c r="CY31" s="4">
        <f>ROUND((csv!$HG31/10+calc!CY$1),1)</f>
        <v>-1.6</v>
      </c>
      <c r="CZ31" s="4">
        <f>ROUND((csv!$HG31/10+calc!CZ$1),1)</f>
        <v>-1.5</v>
      </c>
      <c r="DA31" s="4">
        <f>ROUND((csv!$HG31/10+calc!DA$1),1)</f>
        <v>-1.4</v>
      </c>
      <c r="DB31" s="4">
        <f>ROUND((csv!$HG31/10+calc!DB$1),1)</f>
        <v>-1.3</v>
      </c>
      <c r="DC31" s="4">
        <f>ROUND((csv!$HG31/10+calc!DC$1),1)</f>
        <v>-1.2</v>
      </c>
      <c r="DD31" s="4">
        <f>ROUND((csv!$HG31/10+calc!DD$1),1)</f>
        <v>-1.1000000000000001</v>
      </c>
      <c r="DE31" s="4">
        <f>ROUND((csv!$HG31/10+calc!DE$1),1)</f>
        <v>-1</v>
      </c>
      <c r="DF31" s="4">
        <f>ROUND((csv!$HG31/10+calc!DF$1),1)</f>
        <v>-0.9</v>
      </c>
      <c r="DG31" s="4">
        <f>ROUND((csv!$HG31/10+calc!DG$1),1)</f>
        <v>-0.8</v>
      </c>
      <c r="DH31" s="4">
        <f>ROUND((csv!$HG31/10+calc!DH$1),1)</f>
        <v>-0.7</v>
      </c>
      <c r="DI31" s="4">
        <f>ROUND((csv!$HG31/10+calc!DI$1),1)</f>
        <v>-0.6</v>
      </c>
      <c r="DJ31" s="4">
        <f>ROUND((csv!$HG31/10+calc!DJ$1),1)</f>
        <v>-0.5</v>
      </c>
      <c r="DK31" s="4">
        <f>ROUND((csv!$HG31/10+calc!DK$1),1)</f>
        <v>-0.4</v>
      </c>
      <c r="DL31" s="4">
        <f>ROUND((csv!$HG31/10+calc!DL$1),1)</f>
        <v>-0.3</v>
      </c>
      <c r="DM31" s="4">
        <f>ROUND((csv!$HG31/10+calc!DM$1),1)</f>
        <v>-0.2</v>
      </c>
      <c r="DN31" s="4">
        <f>ROUND((csv!$HG31/10+calc!DN$1),1)</f>
        <v>-0.1</v>
      </c>
      <c r="DO31" s="4">
        <f>ROUND((csv!$HG31/10+calc!DO$1),1)</f>
        <v>0</v>
      </c>
      <c r="DP31" s="4">
        <f>ROUND((csv!$HG31/10+calc!DP$1),1)</f>
        <v>0.1</v>
      </c>
      <c r="DQ31" s="4">
        <f>ROUND((csv!$HG31/10+calc!DQ$1),1)</f>
        <v>0.2</v>
      </c>
      <c r="DR31" s="4">
        <f>ROUND((csv!$HG31/10+calc!DR$1),1)</f>
        <v>0.3</v>
      </c>
      <c r="DS31" s="4">
        <f>ROUND((csv!$HG31/10+calc!DS$1),1)</f>
        <v>0.4</v>
      </c>
      <c r="DT31" s="4">
        <f>ROUND((csv!$HG31/10+calc!DT$1),1)</f>
        <v>0.5</v>
      </c>
      <c r="DU31" s="4">
        <f>ROUND((csv!$HG31/10+calc!DU$1),1)</f>
        <v>0.6</v>
      </c>
      <c r="DV31" s="4">
        <f>ROUND((csv!$HG31/10+calc!DV$1),1)</f>
        <v>0.7</v>
      </c>
      <c r="DW31" s="4">
        <f>ROUND((csv!$HG31/10+calc!DW$1),1)</f>
        <v>0.8</v>
      </c>
      <c r="DX31" s="4">
        <f>ROUND((csv!$HG31/10+calc!DX$1),1)</f>
        <v>0.9</v>
      </c>
      <c r="DY31" s="4">
        <f>ROUND((csv!$HG31/10+calc!DY$1),1)</f>
        <v>1</v>
      </c>
      <c r="DZ31" s="4">
        <f>ROUND((csv!$HG31/10+calc!DZ$1),1)</f>
        <v>1.1000000000000001</v>
      </c>
      <c r="EA31" s="4">
        <f>ROUND((csv!$HG31/10+calc!EA$1),1)</f>
        <v>1.2</v>
      </c>
      <c r="EB31" s="4">
        <f>ROUND((csv!$HG31/10+calc!EB$1),1)</f>
        <v>1.3</v>
      </c>
      <c r="EC31" s="4">
        <f>ROUND((csv!$HG31/10+calc!EC$1),1)</f>
        <v>1.4</v>
      </c>
      <c r="ED31" s="4">
        <f>ROUND((csv!$HG31/10+calc!ED$1),1)</f>
        <v>1.5</v>
      </c>
      <c r="EE31" s="4">
        <f>ROUND((csv!$HG31/10+calc!EE$1),1)</f>
        <v>1.6</v>
      </c>
      <c r="EF31" s="4">
        <f>ROUND((csv!$HG31/10+calc!EF$1),1)</f>
        <v>1.7</v>
      </c>
      <c r="EG31" s="4">
        <f>ROUND((csv!$HG31/10+calc!EG$1),1)</f>
        <v>1.8</v>
      </c>
      <c r="EH31" s="4">
        <f>ROUND((csv!$HG31/10+calc!EH$1),1)</f>
        <v>1.9</v>
      </c>
      <c r="EI31" s="4">
        <f>ROUND((csv!$HG31/10+calc!EI$1),1)</f>
        <v>2</v>
      </c>
      <c r="EJ31" s="4">
        <f>ROUND((csv!$HG31/10+calc!EJ$1),1)</f>
        <v>2.1</v>
      </c>
      <c r="EK31" s="4">
        <f>ROUND((csv!$HG31/10+calc!EK$1),1)</f>
        <v>2.2000000000000002</v>
      </c>
      <c r="EL31" s="4">
        <f>ROUND((csv!$HG31/10+calc!EL$1),1)</f>
        <v>2.2999999999999998</v>
      </c>
      <c r="EM31" s="4">
        <f>ROUND((csv!$HG31/10+calc!EM$1),1)</f>
        <v>2.4</v>
      </c>
      <c r="EN31" s="4">
        <f>ROUND((csv!$HG31/10+calc!EN$1),1)</f>
        <v>2.5</v>
      </c>
      <c r="EO31" s="4">
        <f>ROUND((csv!$HG31/10+calc!EO$1),1)</f>
        <v>2.6</v>
      </c>
      <c r="EP31" s="4">
        <f>ROUND((csv!$HG31/10+calc!EP$1),1)</f>
        <v>2.7</v>
      </c>
      <c r="EQ31" s="4">
        <f>ROUND((csv!$HG31/10+calc!EQ$1),1)</f>
        <v>2.8</v>
      </c>
      <c r="ER31" s="4">
        <f>ROUND((csv!$HG31/10+calc!ER$1),1)</f>
        <v>2.9</v>
      </c>
      <c r="ES31" s="4">
        <f>ROUND((csv!$HG31/10+calc!ES$1),1)</f>
        <v>3</v>
      </c>
      <c r="ET31" s="4">
        <f>ROUND((csv!$HG31/10+calc!ET$1),1)</f>
        <v>3.1</v>
      </c>
      <c r="EU31" s="4">
        <f>ROUND((csv!$HG31/10+calc!EU$1),1)</f>
        <v>3.2</v>
      </c>
      <c r="EV31" s="4">
        <f>ROUND((csv!$HG31/10+calc!EV$1),1)</f>
        <v>3.3</v>
      </c>
      <c r="EW31" s="4">
        <f>ROUND((csv!$HG31/10+calc!EW$1),1)</f>
        <v>3.4</v>
      </c>
      <c r="EX31" s="4">
        <f>ROUND((csv!$HG31/10+calc!EX$1),1)</f>
        <v>3.5</v>
      </c>
      <c r="EY31" s="4">
        <f>ROUND((csv!$HG31/10+calc!EY$1),1)</f>
        <v>3.6</v>
      </c>
      <c r="EZ31" s="4">
        <f>ROUND((csv!$HG31/10+calc!EZ$1),1)</f>
        <v>3.7</v>
      </c>
      <c r="FA31" s="4">
        <f>ROUND((csv!$HG31/10+calc!FA$1),1)</f>
        <v>3.8</v>
      </c>
      <c r="FB31" s="4">
        <f>ROUND((csv!$HG31/10+calc!FB$1),1)</f>
        <v>3.9</v>
      </c>
      <c r="FC31" s="4">
        <f>ROUND((csv!$HG31/10+calc!FC$1),1)</f>
        <v>4</v>
      </c>
      <c r="FD31" s="4">
        <f>ROUND((csv!$HG31/10+calc!FD$1),1)</f>
        <v>4.0999999999999996</v>
      </c>
      <c r="FE31" s="4">
        <f>ROUND((csv!$HG31/10+calc!FE$1),1)</f>
        <v>4.2</v>
      </c>
      <c r="FF31" s="4">
        <f>ROUND((csv!$HG31/10+calc!FF$1),1)</f>
        <v>4.3</v>
      </c>
      <c r="FG31" s="4">
        <f>ROUND((csv!$HG31/10+calc!FG$1),1)</f>
        <v>4.4000000000000004</v>
      </c>
      <c r="FH31" s="4">
        <f>ROUND((csv!$HG31/10+calc!FH$1),1)</f>
        <v>4.5</v>
      </c>
      <c r="FI31" s="4">
        <f>ROUND((csv!$HG31/10+calc!FI$1),1)</f>
        <v>4.5999999999999996</v>
      </c>
      <c r="FJ31" s="4">
        <f>ROUND((csv!$HG31/10+calc!FJ$1),1)</f>
        <v>4.7</v>
      </c>
      <c r="FK31" s="4">
        <f>ROUND((csv!$HG31/10+calc!FK$1),1)</f>
        <v>4.8</v>
      </c>
      <c r="FL31" s="4">
        <f>ROUND((csv!$HG31/10+calc!FL$1),1)</f>
        <v>4.9000000000000004</v>
      </c>
      <c r="FM31" s="4">
        <f>ROUND((csv!$HG31/10+calc!FM$1),1)</f>
        <v>5</v>
      </c>
      <c r="FN31" s="4">
        <f>ROUND((csv!$HG31/10+calc!FN$1),1)</f>
        <v>5.0999999999999996</v>
      </c>
      <c r="FO31" s="4">
        <f>ROUND((csv!$HG31/10+calc!FO$1),1)</f>
        <v>5.2</v>
      </c>
      <c r="FP31" s="4">
        <f>ROUND((csv!$HG31/10+calc!FP$1),1)</f>
        <v>5.3</v>
      </c>
      <c r="FQ31" s="4">
        <f>ROUND((csv!$HG31/10+calc!FQ$1),1)</f>
        <v>5.4</v>
      </c>
      <c r="FR31" s="4">
        <f>ROUND((csv!$HG31/10+calc!FR$1),1)</f>
        <v>5.5</v>
      </c>
      <c r="FS31" s="4">
        <f>ROUND((csv!$HG31/10+calc!FS$1),1)</f>
        <v>5.6</v>
      </c>
      <c r="FT31" s="4">
        <f>ROUND((csv!$HG31/10+calc!FT$1),1)</f>
        <v>5.7</v>
      </c>
      <c r="FU31" s="4">
        <f>ROUND((csv!$HG31/10+calc!FU$1),1)</f>
        <v>5.8</v>
      </c>
      <c r="FV31" s="4">
        <f>ROUND((csv!$HG31/10+calc!FV$1),1)</f>
        <v>5.9</v>
      </c>
      <c r="FW31" s="4">
        <f>ROUND((csv!$HG31/10+calc!FW$1),1)</f>
        <v>6</v>
      </c>
      <c r="FX31" s="4">
        <f>ROUND((csv!$HG31/10+calc!FX$1),1)</f>
        <v>6.1</v>
      </c>
      <c r="FY31" s="4">
        <f>ROUND((csv!$HG31/10+calc!FY$1),1)</f>
        <v>6.2</v>
      </c>
      <c r="FZ31" s="4">
        <f>ROUND((csv!$HG31/10+calc!FZ$1),1)</f>
        <v>6.3</v>
      </c>
      <c r="GA31" s="4">
        <f>ROUND((csv!$HG31/10+calc!GA$1),1)</f>
        <v>6.4</v>
      </c>
      <c r="GB31" s="4">
        <f>ROUND((csv!$HG31/10+calc!GB$1),1)</f>
        <v>6.5</v>
      </c>
      <c r="GC31" s="4">
        <f>ROUND((csv!$HG31/10+calc!GC$1),1)</f>
        <v>6.6</v>
      </c>
      <c r="GD31" s="4">
        <f>ROUND((csv!$HG31/10+calc!GD$1),1)</f>
        <v>6.7</v>
      </c>
      <c r="GE31" s="4">
        <f>ROUND((csv!$HG31/10+calc!GE$1),1)</f>
        <v>6.8</v>
      </c>
      <c r="GF31" s="4">
        <f>ROUND((csv!$HG31/10+calc!GF$1),1)</f>
        <v>6.9</v>
      </c>
      <c r="GG31" s="4">
        <f>ROUND((csv!$HG31/10+calc!GG$1),1)</f>
        <v>7</v>
      </c>
      <c r="GH31" s="4">
        <f>ROUND((csv!$HG31/10+calc!GH$1),1)</f>
        <v>7.1</v>
      </c>
      <c r="GI31" s="4">
        <f>ROUND((csv!$HG31/10+calc!GI$1),1)</f>
        <v>7.2</v>
      </c>
      <c r="GJ31" s="4">
        <f>ROUND((csv!$HG31/10+calc!GJ$1),1)</f>
        <v>7.3</v>
      </c>
      <c r="GK31" s="4">
        <f>ROUND((csv!$HG31/10+calc!GK$1),1)</f>
        <v>7.4</v>
      </c>
      <c r="GL31" s="4">
        <f>ROUND((csv!$HG31/10+calc!GL$1),1)</f>
        <v>7.5</v>
      </c>
      <c r="GM31" s="4">
        <f>ROUND((csv!$HG31/10+calc!GM$1),1)</f>
        <v>7.6</v>
      </c>
      <c r="GN31" s="4">
        <f>ROUND((csv!$HG31/10+calc!GN$1),1)</f>
        <v>7.7</v>
      </c>
      <c r="GO31" s="4">
        <f>ROUND((csv!$HG31/10+calc!GO$1),1)</f>
        <v>7.8</v>
      </c>
      <c r="GP31" s="4">
        <f>ROUND((csv!$HG31/10+calc!GP$1),1)</f>
        <v>7.9</v>
      </c>
      <c r="GQ31" s="4">
        <f>ROUND((csv!$HG31/10+calc!GQ$1),1)</f>
        <v>8</v>
      </c>
      <c r="GR31" s="4">
        <f>ROUND((csv!$HG31/10+calc!GR$1),1)</f>
        <v>8.1</v>
      </c>
      <c r="GS31" s="4">
        <f>ROUND((csv!$HG31/10+calc!GS$1),1)</f>
        <v>8.1999999999999993</v>
      </c>
      <c r="GT31" s="4">
        <f>ROUND((csv!$HG31/10+calc!GT$1),1)</f>
        <v>8.3000000000000007</v>
      </c>
      <c r="GU31" s="4">
        <f>ROUND((csv!$HG31/10+calc!GU$1),1)</f>
        <v>8.4</v>
      </c>
      <c r="GV31" s="4">
        <f>ROUND((csv!$HG31/10+calc!GV$1),1)</f>
        <v>8.5</v>
      </c>
      <c r="GW31" s="4">
        <f>ROUND((csv!$HG31/10+calc!GW$1),1)</f>
        <v>8.6</v>
      </c>
      <c r="GX31" s="4">
        <f>ROUND((csv!$HG31/10+calc!GX$1),1)</f>
        <v>8.6999999999999993</v>
      </c>
      <c r="GY31" s="4">
        <f>ROUND((csv!$HG31/10+calc!GY$1),1)</f>
        <v>8.8000000000000007</v>
      </c>
      <c r="GZ31" s="4">
        <f>ROUND((csv!$HG31/10+calc!GZ$1),1)</f>
        <v>8.9</v>
      </c>
      <c r="HA31" s="4">
        <f>ROUND((csv!$HG31/10+calc!HA$1),1)</f>
        <v>9</v>
      </c>
      <c r="HB31" s="4">
        <f>ROUND((csv!$HG31/10+calc!HB$1),1)</f>
        <v>9.1</v>
      </c>
      <c r="HC31" s="4">
        <f>ROUND((csv!$HG31/10+calc!HC$1),1)</f>
        <v>9.1999999999999993</v>
      </c>
      <c r="HD31" s="4">
        <f>ROUND((csv!$HG31/10+calc!HD$1),1)</f>
        <v>9.3000000000000007</v>
      </c>
      <c r="HE31" s="4">
        <f>ROUND((csv!$HG31/10+calc!HE$1),1)</f>
        <v>9.4</v>
      </c>
      <c r="HF31" s="4">
        <f>ROUND((csv!$HG31/10+calc!HF$1),1)</f>
        <v>9.5</v>
      </c>
      <c r="HG31" s="4">
        <f>ROUND((csv!$HG31/10+calc!HG$1),1)</f>
        <v>9.6</v>
      </c>
      <c r="HH31" s="4">
        <f>ROUND((csv!$HG31/10+calc!HH$1),1)</f>
        <v>9.6999999999999993</v>
      </c>
      <c r="HI31" s="4">
        <f>ROUND((csv!$HG31/10+calc!HI$1),1)</f>
        <v>9.8000000000000007</v>
      </c>
      <c r="HJ31" s="4">
        <f>ROUND((csv!$HG31/10+calc!HJ$1),1)</f>
        <v>9.9</v>
      </c>
      <c r="HK31" s="4">
        <f>ROUND((csv!$HG31/10+calc!HK$1),1)</f>
        <v>10</v>
      </c>
      <c r="HM31" s="2">
        <f>csv!A31*10000+csv!B31*100+csv!C31</f>
        <v>0</v>
      </c>
      <c r="HN31" s="5">
        <f>IF(ISERROR(LOOKUP(HN$1,$S31:$HK31,csv!$L31:$HD31)),NA(),LOOKUP(HN$1,$S31:$HK31,csv!$L31:$HD31))</f>
        <v>0</v>
      </c>
      <c r="HO31" s="5">
        <f>IF(ISERROR(LOOKUP(HO$1,$S31:$HK31,csv!$L31:$HD31)),NA(),LOOKUP(HO$1,$S31:$HK31,csv!$L31:$HD31))</f>
        <v>0</v>
      </c>
      <c r="HP31" s="5">
        <f>IF(ISERROR(LOOKUP(HP$1,$S31:$HK31,csv!$L31:$HD31)),NA(),LOOKUP(HP$1,$S31:$HK31,csv!$L31:$HD31))</f>
        <v>0</v>
      </c>
      <c r="HQ31" s="5">
        <f>IF(ISERROR(LOOKUP(HQ$1,$S31:$HK31,csv!$L31:$HD31)),NA(),LOOKUP(HQ$1,$S31:$HK31,csv!$L31:$HD31))</f>
        <v>0</v>
      </c>
      <c r="HR31" s="5">
        <f>IF(ISERROR(LOOKUP(HR$1,$S31:$HK31,csv!$L31:$HD31)),NA(),LOOKUP(HR$1,$S31:$HK31,csv!$L31:$HD31))</f>
        <v>0</v>
      </c>
      <c r="HS31" s="5">
        <f>IF(ISERROR(LOOKUP(HS$1,$S31:$HK31,csv!$L31:$HD31)),NA(),LOOKUP(HS$1,$S31:$HK31,csv!$L31:$HD31))</f>
        <v>0</v>
      </c>
      <c r="HT31" s="5">
        <f>IF(ISERROR(LOOKUP(HT$1,$S31:$HK31,csv!$L31:$HD31)),NA(),LOOKUP(HT$1,$S31:$HK31,csv!$L31:$HD31))</f>
        <v>0</v>
      </c>
      <c r="HU31" s="5">
        <f>IF(ISERROR(LOOKUP(HU$1,$S31:$HK31,csv!$L31:$HD31)),NA(),LOOKUP(HU$1,$S31:$HK31,csv!$L31:$HD31))</f>
        <v>0</v>
      </c>
      <c r="HV31" s="5">
        <f>IF(ISERROR(LOOKUP(HV$1,$S31:$HK31,csv!$L31:$HD31)),NA(),LOOKUP(HV$1,$S31:$HK31,csv!$L31:$HD31))</f>
        <v>0</v>
      </c>
      <c r="HW31" s="5">
        <f>IF(ISERROR(LOOKUP(HW$1,$S31:$HK31,csv!$L31:$HD31)),NA(),LOOKUP(HW$1,$S31:$HK31,csv!$L31:$HD31))</f>
        <v>0</v>
      </c>
      <c r="HX31" s="5">
        <f>IF(ISERROR(LOOKUP(HX$1,$S31:$HK31,csv!$L31:$HD31)),NA(),LOOKUP(HX$1,$S31:$HK31,csv!$L31:$HD31))</f>
        <v>0</v>
      </c>
      <c r="HY31" s="5">
        <f>IF(ISERROR(LOOKUP(HY$1,$S31:$HK31,csv!$L31:$HD31)),NA(),LOOKUP(HY$1,$S31:$HK31,csv!$L31:$HD31))</f>
        <v>0</v>
      </c>
      <c r="HZ31" s="5">
        <f>IF(ISERROR(LOOKUP(HZ$1,$S31:$HK31,csv!$L31:$HD31)),NA(),LOOKUP(HZ$1,$S31:$HK31,csv!$L31:$HD31))</f>
        <v>0</v>
      </c>
      <c r="IA31" s="5">
        <f>IF(ISERROR(LOOKUP(IA$1,$S31:$HK31,csv!$L31:$HD31)),NA(),LOOKUP(IA$1,$S31:$HK31,csv!$L31:$HD31))</f>
        <v>0</v>
      </c>
      <c r="IB31" s="5">
        <f>IF(ISERROR(LOOKUP(IB$1,$S31:$HK31,csv!$L31:$HD31)),NA(),LOOKUP(IB$1,$S31:$HK31,csv!$L31:$HD31))</f>
        <v>0</v>
      </c>
      <c r="IC31" s="5">
        <f>IF(ISERROR(LOOKUP(IC$1,$S31:$HK31,csv!$L31:$HD31)),NA(),LOOKUP(IC$1,$S31:$HK31,csv!$L31:$HD31))</f>
        <v>0</v>
      </c>
      <c r="ID31" s="5">
        <f>IF(ISERROR(LOOKUP(ID$1,$S31:$HK31,csv!$L31:$HD31)),NA(),LOOKUP(ID$1,$S31:$HK31,csv!$L31:$HD31))</f>
        <v>0</v>
      </c>
      <c r="IE31" s="5">
        <f>IF(ISERROR(LOOKUP(IE$1,$S31:$HK31,csv!$L31:$HD31)),NA(),LOOKUP(IE$1,$S31:$HK31,csv!$L31:$HD31))</f>
        <v>0</v>
      </c>
      <c r="IF31" s="5">
        <f>IF(ISERROR(LOOKUP(IF$1,$S31:$HK31,csv!$L31:$HD31)),NA(),LOOKUP(IF$1,$S31:$HK31,csv!$L31:$HD31))</f>
        <v>0</v>
      </c>
      <c r="IG31" s="5">
        <f>IF(ISERROR(LOOKUP(IG$1,$S31:$HK31,csv!$L31:$HD31)),NA(),LOOKUP(IG$1,$S31:$HK31,csv!$L31:$HD31))</f>
        <v>0</v>
      </c>
      <c r="IH31" s="5">
        <f>IF(ISERROR(LOOKUP(IH$1,$S31:$HK31,csv!$L31:$HD31)),NA(),LOOKUP(IH$1,$S31:$HK31,csv!$L31:$HD31))</f>
        <v>0</v>
      </c>
      <c r="II31" s="5">
        <f>IF(ISERROR(LOOKUP(II$1,$S31:$HK31,csv!$L31:$HD31)),NA(),LOOKUP(II$1,$S31:$HK31,csv!$L31:$HD31))</f>
        <v>0</v>
      </c>
      <c r="IJ31" s="5">
        <f>IF(ISERROR(LOOKUP(IJ$1,$S31:$HK31,csv!$L31:$HD31)),NA(),LOOKUP(IJ$1,$S31:$HK31,csv!$L31:$HD31))</f>
        <v>0</v>
      </c>
      <c r="IK31" s="5">
        <f>IF(ISERROR(LOOKUP(IK$1,$S31:$HK31,csv!$L31:$HD31)),NA(),LOOKUP(IK$1,$S31:$HK31,csv!$L31:$HD31))</f>
        <v>0</v>
      </c>
      <c r="IL31" s="5">
        <f>IF(ISERROR(LOOKUP(IL$1,$S31:$HK31,csv!$L31:$HD31)),NA(),LOOKUP(IL$1,$S31:$HK31,csv!$L31:$HD31))</f>
        <v>0</v>
      </c>
      <c r="IM31" s="5">
        <f>IF(ISERROR(LOOKUP(IM$1,$S31:$HK31,csv!$L31:$HD31)),NA(),LOOKUP(IM$1,$S31:$HK31,csv!$L31:$HD31))</f>
        <v>0</v>
      </c>
      <c r="IN31" s="5">
        <f>IF(ISERROR(LOOKUP(IN$1,$S31:$HK31,csv!$L31:$HD31)),NA(),LOOKUP(IN$1,$S31:$HK31,csv!$L31:$HD31))</f>
        <v>0</v>
      </c>
      <c r="IO31" s="5">
        <f>IF(ISERROR(LOOKUP(IO$1,$S31:$HK31,csv!$L31:$HD31)),NA(),LOOKUP(IO$1,$S31:$HK31,csv!$L31:$HD31))</f>
        <v>0</v>
      </c>
      <c r="IP31" s="5">
        <f>IF(ISERROR(LOOKUP(IP$1,$S31:$HK31,csv!$L31:$HD31)),NA(),LOOKUP(IP$1,$S31:$HK31,csv!$L31:$HD31))</f>
        <v>0</v>
      </c>
      <c r="IQ31" s="5">
        <f>IF(ISERROR(LOOKUP(IQ$1,$S31:$HK31,csv!$L31:$HD31)),NA(),LOOKUP(IQ$1,$S31:$HK31,csv!$L31:$HD31))</f>
        <v>0</v>
      </c>
      <c r="IR31" s="5">
        <f>IF(ISERROR(LOOKUP(IR$1,$S31:$HK31,csv!$L31:$HD31)),NA(),LOOKUP(IR$1,$S31:$HK31,csv!$L31:$HD31))</f>
        <v>0</v>
      </c>
      <c r="IS31" s="5">
        <f>IF(ISERROR(LOOKUP(IS$1,$S31:$HK31,csv!$L31:$HD31)),NA(),LOOKUP(IS$1,$S31:$HK31,csv!$L31:$HD31))</f>
        <v>0</v>
      </c>
      <c r="IT31" s="5">
        <f>IF(ISERROR(LOOKUP(IT$1,$S31:$HK31,csv!$L31:$HD31)),NA(),LOOKUP(IT$1,$S31:$HK31,csv!$L31:$HD31))</f>
        <v>0</v>
      </c>
      <c r="IU31" s="5">
        <f>IF(ISERROR(LOOKUP(IU$1,$S31:$HK31,csv!$L31:$HD31)),NA(),LOOKUP(IU$1,$S31:$HK31,csv!$L31:$HD31))</f>
        <v>0</v>
      </c>
      <c r="IV31" s="5">
        <f>IF(ISERROR(LOOKUP(IV$1,$S31:$HK31,csv!$L31:$HD31)),NA(),LOOKUP(IV$1,$S31:$HK31,csv!$L31:$HD31))</f>
        <v>0</v>
      </c>
      <c r="IW31" s="5">
        <f>IF(ISERROR(LOOKUP(IW$1,$S31:$HK31,csv!$L31:$HD31)),NA(),LOOKUP(IW$1,$S31:$HK31,csv!$L31:$HD31))</f>
        <v>0</v>
      </c>
      <c r="IX31" s="5">
        <f>IF(ISERROR(LOOKUP(IX$1,$S31:$HK31,csv!$L31:$HD31)),NA(),LOOKUP(IX$1,$S31:$HK31,csv!$L31:$HD31))</f>
        <v>0</v>
      </c>
      <c r="IY31" s="5">
        <f>IF(ISERROR(LOOKUP(IY$1,$S31:$HK31,csv!$L31:$HD31)),NA(),LOOKUP(IY$1,$S31:$HK31,csv!$L31:$HD31))</f>
        <v>0</v>
      </c>
      <c r="IZ31" s="5">
        <f>IF(ISERROR(LOOKUP(IZ$1,$S31:$HK31,csv!$L31:$HD31)),NA(),LOOKUP(IZ$1,$S31:$HK31,csv!$L31:$HD31))</f>
        <v>0</v>
      </c>
      <c r="JA31" s="5">
        <f>IF(ISERROR(LOOKUP(JA$1,$S31:$HK31,csv!$L31:$HD31)),NA(),LOOKUP(JA$1,$S31:$HK31,csv!$L31:$HD31))</f>
        <v>0</v>
      </c>
      <c r="JB31" s="5">
        <f>IF(ISERROR(LOOKUP(JB$1,$S31:$HK31,csv!$L31:$HD31)),NA(),LOOKUP(JB$1,$S31:$HK31,csv!$L31:$HD31))</f>
        <v>0</v>
      </c>
      <c r="JC31" s="5">
        <f>IF(ISERROR(LOOKUP(JC$1,$S31:$HK31,csv!$L31:$HD31)),NA(),LOOKUP(JC$1,$S31:$HK31,csv!$L31:$HD31))</f>
        <v>0</v>
      </c>
      <c r="JD31" s="5">
        <f>IF(ISERROR(LOOKUP(JD$1,$S31:$HK31,csv!$L31:$HD31)),NA(),LOOKUP(JD$1,$S31:$HK31,csv!$L31:$HD31))</f>
        <v>0</v>
      </c>
      <c r="JE31" s="5">
        <f>IF(ISERROR(LOOKUP(JE$1,$S31:$HK31,csv!$L31:$HD31)),NA(),LOOKUP(JE$1,$S31:$HK31,csv!$L31:$HD31))</f>
        <v>0</v>
      </c>
      <c r="JF31" s="5">
        <f>IF(ISERROR(LOOKUP(JF$1,$S31:$HK31,csv!$L31:$HD31)),NA(),LOOKUP(JF$1,$S31:$HK31,csv!$L31:$HD31))</f>
        <v>0</v>
      </c>
      <c r="JG31" s="5">
        <f>IF(ISERROR(LOOKUP(JG$1,$S31:$HK31,csv!$L31:$HD31)),NA(),LOOKUP(JG$1,$S31:$HK31,csv!$L31:$HD31))</f>
        <v>0</v>
      </c>
      <c r="JH31" s="5">
        <f>IF(ISERROR(LOOKUP(JH$1,$S31:$HK31,csv!$L31:$HD31)),NA(),LOOKUP(JH$1,$S31:$HK31,csv!$L31:$HD31))</f>
        <v>0</v>
      </c>
      <c r="JI31" s="5">
        <f>IF(ISERROR(LOOKUP(JI$1,$S31:$HK31,csv!$L31:$HD31)),NA(),LOOKUP(JI$1,$S31:$HK31,csv!$L31:$HD31))</f>
        <v>0</v>
      </c>
      <c r="JJ31" s="5">
        <f>IF(ISERROR(LOOKUP(JJ$1,$S31:$HK31,csv!$L31:$HD31)),NA(),LOOKUP(JJ$1,$S31:$HK31,csv!$L31:$HD31))</f>
        <v>0</v>
      </c>
      <c r="JK31" s="5">
        <f>IF(ISERROR(LOOKUP(JK$1,$S31:$HK31,csv!$L31:$HD31)),NA(),LOOKUP(JK$1,$S31:$HK31,csv!$L31:$HD31))</f>
        <v>0</v>
      </c>
      <c r="JL31" s="5">
        <f>IF(ISERROR(LOOKUP(JL$1,$S31:$HK31,csv!$L31:$HD31)),NA(),LOOKUP(JL$1,$S31:$HK31,csv!$L31:$HD31))</f>
        <v>0</v>
      </c>
      <c r="JM31" s="5">
        <f>IF(ISERROR(LOOKUP(JM$1,$S31:$HK31,csv!$L31:$HD31)),NA(),LOOKUP(JM$1,$S31:$HK31,csv!$L31:$HD31))</f>
        <v>0</v>
      </c>
      <c r="JN31" s="5">
        <f>IF(ISERROR(LOOKUP(JN$1,$S31:$HK31,csv!$L31:$HD31)),NA(),LOOKUP(JN$1,$S31:$HK31,csv!$L31:$HD31))</f>
        <v>0</v>
      </c>
      <c r="JO31" s="5">
        <f>IF(ISERROR(LOOKUP(JO$1,$S31:$HK31,csv!$L31:$HD31)),NA(),LOOKUP(JO$1,$S31:$HK31,csv!$L31:$HD31))</f>
        <v>0</v>
      </c>
      <c r="JP31" s="5">
        <f>IF(ISERROR(LOOKUP(JP$1,$S31:$HK31,csv!$L31:$HD31)),NA(),LOOKUP(JP$1,$S31:$HK31,csv!$L31:$HD31))</f>
        <v>0</v>
      </c>
      <c r="JQ31" s="5">
        <f>IF(ISERROR(LOOKUP(JQ$1,$S31:$HK31,csv!$L31:$HD31)),NA(),LOOKUP(JQ$1,$S31:$HK31,csv!$L31:$HD31))</f>
        <v>0</v>
      </c>
      <c r="JR31" s="5">
        <f>IF(ISERROR(LOOKUP(JR$1,$S31:$HK31,csv!$L31:$HD31)),NA(),LOOKUP(JR$1,$S31:$HK31,csv!$L31:$HD31))</f>
        <v>0</v>
      </c>
      <c r="JS31" s="5">
        <f>IF(ISERROR(LOOKUP(JS$1,$S31:$HK31,csv!$L31:$HD31)),NA(),LOOKUP(JS$1,$S31:$HK31,csv!$L31:$HD31))</f>
        <v>0</v>
      </c>
      <c r="JT31" s="5">
        <f>IF(ISERROR(LOOKUP(JT$1,$S31:$HK31,csv!$L31:$HD31)),NA(),LOOKUP(JT$1,$S31:$HK31,csv!$L31:$HD31))</f>
        <v>0</v>
      </c>
      <c r="JU31" s="5">
        <f>IF(ISERROR(LOOKUP(JU$1,$S31:$HK31,csv!$L31:$HD31)),NA(),LOOKUP(JU$1,$S31:$HK31,csv!$L31:$HD31))</f>
        <v>0</v>
      </c>
      <c r="JV31" s="5">
        <f>IF(ISERROR(LOOKUP(JV$1,$S31:$HK31,csv!$L31:$HD31)),NA(),LOOKUP(JV$1,$S31:$HK31,csv!$L31:$HD31))</f>
        <v>0</v>
      </c>
      <c r="JW31" s="5">
        <f>IF(ISERROR(LOOKUP(JW$1,$S31:$HK31,csv!$L31:$HD31)),NA(),LOOKUP(JW$1,$S31:$HK31,csv!$L31:$HD31))</f>
        <v>0</v>
      </c>
      <c r="JX31" s="5">
        <f>IF(ISERROR(LOOKUP(JX$1,$S31:$HK31,csv!$L31:$HD31)),NA(),LOOKUP(JX$1,$S31:$HK31,csv!$L31:$HD31))</f>
        <v>0</v>
      </c>
      <c r="JY31" s="5">
        <f>IF(ISERROR(LOOKUP(JY$1,$S31:$HK31,csv!$L31:$HD31)),NA(),LOOKUP(JY$1,$S31:$HK31,csv!$L31:$HD31))</f>
        <v>0</v>
      </c>
      <c r="JZ31" s="5">
        <f>IF(ISERROR(LOOKUP(JZ$1,$S31:$HK31,csv!$L31:$HD31)),NA(),LOOKUP(JZ$1,$S31:$HK31,csv!$L31:$HD31))</f>
        <v>0</v>
      </c>
      <c r="KA31" s="5">
        <f>IF(ISERROR(LOOKUP(KA$1,$S31:$HK31,csv!$L31:$HD31)),NA(),LOOKUP(KA$1,$S31:$HK31,csv!$L31:$HD31))</f>
        <v>0</v>
      </c>
      <c r="KB31" s="5">
        <f>IF(ISERROR(LOOKUP(KB$1,$S31:$HK31,csv!$L31:$HD31)),NA(),LOOKUP(KB$1,$S31:$HK31,csv!$L31:$HD31))</f>
        <v>0</v>
      </c>
      <c r="KC31" s="5">
        <f>IF(ISERROR(LOOKUP(KC$1,$S31:$HK31,csv!$L31:$HD31)),NA(),LOOKUP(KC$1,$S31:$HK31,csv!$L31:$HD31))</f>
        <v>0</v>
      </c>
      <c r="KD31" s="5">
        <f>IF(ISERROR(LOOKUP(KD$1,$S31:$HK31,csv!$L31:$HD31)),NA(),LOOKUP(KD$1,$S31:$HK31,csv!$L31:$HD31))</f>
        <v>0</v>
      </c>
      <c r="KE31" s="5">
        <f>IF(ISERROR(LOOKUP(KE$1,$S31:$HK31,csv!$L31:$HD31)),NA(),LOOKUP(KE$1,$S31:$HK31,csv!$L31:$HD31))</f>
        <v>0</v>
      </c>
      <c r="KF31" s="5">
        <f>IF(ISERROR(LOOKUP(KF$1,$S31:$HK31,csv!$L31:$HD31)),NA(),LOOKUP(KF$1,$S31:$HK31,csv!$L31:$HD31))</f>
        <v>0</v>
      </c>
      <c r="KG31" s="5">
        <f>IF(ISERROR(LOOKUP(KG$1,$S31:$HK31,csv!$L31:$HD31)),NA(),LOOKUP(KG$1,$S31:$HK31,csv!$L31:$HD31))</f>
        <v>0</v>
      </c>
      <c r="KH31" s="5">
        <f>IF(ISERROR(LOOKUP(KH$1,$S31:$HK31,csv!$L31:$HD31)),NA(),LOOKUP(KH$1,$S31:$HK31,csv!$L31:$HD31))</f>
        <v>0</v>
      </c>
      <c r="KI31" s="5">
        <f>IF(ISERROR(LOOKUP(KI$1,$S31:$HK31,csv!$L31:$HD31)),NA(),LOOKUP(KI$1,$S31:$HK31,csv!$L31:$HD31))</f>
        <v>0</v>
      </c>
      <c r="KJ31" s="5">
        <f>IF(ISERROR(LOOKUP(KJ$1,$S31:$HK31,csv!$L31:$HD31)),NA(),LOOKUP(KJ$1,$S31:$HK31,csv!$L31:$HD31))</f>
        <v>0</v>
      </c>
      <c r="KK31" s="5">
        <f>IF(ISERROR(LOOKUP(KK$1,$S31:$HK31,csv!$L31:$HD31)),NA(),LOOKUP(KK$1,$S31:$HK31,csv!$L31:$HD31))</f>
        <v>0</v>
      </c>
      <c r="KL31" s="5">
        <f>IF(ISERROR(LOOKUP(KL$1,$S31:$HK31,csv!$L31:$HD31)),NA(),LOOKUP(KL$1,$S31:$HK31,csv!$L31:$HD31))</f>
        <v>0</v>
      </c>
      <c r="KM31" s="5">
        <f>IF(ISERROR(LOOKUP(KM$1,$S31:$HK31,csv!$L31:$HD31)),NA(),LOOKUP(KM$1,$S31:$HK31,csv!$L31:$HD31))</f>
        <v>0</v>
      </c>
      <c r="KN31" s="5">
        <f>IF(ISERROR(LOOKUP(KN$1,$S31:$HK31,csv!$L31:$HD31)),NA(),LOOKUP(KN$1,$S31:$HK31,csv!$L31:$HD31))</f>
        <v>0</v>
      </c>
      <c r="KO31" s="5">
        <f>IF(ISERROR(LOOKUP(KO$1,$S31:$HK31,csv!$L31:$HD31)),NA(),LOOKUP(KO$1,$S31:$HK31,csv!$L31:$HD31))</f>
        <v>0</v>
      </c>
      <c r="KP31" s="5">
        <f>IF(ISERROR(LOOKUP(KP$1,$S31:$HK31,csv!$L31:$HD31)),NA(),LOOKUP(KP$1,$S31:$HK31,csv!$L31:$HD31))</f>
        <v>0</v>
      </c>
      <c r="KQ31" s="5">
        <f>IF(ISERROR(LOOKUP(KQ$1,$S31:$HK31,csv!$L31:$HD31)),NA(),LOOKUP(KQ$1,$S31:$HK31,csv!$L31:$HD31))</f>
        <v>0</v>
      </c>
      <c r="KR31" s="5">
        <f>IF(ISERROR(LOOKUP(KR$1,$S31:$HK31,csv!$L31:$HD31)),NA(),LOOKUP(KR$1,$S31:$HK31,csv!$L31:$HD31))</f>
        <v>0</v>
      </c>
      <c r="KS31" s="5">
        <f>IF(ISERROR(LOOKUP(KS$1,$S31:$HK31,csv!$L31:$HD31)),NA(),LOOKUP(KS$1,$S31:$HK31,csv!$L31:$HD31))</f>
        <v>0</v>
      </c>
      <c r="KT31" s="5">
        <f>IF(ISERROR(LOOKUP(KT$1,$S31:$HK31,csv!$L31:$HD31)),NA(),LOOKUP(KT$1,$S31:$HK31,csv!$L31:$HD31))</f>
        <v>0</v>
      </c>
      <c r="KU31" s="5">
        <f>IF(ISERROR(LOOKUP(KU$1,$S31:$HK31,csv!$L31:$HD31)),NA(),LOOKUP(KU$1,$S31:$HK31,csv!$L31:$HD31))</f>
        <v>0</v>
      </c>
      <c r="KV31" s="5">
        <f>IF(ISERROR(LOOKUP(KV$1,$S31:$HK31,csv!$L31:$HD31)),NA(),LOOKUP(KV$1,$S31:$HK31,csv!$L31:$HD31))</f>
        <v>0</v>
      </c>
      <c r="KW31" s="5">
        <f>IF(ISERROR(LOOKUP(KW$1,$S31:$HK31,csv!$L31:$HD31)),NA(),LOOKUP(KW$1,$S31:$HK31,csv!$L31:$HD31))</f>
        <v>0</v>
      </c>
      <c r="KX31" s="5">
        <f>IF(ISERROR(LOOKUP(KX$1,$S31:$HK31,csv!$L31:$HD31)),NA(),LOOKUP(KX$1,$S31:$HK31,csv!$L31:$HD31))</f>
        <v>0</v>
      </c>
      <c r="KY31" s="5">
        <f>IF(ISERROR(LOOKUP(KY$1,$S31:$HK31,csv!$L31:$HD31)),NA(),LOOKUP(KY$1,$S31:$HK31,csv!$L31:$HD31))</f>
        <v>0</v>
      </c>
      <c r="KZ31" s="5">
        <f>IF(ISERROR(LOOKUP(KZ$1,$S31:$HK31,csv!$L31:$HD31)),NA(),LOOKUP(KZ$1,$S31:$HK31,csv!$L31:$HD31))</f>
        <v>0</v>
      </c>
      <c r="LA31" s="5">
        <f>IF(ISERROR(LOOKUP(LA$1,$S31:$HK31,csv!$L31:$HD31)),NA(),LOOKUP(LA$1,$S31:$HK31,csv!$L31:$HD31))</f>
        <v>0</v>
      </c>
      <c r="LB31" s="5">
        <f>IF(ISERROR(LOOKUP(LB$1,$S31:$HK31,csv!$L31:$HD31)),NA(),LOOKUP(LB$1,$S31:$HK31,csv!$L31:$HD31))</f>
        <v>0</v>
      </c>
      <c r="LC31" s="5">
        <f>IF(ISERROR(LOOKUP(LC$1,$S31:$HK31,csv!$L31:$HD31)),NA(),LOOKUP(LC$1,$S31:$HK31,csv!$L31:$HD31))</f>
        <v>0</v>
      </c>
      <c r="LD31" s="5">
        <f>IF(ISERROR(LOOKUP(LD$1,$S31:$HK31,csv!$L31:$HD31)),NA(),LOOKUP(LD$1,$S31:$HK31,csv!$L31:$HD31))</f>
        <v>0</v>
      </c>
      <c r="LE31" s="5">
        <f>IF(ISERROR(LOOKUP(LE$1,$S31:$HK31,csv!$L31:$HD31)),NA(),LOOKUP(LE$1,$S31:$HK31,csv!$L31:$HD31))</f>
        <v>0</v>
      </c>
      <c r="LF31" s="5">
        <f>IF(ISERROR(LOOKUP(LF$1,$S31:$HK31,csv!$L31:$HD31)),NA(),LOOKUP(LF$1,$S31:$HK31,csv!$L31:$HD31))</f>
        <v>0</v>
      </c>
      <c r="LG31" s="5">
        <f>IF(ISERROR(LOOKUP(LG$1,$S31:$HK31,csv!$L31:$HD31)),NA(),LOOKUP(LG$1,$S31:$HK31,csv!$L31:$HD31))</f>
        <v>0</v>
      </c>
      <c r="LH31" s="5">
        <f>IF(ISERROR(LOOKUP(LH$1,$S31:$HK31,csv!$L31:$HD31)),NA(),LOOKUP(LH$1,$S31:$HK31,csv!$L31:$HD31))</f>
        <v>0</v>
      </c>
      <c r="LI31" s="5">
        <f>IF(ISERROR(LOOKUP(LI$1,$S31:$HK31,csv!$L31:$HD31)),NA(),LOOKUP(LI$1,$S31:$HK31,csv!$L31:$HD31))</f>
        <v>0</v>
      </c>
      <c r="LJ31" s="5">
        <f>IF(ISERROR(LOOKUP(LJ$1,$S31:$HK31,csv!$L31:$HD31)),NA(),LOOKUP(LJ$1,$S31:$HK31,csv!$L31:$HD31))</f>
        <v>0</v>
      </c>
      <c r="LK31" s="5">
        <f>IF(ISERROR(LOOKUP(LK$1,$S31:$HK31,csv!$L31:$HD31)),NA(),LOOKUP(LK$1,$S31:$HK31,csv!$L31:$HD31))</f>
        <v>0</v>
      </c>
      <c r="LL31" s="5">
        <f>IF(ISERROR(LOOKUP(LL$1,$S31:$HK31,csv!$L31:$HD31)),NA(),LOOKUP(LL$1,$S31:$HK31,csv!$L31:$HD31))</f>
        <v>0</v>
      </c>
      <c r="LM31" s="5">
        <f>IF(ISERROR(LOOKUP(LM$1,$S31:$HK31,csv!$L31:$HD31)),NA(),LOOKUP(LM$1,$S31:$HK31,csv!$L31:$HD31))</f>
        <v>0</v>
      </c>
      <c r="LN31" s="5">
        <f>IF(ISERROR(LOOKUP(LN$1,$S31:$HK31,csv!$L31:$HD31)),NA(),LOOKUP(LN$1,$S31:$HK31,csv!$L31:$HD31))</f>
        <v>0</v>
      </c>
      <c r="LO31" s="5">
        <f>IF(ISERROR(LOOKUP(LO$1,$S31:$HK31,csv!$L31:$HD31)),NA(),LOOKUP(LO$1,$S31:$HK31,csv!$L31:$HD31))</f>
        <v>0</v>
      </c>
      <c r="LP31" s="5">
        <f>IF(ISERROR(LOOKUP(LP$1,$S31:$HK31,csv!$L31:$HD31)),NA(),LOOKUP(LP$1,$S31:$HK31,csv!$L31:$HD31))</f>
        <v>0</v>
      </c>
      <c r="LQ31" s="5">
        <f>IF(ISERROR(LOOKUP(LQ$1,$S31:$HK31,csv!$L31:$HD31)),NA(),LOOKUP(LQ$1,$S31:$HK31,csv!$L31:$HD31))</f>
        <v>0</v>
      </c>
      <c r="LR31" s="5">
        <f>IF(ISERROR(LOOKUP(LR$1,$S31:$HK31,csv!$L31:$HD31)),NA(),LOOKUP(LR$1,$S31:$HK31,csv!$L31:$HD31))</f>
        <v>0</v>
      </c>
      <c r="LS31" s="5">
        <f>IF(ISERROR(LOOKUP(LS$1,$S31:$HK31,csv!$L31:$HD31)),NA(),LOOKUP(LS$1,$S31:$HK31,csv!$L31:$HD31))</f>
        <v>0</v>
      </c>
      <c r="LT31" s="5">
        <f>IF(ISERROR(LOOKUP(LT$1,$S31:$HK31,csv!$L31:$HD31)),NA(),LOOKUP(LT$1,$S31:$HK31,csv!$L31:$HD31))</f>
        <v>0</v>
      </c>
      <c r="LU31" s="5">
        <f>IF(ISERROR(LOOKUP(LU$1,$S31:$HK31,csv!$L31:$HD31)),NA(),LOOKUP(LU$1,$S31:$HK31,csv!$L31:$HD31))</f>
        <v>0</v>
      </c>
      <c r="LV31" s="5">
        <f>IF(ISERROR(LOOKUP(LV$1,$S31:$HK31,csv!$L31:$HD31)),NA(),LOOKUP(LV$1,$S31:$HK31,csv!$L31:$HD31))</f>
        <v>0</v>
      </c>
      <c r="LW31" s="5">
        <f>IF(ISERROR(LOOKUP(LW$1,$S31:$HK31,csv!$L31:$HD31)),NA(),LOOKUP(LW$1,$S31:$HK31,csv!$L31:$HD31))</f>
        <v>0</v>
      </c>
      <c r="LX31" s="5">
        <f>IF(ISERROR(LOOKUP(LX$1,$S31:$HK31,csv!$L31:$HD31)),NA(),LOOKUP(LX$1,$S31:$HK31,csv!$L31:$HD31))</f>
        <v>0</v>
      </c>
      <c r="LY31" s="5">
        <f>IF(ISERROR(LOOKUP(LY$1,$S31:$HK31,csv!$L31:$HD31)),NA(),LOOKUP(LY$1,$S31:$HK31,csv!$L31:$HD31))</f>
        <v>0</v>
      </c>
      <c r="LZ31" s="5">
        <f>IF(ISERROR(LOOKUP(LZ$1,$S31:$HK31,csv!$L31:$HD31)),NA(),LOOKUP(LZ$1,$S31:$HK31,csv!$L31:$HD31))</f>
        <v>0</v>
      </c>
      <c r="MA31" s="5">
        <f>IF(ISERROR(LOOKUP(MA$1,$S31:$HK31,csv!$L31:$HD31)),NA(),LOOKUP(MA$1,$S31:$HK31,csv!$L31:$HD31))</f>
        <v>0</v>
      </c>
      <c r="MB31" s="5">
        <f>IF(ISERROR(LOOKUP(MB$1,$S31:$HK31,csv!$L31:$HD31)),NA(),LOOKUP(MB$1,$S31:$HK31,csv!$L31:$HD31))</f>
        <v>0</v>
      </c>
      <c r="MC31" s="5">
        <f>IF(ISERROR(LOOKUP(MC$1,$S31:$HK31,csv!$L31:$HD31)),NA(),LOOKUP(MC$1,$S31:$HK31,csv!$L31:$HD31))</f>
        <v>0</v>
      </c>
      <c r="MD31" s="5">
        <f>IF(ISERROR(LOOKUP(MD$1,$S31:$HK31,csv!$L31:$HD31)),NA(),LOOKUP(MD$1,$S31:$HK31,csv!$L31:$HD31))</f>
        <v>0</v>
      </c>
      <c r="ME31" s="5">
        <f>IF(ISERROR(LOOKUP(ME$1,$S31:$HK31,csv!$L31:$HD31)),NA(),LOOKUP(ME$1,$S31:$HK31,csv!$L31:$HD31))</f>
        <v>0</v>
      </c>
      <c r="MF31" s="5">
        <f>IF(ISERROR(LOOKUP(MF$1,$S31:$HK31,csv!$L31:$HD31)),NA(),LOOKUP(MF$1,$S31:$HK31,csv!$L31:$HD31))</f>
        <v>0</v>
      </c>
      <c r="MG31" s="5">
        <f>IF(ISERROR(LOOKUP(MG$1,$S31:$HK31,csv!$L31:$HD31)),NA(),LOOKUP(MG$1,$S31:$HK31,csv!$L31:$HD31))</f>
        <v>0</v>
      </c>
      <c r="MH31" s="5">
        <f>IF(ISERROR(LOOKUP(MH$1,$S31:$HK31,csv!$L31:$HD31)),NA(),LOOKUP(MH$1,$S31:$HK31,csv!$L31:$HD31))</f>
        <v>0</v>
      </c>
      <c r="MI31" s="5">
        <f>IF(ISERROR(LOOKUP(MI$1,$S31:$HK31,csv!$L31:$HD31)),NA(),LOOKUP(MI$1,$S31:$HK31,csv!$L31:$HD31))</f>
        <v>0</v>
      </c>
      <c r="MJ31" s="5">
        <f>IF(ISERROR(LOOKUP(MJ$1,$S31:$HK31,csv!$L31:$HD31)),NA(),LOOKUP(MJ$1,$S31:$HK31,csv!$L31:$HD31))</f>
        <v>0</v>
      </c>
      <c r="MK31" s="5">
        <f>IF(ISERROR(LOOKUP(MK$1,$S31:$HK31,csv!$L31:$HD31)),NA(),LOOKUP(MK$1,$S31:$HK31,csv!$L31:$HD31))</f>
        <v>0</v>
      </c>
      <c r="ML31" s="5">
        <f>IF(ISERROR(LOOKUP(ML$1,$S31:$HK31,csv!$L31:$HD31)),NA(),LOOKUP(ML$1,$S31:$HK31,csv!$L31:$HD31))</f>
        <v>0</v>
      </c>
      <c r="MM31" s="5">
        <f>IF(ISERROR(LOOKUP(MM$1,$S31:$HK31,csv!$L31:$HD31)),NA(),LOOKUP(MM$1,$S31:$HK31,csv!$L31:$HD31))</f>
        <v>0</v>
      </c>
      <c r="MN31" s="5">
        <f>IF(ISERROR(LOOKUP(MN$1,$S31:$HK31,csv!$L31:$HD31)),NA(),LOOKUP(MN$1,$S31:$HK31,csv!$L31:$HD31))</f>
        <v>0</v>
      </c>
      <c r="MO31" s="5">
        <f>IF(ISERROR(LOOKUP(MO$1,$S31:$HK31,csv!$L31:$HD31)),NA(),LOOKUP(MO$1,$S31:$HK31,csv!$L31:$HD31))</f>
        <v>0</v>
      </c>
      <c r="MP31" s="5">
        <f>IF(ISERROR(LOOKUP(MP$1,$S31:$HK31,csv!$L31:$HD31)),NA(),LOOKUP(MP$1,$S31:$HK31,csv!$L31:$HD31))</f>
        <v>0</v>
      </c>
      <c r="MQ31" s="5">
        <f>IF(ISERROR(LOOKUP(MQ$1,$S31:$HK31,csv!$L31:$HD31)),NA(),LOOKUP(MQ$1,$S31:$HK31,csv!$L31:$HD31))</f>
        <v>0</v>
      </c>
      <c r="MR31" s="5">
        <f>IF(ISERROR(LOOKUP(MR$1,$S31:$HK31,csv!$L31:$HD31)),NA(),LOOKUP(MR$1,$S31:$HK31,csv!$L31:$HD31))</f>
        <v>0</v>
      </c>
      <c r="MS31" s="5">
        <f>IF(ISERROR(LOOKUP(MS$1,$S31:$HK31,csv!$L31:$HD31)),NA(),LOOKUP(MS$1,$S31:$HK31,csv!$L31:$HD31))</f>
        <v>0</v>
      </c>
      <c r="MT31" s="5">
        <f>IF(ISERROR(LOOKUP(MT$1,$S31:$HK31,csv!$L31:$HD31)),NA(),LOOKUP(MT$1,$S31:$HK31,csv!$L31:$HD31))</f>
        <v>0</v>
      </c>
      <c r="MU31" s="5">
        <f>IF(ISERROR(LOOKUP(MU$1,$S31:$HK31,csv!$L31:$HD31)),NA(),LOOKUP(MU$1,$S31:$HK31,csv!$L31:$HD31))</f>
        <v>0</v>
      </c>
      <c r="MV31" s="5">
        <f>IF(ISERROR(LOOKUP(MV$1,$S31:$HK31,csv!$L31:$HD31)),NA(),LOOKUP(MV$1,$S31:$HK31,csv!$L31:$HD31))</f>
        <v>0</v>
      </c>
      <c r="MW31" s="5">
        <f>IF(ISERROR(LOOKUP(MW$1,$S31:$HK31,csv!$L31:$HD31)),NA(),LOOKUP(MW$1,$S31:$HK31,csv!$L31:$HD31))</f>
        <v>0</v>
      </c>
      <c r="MX31" s="5">
        <f>IF(ISERROR(LOOKUP(MX$1,$S31:$HK31,csv!$L31:$HD31)),NA(),LOOKUP(MX$1,$S31:$HK31,csv!$L31:$HD31))</f>
        <v>0</v>
      </c>
      <c r="MY31" s="5">
        <f>IF(ISERROR(LOOKUP(MY$1,$S31:$HK31,csv!$L31:$HD31)),NA(),LOOKUP(MY$1,$S31:$HK31,csv!$L31:$HD31))</f>
        <v>0</v>
      </c>
      <c r="MZ31" s="5">
        <f>IF(ISERROR(LOOKUP(MZ$1,$S31:$HK31,csv!$L31:$HD31)),NA(),LOOKUP(MZ$1,$S31:$HK31,csv!$L31:$HD31))</f>
        <v>0</v>
      </c>
      <c r="NA31" s="5">
        <f>IF(ISERROR(LOOKUP(NA$1,$S31:$HK31,csv!$L31:$HD31)),NA(),LOOKUP(NA$1,$S31:$HK31,csv!$L31:$HD31))</f>
        <v>0</v>
      </c>
      <c r="NB31" s="5">
        <f>IF(ISERROR(LOOKUP(NB$1,$S31:$HK31,csv!$L31:$HD31)),NA(),LOOKUP(NB$1,$S31:$HK31,csv!$L31:$HD31))</f>
        <v>0</v>
      </c>
      <c r="NC31" s="5">
        <f>IF(ISERROR(LOOKUP(NC$1,$S31:$HK31,csv!$L31:$HD31)),NA(),LOOKUP(NC$1,$S31:$HK31,csv!$L31:$HD31))</f>
        <v>0</v>
      </c>
      <c r="ND31" s="5">
        <f>IF(ISERROR(LOOKUP(ND$1,$S31:$HK31,csv!$L31:$HD31)),NA(),LOOKUP(ND$1,$S31:$HK31,csv!$L31:$HD31))</f>
        <v>0</v>
      </c>
      <c r="NE31" s="5">
        <f>IF(ISERROR(LOOKUP(NE$1,$S31:$HK31,csv!$L31:$HD31)),NA(),LOOKUP(NE$1,$S31:$HK31,csv!$L31:$HD31))</f>
        <v>0</v>
      </c>
      <c r="NF31" s="5">
        <f>IF(ISERROR(LOOKUP(NF$1,$S31:$HK31,csv!$L31:$HD31)),NA(),LOOKUP(NF$1,$S31:$HK31,csv!$L31:$HD31))</f>
        <v>0</v>
      </c>
      <c r="NG31" s="5">
        <f>IF(ISERROR(LOOKUP(NG$1,$S31:$HK31,csv!$L31:$HD31)),NA(),LOOKUP(NG$1,$S31:$HK31,csv!$L31:$HD31))</f>
        <v>0</v>
      </c>
      <c r="NH31" s="5">
        <f>IF(ISERROR(LOOKUP(NH$1,$S31:$HK31,csv!$L31:$HD31)),NA(),LOOKUP(NH$1,$S31:$HK31,csv!$L31:$HD31))</f>
        <v>0</v>
      </c>
      <c r="NI31" s="5">
        <f>IF(ISERROR(LOOKUP(NI$1,$S31:$HK31,csv!$L31:$HD31)),NA(),LOOKUP(NI$1,$S31:$HK31,csv!$L31:$HD31))</f>
        <v>0</v>
      </c>
      <c r="NJ31" s="5">
        <f>IF(ISERROR(LOOKUP(NJ$1,$S31:$HK31,csv!$L31:$HD31)),NA(),LOOKUP(NJ$1,$S31:$HK31,csv!$L31:$HD31))</f>
        <v>0</v>
      </c>
      <c r="NK31" s="5">
        <f>IF(ISERROR(LOOKUP(NK$1,$S31:$HK31,csv!$L31:$HD31)),NA(),LOOKUP(NK$1,$S31:$HK31,csv!$L31:$HD31))</f>
        <v>0</v>
      </c>
      <c r="NL31" s="5">
        <f>IF(ISERROR(LOOKUP(NL$1,$S31:$HK31,csv!$L31:$HD31)),NA(),LOOKUP(NL$1,$S31:$HK31,csv!$L31:$HD31))</f>
        <v>0</v>
      </c>
      <c r="NM31" s="5">
        <f>IF(ISERROR(LOOKUP(NM$1,$S31:$HK31,csv!$L31:$HD31)),NA(),LOOKUP(NM$1,$S31:$HK31,csv!$L31:$HD31))</f>
        <v>0</v>
      </c>
      <c r="NN31" s="5">
        <f>IF(ISERROR(LOOKUP(NN$1,$S31:$HK31,csv!$L31:$HD31)),NA(),LOOKUP(NN$1,$S31:$HK31,csv!$L31:$HD31))</f>
        <v>0</v>
      </c>
      <c r="NO31" s="5">
        <f>IF(ISERROR(LOOKUP(NO$1,$S31:$HK31,csv!$L31:$HD31)),NA(),LOOKUP(NO$1,$S31:$HK31,csv!$L31:$HD31))</f>
        <v>0</v>
      </c>
      <c r="NP31" s="5">
        <f>IF(ISERROR(LOOKUP(NP$1,$S31:$HK31,csv!$L31:$HD31)),NA(),LOOKUP(NP$1,$S31:$HK31,csv!$L31:$HD31))</f>
        <v>0</v>
      </c>
      <c r="NQ31" s="5">
        <f>IF(ISERROR(LOOKUP(NQ$1,$S31:$HK31,csv!$L31:$HD31)),NA(),LOOKUP(NQ$1,$S31:$HK31,csv!$L31:$HD31))</f>
        <v>0</v>
      </c>
      <c r="NR31" s="5">
        <f>IF(ISERROR(LOOKUP(NR$1,$S31:$HK31,csv!$L31:$HD31)),NA(),LOOKUP(NR$1,$S31:$HK31,csv!$L31:$HD31))</f>
        <v>0</v>
      </c>
      <c r="NS31" s="5">
        <f>IF(ISERROR(LOOKUP(NS$1,$S31:$HK31,csv!$L31:$HD31)),NA(),LOOKUP(NS$1,$S31:$HK31,csv!$L31:$HD31))</f>
        <v>0</v>
      </c>
      <c r="NT31" s="5">
        <f>IF(ISERROR(LOOKUP(NT$1,$S31:$HK31,csv!$L31:$HD31)),NA(),LOOKUP(NT$1,$S31:$HK31,csv!$L31:$HD31))</f>
        <v>0</v>
      </c>
      <c r="NU31" s="5">
        <f>IF(ISERROR(LOOKUP(NU$1,$S31:$HK31,csv!$L31:$HD31)),NA(),LOOKUP(NU$1,$S31:$HK31,csv!$L31:$HD31))</f>
        <v>0</v>
      </c>
      <c r="NV31" s="5">
        <f>IF(ISERROR(LOOKUP(NV$1,$S31:$HK31,csv!$L31:$HD31)),NA(),LOOKUP(NV$1,$S31:$HK31,csv!$L31:$HD31))</f>
        <v>0</v>
      </c>
      <c r="NW31" s="5">
        <f>IF(ISERROR(LOOKUP(NW$1,$S31:$HK31,csv!$L31:$HD31)),NA(),LOOKUP(NW$1,$S31:$HK31,csv!$L31:$HD31))</f>
        <v>0</v>
      </c>
      <c r="NX31" s="5">
        <f>IF(ISERROR(LOOKUP(NX$1,$S31:$HK31,csv!$L31:$HD31)),NA(),LOOKUP(NX$1,$S31:$HK31,csv!$L31:$HD31))</f>
        <v>0</v>
      </c>
      <c r="NY31" s="5">
        <f>IF(ISERROR(LOOKUP(NY$1,$S31:$HK31,csv!$L31:$HD31)),NA(),LOOKUP(NY$1,$S31:$HK31,csv!$L31:$HD31))</f>
        <v>0</v>
      </c>
      <c r="NZ31" s="5">
        <f>IF(ISERROR(LOOKUP(NZ$1,$S31:$HK31,csv!$L31:$HD31)),NA(),LOOKUP(NZ$1,$S31:$HK31,csv!$L31:$HD31))</f>
        <v>0</v>
      </c>
      <c r="OA31" s="5">
        <f>IF(ISERROR(LOOKUP(OA$1,$S31:$HK31,csv!$L31:$HD31)),NA(),LOOKUP(OA$1,$S31:$HK31,csv!$L31:$HD31))</f>
        <v>0</v>
      </c>
      <c r="OB31" s="5">
        <f>IF(ISERROR(LOOKUP(OB$1,$S31:$HK31,csv!$L31:$HD31)),NA(),LOOKUP(OB$1,$S31:$HK31,csv!$L31:$HD31))</f>
        <v>0</v>
      </c>
      <c r="OC31" s="5">
        <f>IF(ISERROR(LOOKUP(OC$1,$S31:$HK31,csv!$L31:$HD31)),NA(),LOOKUP(OC$1,$S31:$HK31,csv!$L31:$HD31))</f>
        <v>0</v>
      </c>
      <c r="OD31" s="5">
        <f>IF(ISERROR(LOOKUP(OD$1,$S31:$HK31,csv!$L31:$HD31)),NA(),LOOKUP(OD$1,$S31:$HK31,csv!$L31:$HD31))</f>
        <v>0</v>
      </c>
      <c r="OE31" s="5">
        <f>IF(ISERROR(LOOKUP(OE$1,$S31:$HK31,csv!$L31:$HD31)),NA(),LOOKUP(OE$1,$S31:$HK31,csv!$L31:$HD31))</f>
        <v>0</v>
      </c>
      <c r="OF31" s="5">
        <f>IF(ISERROR(LOOKUP(OF$1,$S31:$HK31,csv!$L31:$HD31)),NA(),LOOKUP(OF$1,$S31:$HK31,csv!$L31:$HD31))</f>
        <v>0</v>
      </c>
      <c r="OG31" s="5">
        <f>IF(ISERROR(LOOKUP(OG$1,$S31:$HK31,csv!$L31:$HD31)),NA(),LOOKUP(OG$1,$S31:$HK31,csv!$L31:$HD31))</f>
        <v>0</v>
      </c>
      <c r="OH31" s="5">
        <f>IF(ISERROR(LOOKUP(OH$1,$S31:$HK31,csv!$L31:$HD31)),NA(),LOOKUP(OH$1,$S31:$HK31,csv!$L31:$HD31))</f>
        <v>0</v>
      </c>
      <c r="OI31" s="5">
        <f>IF(ISERROR(LOOKUP(OI$1,$S31:$HK31,csv!$L31:$HD31)),NA(),LOOKUP(OI$1,$S31:$HK31,csv!$L31:$HD31))</f>
        <v>0</v>
      </c>
      <c r="OJ31" s="5">
        <f>IF(ISERROR(LOOKUP(OJ$1,$S31:$HK31,csv!$L31:$HD31)),NA(),LOOKUP(OJ$1,$S31:$HK31,csv!$L31:$HD31))</f>
        <v>0</v>
      </c>
      <c r="OK31" s="5">
        <f>IF(ISERROR(LOOKUP(OK$1,$S31:$HK31,csv!$L31:$HD31)),NA(),LOOKUP(OK$1,$S31:$HK31,csv!$L31:$HD31))</f>
        <v>0</v>
      </c>
      <c r="OL31" s="5">
        <f>IF(ISERROR(LOOKUP(OL$1,$S31:$HK31,csv!$L31:$HD31)),NA(),LOOKUP(OL$1,$S31:$HK31,csv!$L31:$HD31))</f>
        <v>0</v>
      </c>
      <c r="OM31" s="5">
        <f>IF(ISERROR(LOOKUP(OM$1,$S31:$HK31,csv!$L31:$HD31)),NA(),LOOKUP(OM$1,$S31:$HK31,csv!$L31:$HD31))</f>
        <v>0</v>
      </c>
      <c r="ON31" s="5">
        <f>IF(ISERROR(LOOKUP(ON$1,$S31:$HK31,csv!$L31:$HD31)),NA(),LOOKUP(ON$1,$S31:$HK31,csv!$L31:$HD31))</f>
        <v>0</v>
      </c>
      <c r="OO31" s="5">
        <f>IF(ISERROR(LOOKUP(OO$1,$S31:$HK31,csv!$L31:$HD31)),NA(),LOOKUP(OO$1,$S31:$HK31,csv!$L31:$HD31))</f>
        <v>0</v>
      </c>
      <c r="OP31" s="5">
        <f>IF(ISERROR(LOOKUP(OP$1,$S31:$HK31,csv!$L31:$HD31)),NA(),LOOKUP(OP$1,$S31:$HK31,csv!$L31:$HD31))</f>
        <v>0</v>
      </c>
      <c r="OQ31" s="5">
        <f>IF(ISERROR(LOOKUP(OQ$1,$S31:$HK31,csv!$L31:$HD31)),NA(),LOOKUP(OQ$1,$S31:$HK31,csv!$L31:$HD31))</f>
        <v>0</v>
      </c>
      <c r="OR31" s="5">
        <f>IF(ISERROR(LOOKUP(OR$1,$S31:$HK31,csv!$L31:$HD31)),NA(),LOOKUP(OR$1,$S31:$HK31,csv!$L31:$HD31))</f>
        <v>0</v>
      </c>
      <c r="OS31" s="5">
        <f>IF(ISERROR(LOOKUP(OS$1,$S31:$HK31,csv!$L31:$HD31)),NA(),LOOKUP(OS$1,$S31:$HK31,csv!$L31:$HD31))</f>
        <v>0</v>
      </c>
      <c r="OT31" s="5">
        <f>IF(ISERROR(LOOKUP(OT$1,$S31:$HK31,csv!$L31:$HD31)),NA(),LOOKUP(OT$1,$S31:$HK31,csv!$L31:$HD31))</f>
        <v>0</v>
      </c>
      <c r="OU31" s="5">
        <f>IF(ISERROR(LOOKUP(OU$1,$S31:$HK31,csv!$L31:$HD31)),NA(),LOOKUP(OU$1,$S31:$HK31,csv!$L31:$HD31))</f>
        <v>0</v>
      </c>
      <c r="OV31" s="5">
        <f>IF(ISERROR(LOOKUP(OV$1,$S31:$HK31,csv!$L31:$HD31)),NA(),LOOKUP(OV$1,$S31:$HK31,csv!$L31:$HD31))</f>
        <v>0</v>
      </c>
      <c r="OW31" s="5">
        <f>IF(ISERROR(LOOKUP(OW$1,$S31:$HK31,csv!$L31:$HD31)),NA(),LOOKUP(OW$1,$S31:$HK31,csv!$L31:$HD31))</f>
        <v>0</v>
      </c>
      <c r="OX31" s="5">
        <f>IF(ISERROR(LOOKUP(OX$1,$S31:$HK31,csv!$L31:$HD31)),NA(),LOOKUP(OX$1,$S31:$HK31,csv!$L31:$HD31))</f>
        <v>0</v>
      </c>
      <c r="OY31" s="5">
        <f>IF(ISERROR(LOOKUP(OY$1,$S31:$HK31,csv!$L31:$HD31)),NA(),LOOKUP(OY$1,$S31:$HK31,csv!$L31:$HD31))</f>
        <v>0</v>
      </c>
      <c r="OZ31" s="5">
        <f>IF(ISERROR(LOOKUP(OZ$1,$S31:$HK31,csv!$L31:$HD31)),NA(),LOOKUP(OZ$1,$S31:$HK31,csv!$L31:$HD31))</f>
        <v>0</v>
      </c>
      <c r="PA31" s="5">
        <f>IF(ISERROR(LOOKUP(PA$1,$S31:$HK31,csv!$L31:$HD31)),NA(),LOOKUP(PA$1,$S31:$HK31,csv!$L31:$HD31))</f>
        <v>0</v>
      </c>
      <c r="PB31" s="5">
        <f>IF(ISERROR(LOOKUP(PB$1,$S31:$HK31,csv!$L31:$HD31)),NA(),LOOKUP(PB$1,$S31:$HK31,csv!$L31:$HD31))</f>
        <v>0</v>
      </c>
      <c r="PC31" s="5">
        <f>IF(ISERROR(LOOKUP(PC$1,$S31:$HK31,csv!$L31:$HD31)),NA(),LOOKUP(PC$1,$S31:$HK31,csv!$L31:$HD31))</f>
        <v>0</v>
      </c>
      <c r="PD31" s="5">
        <f>IF(ISERROR(LOOKUP(PD$1,$S31:$HK31,csv!$L31:$HD31)),NA(),LOOKUP(PD$1,$S31:$HK31,csv!$L31:$HD31))</f>
        <v>0</v>
      </c>
      <c r="PE31" s="5">
        <f>IF(ISERROR(LOOKUP(PE$1,$S31:$HK31,csv!$L31:$HD31)),NA(),LOOKUP(PE$1,$S31:$HK31,csv!$L31:$HD31))</f>
        <v>0</v>
      </c>
      <c r="PF31" s="5">
        <f>IF(ISERROR(LOOKUP(PF$1,$S31:$HK31,csv!$L31:$HD31)),NA(),LOOKUP(PF$1,$S31:$HK31,csv!$L31:$HD31))</f>
        <v>0</v>
      </c>
      <c r="PG31" s="5">
        <f>IF(ISERROR(LOOKUP(PG$1,$S31:$HK31,csv!$L31:$HD31)),NA(),LOOKUP(PG$1,$S31:$HK31,csv!$L31:$HD31))</f>
        <v>0</v>
      </c>
      <c r="PH31" s="5">
        <f>IF(ISERROR(LOOKUP(PH$1,$S31:$HK31,csv!$L31:$HD31)),NA(),LOOKUP(PH$1,$S31:$HK31,csv!$L31:$HD31))</f>
        <v>0</v>
      </c>
      <c r="PI31" s="5">
        <f>IF(ISERROR(LOOKUP(PI$1,$S31:$HK31,csv!$L31:$HD31)),NA(),LOOKUP(PI$1,$S31:$HK31,csv!$L31:$HD31))</f>
        <v>0</v>
      </c>
      <c r="PJ31" s="5">
        <f>IF(ISERROR(LOOKUP(PJ$1,$S31:$HK31,csv!$L31:$HD31)),NA(),LOOKUP(PJ$1,$S31:$HK31,csv!$L31:$HD31))</f>
        <v>0</v>
      </c>
      <c r="PK31" s="5">
        <f>IF(ISERROR(LOOKUP(PK$1,$S31:$HK31,csv!$L31:$HD31)),NA(),LOOKUP(PK$1,$S31:$HK31,csv!$L31:$HD31))</f>
        <v>0</v>
      </c>
      <c r="PL31" s="5">
        <f>IF(ISERROR(LOOKUP(PL$1,$S31:$HK31,csv!$L31:$HD31)),NA(),LOOKUP(PL$1,$S31:$HK31,csv!$L31:$HD31))</f>
        <v>0</v>
      </c>
      <c r="PM31" s="5">
        <f>IF(ISERROR(LOOKUP(PM$1,$S31:$HK31,csv!$L31:$HD31)),NA(),LOOKUP(PM$1,$S31:$HK31,csv!$L31:$HD31))</f>
        <v>0</v>
      </c>
      <c r="PN31" s="5">
        <f>IF(ISERROR(LOOKUP(PN$1,$S31:$HK31,csv!$L31:$HD31)),NA(),LOOKUP(PN$1,$S31:$HK31,csv!$L31:$HD31))</f>
        <v>0</v>
      </c>
      <c r="PO31" s="5">
        <f>IF(ISERROR(LOOKUP(PO$1,$S31:$HK31,csv!$L31:$HD31)),NA(),LOOKUP(PO$1,$S31:$HK31,csv!$L31:$HD31))</f>
        <v>0</v>
      </c>
      <c r="PP31" s="5">
        <f>IF(ISERROR(LOOKUP(PP$1,$S31:$HK31,csv!$L31:$HD31)),NA(),LOOKUP(PP$1,$S31:$HK31,csv!$L31:$HD31))</f>
        <v>0</v>
      </c>
      <c r="PQ31" s="5">
        <f>IF(ISERROR(LOOKUP(PQ$1,$S31:$HK31,csv!$L31:$HD31)),NA(),LOOKUP(PQ$1,$S31:$HK31,csv!$L31:$HD31))</f>
        <v>0</v>
      </c>
      <c r="PR31" s="5">
        <f>IF(ISERROR(LOOKUP(PR$1,$S31:$HK31,csv!$L31:$HD31)),NA(),LOOKUP(PR$1,$S31:$HK31,csv!$L31:$HD31))</f>
        <v>0</v>
      </c>
      <c r="PS31" s="5">
        <f>IF(ISERROR(LOOKUP(PS$1,$S31:$HK31,csv!$L31:$HD31)),NA(),LOOKUP(PS$1,$S31:$HK31,csv!$L31:$HD31))</f>
        <v>0</v>
      </c>
      <c r="PT31" s="5">
        <f>IF(ISERROR(LOOKUP(PT$1,$S31:$HK31,csv!$L31:$HD31)),NA(),LOOKUP(PT$1,$S31:$HK31,csv!$L31:$HD31))</f>
        <v>0</v>
      </c>
      <c r="PU31" s="5">
        <f>IF(ISERROR(LOOKUP(PU$1,$S31:$HK31,csv!$L31:$HD31)),NA(),LOOKUP(PU$1,$S31:$HK31,csv!$L31:$HD31))</f>
        <v>0</v>
      </c>
      <c r="PV31" s="5">
        <f>IF(ISERROR(LOOKUP(PV$1,$S31:$HK31,csv!$L31:$HD31)),NA(),LOOKUP(PV$1,$S31:$HK31,csv!$L31:$HD31))</f>
        <v>0</v>
      </c>
      <c r="PW31" s="5">
        <f>IF(ISERROR(LOOKUP(PW$1,$S31:$HK31,csv!$L31:$HD31)),NA(),LOOKUP(PW$1,$S31:$HK31,csv!$L31:$HD31))</f>
        <v>0</v>
      </c>
      <c r="PX31" s="5">
        <f>IF(ISERROR(LOOKUP(PX$1,$S31:$HK31,csv!$L31:$HD31)),NA(),LOOKUP(PX$1,$S31:$HK31,csv!$L31:$HD31))</f>
        <v>0</v>
      </c>
      <c r="PY31" s="5">
        <f>IF(ISERROR(LOOKUP(PY$1,$S31:$HK31,csv!$L31:$HD31)),NA(),LOOKUP(PY$1,$S31:$HK31,csv!$L31:$HD31))</f>
        <v>0</v>
      </c>
      <c r="PZ31" s="5">
        <f>IF(ISERROR(LOOKUP(PZ$1,$S31:$HK31,csv!$L31:$HD31)),NA(),LOOKUP(PZ$1,$S31:$HK31,csv!$L31:$HD31))</f>
        <v>0</v>
      </c>
      <c r="QA31" s="5">
        <f>IF(ISERROR(LOOKUP(QA$1,$S31:$HK31,csv!$L31:$HD31)),NA(),LOOKUP(QA$1,$S31:$HK31,csv!$L31:$HD31))</f>
        <v>0</v>
      </c>
      <c r="QB31" s="5">
        <f>IF(ISERROR(LOOKUP(QB$1,$S31:$HK31,csv!$L31:$HD31)),NA(),LOOKUP(QB$1,$S31:$HK31,csv!$L31:$HD31))</f>
        <v>0</v>
      </c>
      <c r="QC31" s="5">
        <f>IF(ISERROR(LOOKUP(QC$1,$S31:$HK31,csv!$L31:$HD31)),NA(),LOOKUP(QC$1,$S31:$HK31,csv!$L31:$HD31))</f>
        <v>0</v>
      </c>
      <c r="QD31" s="5">
        <f>IF(ISERROR(LOOKUP(QD$1,$S31:$HK31,csv!$L31:$HD31)),NA(),LOOKUP(QD$1,$S31:$HK31,csv!$L31:$HD31))</f>
        <v>0</v>
      </c>
      <c r="QE31" s="5">
        <f>IF(ISERROR(LOOKUP(QE$1,$S31:$HK31,csv!$L31:$HD31)),NA(),LOOKUP(QE$1,$S31:$HK31,csv!$L31:$HD31))</f>
        <v>0</v>
      </c>
      <c r="QF31" s="5">
        <f>IF(ISERROR(LOOKUP(QF$1,$S31:$HK31,csv!$L31:$HD31)),NA(),LOOKUP(QF$1,$S31:$HK31,csv!$L31:$HD31))</f>
        <v>0</v>
      </c>
      <c r="QG31" s="5">
        <f>IF(ISERROR(LOOKUP(QG$1,$S31:$HK31,csv!$L31:$HD31)),NA(),LOOKUP(QG$1,$S31:$HK31,csv!$L31:$HD31))</f>
        <v>0</v>
      </c>
      <c r="QH31" s="5">
        <f>IF(ISERROR(LOOKUP(QH$1,$S31:$HK31,csv!$L31:$HD31)),NA(),LOOKUP(QH$1,$S31:$HK31,csv!$L31:$HD31))</f>
        <v>0</v>
      </c>
      <c r="QI31" s="5">
        <f>IF(ISERROR(LOOKUP(QI$1,$S31:$HK31,csv!$L31:$HD31)),NA(),LOOKUP(QI$1,$S31:$HK31,csv!$L31:$HD31))</f>
        <v>0</v>
      </c>
      <c r="QJ31" s="5">
        <f>IF(ISERROR(LOOKUP(QJ$1,$S31:$HK31,csv!$L31:$HD31)),NA(),LOOKUP(QJ$1,$S31:$HK31,csv!$L31:$HD31))</f>
        <v>0</v>
      </c>
      <c r="QK31" s="5">
        <f>IF(ISERROR(LOOKUP(QK$1,$S31:$HK31,csv!$L31:$HD31)),NA(),LOOKUP(QK$1,$S31:$HK31,csv!$L31:$HD31))</f>
        <v>0</v>
      </c>
      <c r="QL31" s="5">
        <f>IF(ISERROR(LOOKUP(QL$1,$S31:$HK31,csv!$L31:$HD31)),NA(),LOOKUP(QL$1,$S31:$HK31,csv!$L31:$HD31))</f>
        <v>0</v>
      </c>
      <c r="QM31" s="5">
        <f>IF(ISERROR(LOOKUP(QM$1,$S31:$HK31,csv!$L31:$HD31)),NA(),LOOKUP(QM$1,$S31:$HK31,csv!$L31:$HD31))</f>
        <v>0</v>
      </c>
      <c r="QN31" s="5">
        <f>IF(ISERROR(LOOKUP(QN$1,$S31:$HK31,csv!$L31:$HD31)),NA(),LOOKUP(QN$1,$S31:$HK31,csv!$L31:$HD31))</f>
        <v>0</v>
      </c>
      <c r="QO31" s="5">
        <f>IF(ISERROR(LOOKUP(QO$1,$S31:$HK31,csv!$L31:$HD31)),NA(),LOOKUP(QO$1,$S31:$HK31,csv!$L31:$HD31))</f>
        <v>0</v>
      </c>
      <c r="QP31" s="5">
        <f>IF(ISERROR(LOOKUP(QP$1,$S31:$HK31,csv!$L31:$HD31)),NA(),LOOKUP(QP$1,$S31:$HK31,csv!$L31:$HD31))</f>
        <v>0</v>
      </c>
      <c r="QQ31" s="5">
        <f>IF(ISERROR(LOOKUP(QQ$1,$S31:$HK31,csv!$L31:$HD31)),NA(),LOOKUP(QQ$1,$S31:$HK31,csv!$L31:$HD31))</f>
        <v>0</v>
      </c>
      <c r="QR31" s="5">
        <f>IF(ISERROR(LOOKUP(QR$1,$S31:$HK31,csv!$L31:$HD31)),NA(),LOOKUP(QR$1,$S31:$HK31,csv!$L31:$HD31))</f>
        <v>0</v>
      </c>
      <c r="QS31" s="5">
        <f>IF(ISERROR(LOOKUP(QS$1,$S31:$HK31,csv!$L31:$HD31)),NA(),LOOKUP(QS$1,$S31:$HK31,csv!$L31:$HD31))</f>
        <v>0</v>
      </c>
      <c r="QT31" s="5">
        <f>IF(ISERROR(LOOKUP(QT$1,$S31:$HK31,csv!$L31:$HD31)),NA(),LOOKUP(QT$1,$S31:$HK31,csv!$L31:$HD31))</f>
        <v>0</v>
      </c>
      <c r="QU31" s="5">
        <f>IF(ISERROR(LOOKUP(QU$1,$S31:$HK31,csv!$L31:$HD31)),NA(),LOOKUP(QU$1,$S31:$HK31,csv!$L31:$HD31))</f>
        <v>0</v>
      </c>
      <c r="QV31" s="5">
        <f>IF(ISERROR(LOOKUP(QV$1,$S31:$HK31,csv!$L31:$HD31)),NA(),LOOKUP(QV$1,$S31:$HK31,csv!$L31:$HD31))</f>
        <v>0</v>
      </c>
      <c r="QW31" s="5">
        <f>IF(ISERROR(LOOKUP(QW$1,$S31:$HK31,csv!$L31:$HD31)),NA(),LOOKUP(QW$1,$S31:$HK31,csv!$L31:$HD31))</f>
        <v>0</v>
      </c>
      <c r="QX31" s="5">
        <f>IF(ISERROR(LOOKUP(QX$1,$S31:$HK31,csv!$L31:$HD31)),NA(),LOOKUP(QX$1,$S31:$HK31,csv!$L31:$HD31))</f>
        <v>0</v>
      </c>
      <c r="QY31" s="5">
        <f>IF(ISERROR(LOOKUP(QY$1,$S31:$HK31,csv!$L31:$HD31)),NA(),LOOKUP(QY$1,$S31:$HK31,csv!$L31:$HD31))</f>
        <v>0</v>
      </c>
      <c r="QZ31" s="5">
        <f>IF(ISERROR(LOOKUP(QZ$1,$S31:$HK31,csv!$L31:$HD31)),NA(),LOOKUP(QZ$1,$S31:$HK31,csv!$L31:$HD31))</f>
        <v>0</v>
      </c>
      <c r="RA31" s="5">
        <f>IF(ISERROR(LOOKUP(RA$1,$S31:$HK31,csv!$L31:$HD31)),NA(),LOOKUP(RA$1,$S31:$HK31,csv!$L31:$HD31))</f>
        <v>0</v>
      </c>
      <c r="RB31" s="5">
        <f>IF(ISERROR(LOOKUP(RB$1,$S31:$HK31,csv!$L31:$HD31)),NA(),LOOKUP(RB$1,$S31:$HK31,csv!$L31:$HD31))</f>
        <v>0</v>
      </c>
      <c r="RC31" s="5">
        <f>IF(ISERROR(LOOKUP(RC$1,$S31:$HK31,csv!$L31:$HD31)),NA(),LOOKUP(RC$1,$S31:$HK31,csv!$L31:$HD31))</f>
        <v>0</v>
      </c>
      <c r="RD31" s="5">
        <f>IF(ISERROR(LOOKUP(RD$1,$S31:$HK31,csv!$L31:$HD31)),NA(),LOOKUP(RD$1,$S31:$HK31,csv!$L31:$HD31))</f>
        <v>0</v>
      </c>
      <c r="RE31" s="5">
        <f>IF(ISERROR(LOOKUP(RE$1,$S31:$HK31,csv!$L31:$HD31)),NA(),LOOKUP(RE$1,$S31:$HK31,csv!$L31:$HD31))</f>
        <v>0</v>
      </c>
      <c r="RF31" s="5">
        <f>IF(ISERROR(LOOKUP(RF$1,$S31:$HK31,csv!$L31:$HD31)),NA(),LOOKUP(RF$1,$S31:$HK31,csv!$L31:$HD31))</f>
        <v>0</v>
      </c>
      <c r="RG31" s="5">
        <f>IF(ISERROR(LOOKUP(RG$1,$S31:$HK31,csv!$L31:$HD31)),NA(),LOOKUP(RG$1,$S31:$HK31,csv!$L31:$HD31))</f>
        <v>0</v>
      </c>
      <c r="RH31" s="5">
        <f>IF(ISERROR(LOOKUP(RH$1,$S31:$HK31,csv!$L31:$HD31)),NA(),LOOKUP(RH$1,$S31:$HK31,csv!$L31:$HD31))</f>
        <v>0</v>
      </c>
      <c r="RI31" s="5">
        <f>IF(ISERROR(LOOKUP(RI$1,$S31:$HK31,csv!$L31:$HD31)),NA(),LOOKUP(RI$1,$S31:$HK31,csv!$L31:$HD31))</f>
        <v>0</v>
      </c>
      <c r="RJ31" s="5">
        <f>IF(ISERROR(LOOKUP(RJ$1,$S31:$HK31,csv!$L31:$HD31)),NA(),LOOKUP(RJ$1,$S31:$HK31,csv!$L31:$HD31))</f>
        <v>0</v>
      </c>
      <c r="RK31" s="5">
        <f>IF(ISERROR(LOOKUP(RK$1,$S31:$HK31,csv!$L31:$HD31)),NA(),LOOKUP(RK$1,$S31:$HK31,csv!$L31:$HD31))</f>
        <v>0</v>
      </c>
      <c r="RL31" s="5">
        <f>IF(ISERROR(LOOKUP(RL$1,$S31:$HK31,csv!$L31:$HD31)),NA(),LOOKUP(RL$1,$S31:$HK31,csv!$L31:$HD31))</f>
        <v>0</v>
      </c>
      <c r="RM31" s="5">
        <f>IF(ISERROR(LOOKUP(RM$1,$S31:$HK31,csv!$L31:$HD31)),NA(),LOOKUP(RM$1,$S31:$HK31,csv!$L31:$HD31))</f>
        <v>0</v>
      </c>
      <c r="RN31" s="5">
        <f>IF(ISERROR(LOOKUP(RN$1,$S31:$HK31,csv!$L31:$HD31)),NA(),LOOKUP(RN$1,$S31:$HK31,csv!$L31:$HD31))</f>
        <v>0</v>
      </c>
      <c r="RO31" s="5">
        <f>IF(ISERROR(LOOKUP(RO$1,$S31:$HK31,csv!$L31:$HD31)),NA(),LOOKUP(RO$1,$S31:$HK31,csv!$L31:$HD31))</f>
        <v>0</v>
      </c>
      <c r="RP31" s="5">
        <f>IF(ISERROR(LOOKUP(RP$1,$S31:$HK31,csv!$L31:$HD31)),NA(),LOOKUP(RP$1,$S31:$HK31,csv!$L31:$HD31))</f>
        <v>0</v>
      </c>
      <c r="RQ31" s="5">
        <f>IF(ISERROR(LOOKUP(RQ$1,$S31:$HK31,csv!$L31:$HD31)),NA(),LOOKUP(RQ$1,$S31:$HK31,csv!$L31:$HD31))</f>
        <v>0</v>
      </c>
      <c r="RR31" s="5">
        <f>IF(ISERROR(LOOKUP(RR$1,$S31:$HK31,csv!$L31:$HD31)),NA(),LOOKUP(RR$1,$S31:$HK31,csv!$L31:$HD31))</f>
        <v>0</v>
      </c>
      <c r="RS31" s="5">
        <f>IF(ISERROR(LOOKUP(RS$1,$S31:$HK31,csv!$L31:$HD31)),NA(),LOOKUP(RS$1,$S31:$HK31,csv!$L31:$HD31))</f>
        <v>0</v>
      </c>
      <c r="RT31" s="5">
        <f>IF(ISERROR(LOOKUP(RT$1,$S31:$HK31,csv!$L31:$HD31)),NA(),LOOKUP(RT$1,$S31:$HK31,csv!$L31:$HD31))</f>
        <v>0</v>
      </c>
      <c r="RU31" s="5">
        <f>IF(ISERROR(LOOKUP(RU$1,$S31:$HK31,csv!$L31:$HD31)),NA(),LOOKUP(RU$1,$S31:$HK31,csv!$L31:$HD31))</f>
        <v>0</v>
      </c>
      <c r="RV31" s="5">
        <f>IF(ISERROR(LOOKUP(RV$1,$S31:$HK31,csv!$L31:$HD31)),NA(),LOOKUP(RV$1,$S31:$HK31,csv!$L31:$HD31))</f>
        <v>0</v>
      </c>
      <c r="RW31" s="5">
        <f>IF(ISERROR(LOOKUP(RW$1,$S31:$HK31,csv!$L31:$HD31)),NA(),LOOKUP(RW$1,$S31:$HK31,csv!$L31:$HD31))</f>
        <v>0</v>
      </c>
      <c r="RX31" s="5">
        <f>IF(ISERROR(LOOKUP(RX$1,$S31:$HK31,csv!$L31:$HD31)),NA(),LOOKUP(RX$1,$S31:$HK31,csv!$L31:$HD31))</f>
        <v>0</v>
      </c>
      <c r="RY31" s="5">
        <f>IF(ISERROR(LOOKUP(RY$1,$S31:$HK31,csv!$L31:$HD31)),NA(),LOOKUP(RY$1,$S31:$HK31,csv!$L31:$HD31))</f>
        <v>0</v>
      </c>
      <c r="RZ31" s="5">
        <f>IF(ISERROR(LOOKUP(RZ$1,$S31:$HK31,csv!$L31:$HD31)),NA(),LOOKUP(RZ$1,$S31:$HK31,csv!$L31:$HD31))</f>
        <v>0</v>
      </c>
      <c r="SA31" s="5">
        <f>IF(ISERROR(LOOKUP(SA$1,$S31:$HK31,csv!$L31:$HD31)),NA(),LOOKUP(SA$1,$S31:$HK31,csv!$L31:$HD31))</f>
        <v>0</v>
      </c>
      <c r="SB31" s="5">
        <f>IF(ISERROR(LOOKUP(SB$1,$S31:$HK31,csv!$L31:$HD31)),NA(),LOOKUP(SB$1,$S31:$HK31,csv!$L31:$HD31))</f>
        <v>0</v>
      </c>
      <c r="SC31" s="5">
        <f>IF(ISERROR(LOOKUP(SC$1,$S31:$HK31,csv!$L31:$HD31)),NA(),LOOKUP(SC$1,$S31:$HK31,csv!$L31:$HD31))</f>
        <v>0</v>
      </c>
      <c r="SD31" s="5">
        <f>IF(ISERROR(LOOKUP(SD$1,$S31:$HK31,csv!$L31:$HD31)),NA(),LOOKUP(SD$1,$S31:$HK31,csv!$L31:$HD31))</f>
        <v>0</v>
      </c>
      <c r="SE31" s="5">
        <f>IF(ISERROR(LOOKUP(SE$1,$S31:$HK31,csv!$L31:$HD31)),NA(),LOOKUP(SE$1,$S31:$HK31,csv!$L31:$HD31))</f>
        <v>0</v>
      </c>
      <c r="SF31" s="5">
        <f>IF(ISERROR(LOOKUP(SF$1,$S31:$HK31,csv!$L31:$HD31)),NA(),LOOKUP(SF$1,$S31:$HK31,csv!$L31:$HD31))</f>
        <v>0</v>
      </c>
      <c r="SG31" s="5">
        <f>IF(ISERROR(LOOKUP(SG$1,$S31:$HK31,csv!$L31:$HD31)),NA(),LOOKUP(SG$1,$S31:$HK31,csv!$L31:$HD31))</f>
        <v>0</v>
      </c>
      <c r="SH31" s="5">
        <f>IF(ISERROR(LOOKUP(SH$1,$S31:$HK31,csv!$L31:$HD31)),NA(),LOOKUP(SH$1,$S31:$HK31,csv!$L31:$HD31))</f>
        <v>0</v>
      </c>
      <c r="SI31" s="5">
        <f>IF(ISERROR(LOOKUP(SI$1,$S31:$HK31,csv!$L31:$HD31)),NA(),LOOKUP(SI$1,$S31:$HK31,csv!$L31:$HD31))</f>
        <v>0</v>
      </c>
      <c r="SJ31" s="5">
        <f>IF(ISERROR(LOOKUP(SJ$1,$S31:$HK31,csv!$L31:$HD31)),NA(),LOOKUP(SJ$1,$S31:$HK31,csv!$L31:$HD31))</f>
        <v>0</v>
      </c>
      <c r="SK31" s="5">
        <f>IF(ISERROR(LOOKUP(SK$1,$S31:$HK31,csv!$L31:$HD31)),NA(),LOOKUP(SK$1,$S31:$HK31,csv!$L31:$HD31))</f>
        <v>0</v>
      </c>
      <c r="SL31" s="5">
        <f>IF(ISERROR(LOOKUP(SL$1,$S31:$HK31,csv!$L31:$HD31)),NA(),LOOKUP(SL$1,$S31:$HK31,csv!$L31:$HD31))</f>
        <v>0</v>
      </c>
      <c r="SM31" s="5">
        <f>IF(ISERROR(LOOKUP(SM$1,$S31:$HK31,csv!$L31:$HD31)),NA(),LOOKUP(SM$1,$S31:$HK31,csv!$L31:$HD31))</f>
        <v>0</v>
      </c>
      <c r="SN31" s="5">
        <f>IF(ISERROR(LOOKUP(SN$1,$S31:$HK31,csv!$L31:$HD31)),NA(),LOOKUP(SN$1,$S31:$HK31,csv!$L31:$HD31))</f>
        <v>0</v>
      </c>
      <c r="SO31" s="5">
        <f>IF(ISERROR(LOOKUP(SO$1,$S31:$HK31,csv!$L31:$HD31)),NA(),LOOKUP(SO$1,$S31:$HK31,csv!$L31:$HD31))</f>
        <v>0</v>
      </c>
      <c r="SP31" s="5">
        <f>IF(ISERROR(LOOKUP(SP$1,$S31:$HK31,csv!$L31:$HD31)),NA(),LOOKUP(SP$1,$S31:$HK31,csv!$L31:$HD31))</f>
        <v>0</v>
      </c>
      <c r="SQ31" s="5">
        <f>IF(ISERROR(LOOKUP(SQ$1,$S31:$HK31,csv!$L31:$HD31)),NA(),LOOKUP(SQ$1,$S31:$HK31,csv!$L31:$HD31))</f>
        <v>0</v>
      </c>
      <c r="SR31" s="5">
        <f>IF(ISERROR(LOOKUP(SR$1,$S31:$HK31,csv!$L31:$HD31)),NA(),LOOKUP(SR$1,$S31:$HK31,csv!$L31:$HD31))</f>
        <v>0</v>
      </c>
      <c r="SS31" s="5">
        <f>IF(ISERROR(LOOKUP(SS$1,$S31:$HK31,csv!$L31:$HD31)),NA(),LOOKUP(SS$1,$S31:$HK31,csv!$L31:$HD31))</f>
        <v>0</v>
      </c>
      <c r="ST31" s="5">
        <f>IF(ISERROR(LOOKUP(ST$1,$S31:$HK31,csv!$L31:$HD31)),NA(),LOOKUP(ST$1,$S31:$HK31,csv!$L31:$HD31))</f>
        <v>0</v>
      </c>
      <c r="SU31" s="5">
        <f>IF(ISERROR(LOOKUP(SU$1,$S31:$HK31,csv!$L31:$HD31)),NA(),LOOKUP(SU$1,$S31:$HK31,csv!$L31:$HD31))</f>
        <v>0</v>
      </c>
      <c r="SV31" s="5">
        <f>IF(ISERROR(LOOKUP(SV$1,$S31:$HK31,csv!$L31:$HD31)),NA(),LOOKUP(SV$1,$S31:$HK31,csv!$L31:$HD31))</f>
        <v>0</v>
      </c>
      <c r="SW31" s="5">
        <f>IF(ISERROR(LOOKUP(SW$1,$S31:$HK31,csv!$L31:$HD31)),NA(),LOOKUP(SW$1,$S31:$HK31,csv!$L31:$HD31))</f>
        <v>0</v>
      </c>
      <c r="SX31" s="5">
        <f>IF(ISERROR(LOOKUP(SX$1,$S31:$HK31,csv!$L31:$HD31)),NA(),LOOKUP(SX$1,$S31:$HK31,csv!$L31:$HD31))</f>
        <v>0</v>
      </c>
      <c r="SY31" s="5">
        <f>IF(ISERROR(LOOKUP(SY$1,$S31:$HK31,csv!$L31:$HD31)),NA(),LOOKUP(SY$1,$S31:$HK31,csv!$L31:$HD31))</f>
        <v>0</v>
      </c>
      <c r="SZ31" s="5">
        <f>IF(ISERROR(LOOKUP(SZ$1,$S31:$HK31,csv!$L31:$HD31)),NA(),LOOKUP(SZ$1,$S31:$HK31,csv!$L31:$HD31))</f>
        <v>0</v>
      </c>
      <c r="TA31" s="5">
        <f>IF(ISERROR(LOOKUP(TA$1,$S31:$HK31,csv!$L31:$HD31)),NA(),LOOKUP(TA$1,$S31:$HK31,csv!$L31:$HD31))</f>
        <v>0</v>
      </c>
      <c r="TB31" s="5">
        <f>IF(ISERROR(LOOKUP(TB$1,$S31:$HK31,csv!$L31:$HD31)),NA(),LOOKUP(TB$1,$S31:$HK31,csv!$L31:$HD31))</f>
        <v>0</v>
      </c>
      <c r="TD31">
        <f>csv!HG31/10</f>
        <v>0</v>
      </c>
    </row>
    <row r="32" spans="3:524" x14ac:dyDescent="0.15">
      <c r="S32" s="4">
        <f>ROUND((csv!$HG32/10+calc!S$1),1)</f>
        <v>-10</v>
      </c>
      <c r="T32" s="4">
        <f>ROUND((csv!$HG32/10+calc!T$1),1)</f>
        <v>-9.9</v>
      </c>
      <c r="U32" s="4">
        <f>ROUND((csv!$HG32/10+calc!U$1),1)</f>
        <v>-9.8000000000000007</v>
      </c>
      <c r="V32" s="4">
        <f>ROUND((csv!$HG32/10+calc!V$1),1)</f>
        <v>-9.6999999999999993</v>
      </c>
      <c r="W32" s="4">
        <f>ROUND((csv!$HG32/10+calc!W$1),1)</f>
        <v>-9.6</v>
      </c>
      <c r="X32" s="4">
        <f>ROUND((csv!$HG32/10+calc!X$1),1)</f>
        <v>-9.5</v>
      </c>
      <c r="Y32" s="4">
        <f>ROUND((csv!$HG32/10+calc!Y$1),1)</f>
        <v>-9.4</v>
      </c>
      <c r="Z32" s="4">
        <f>ROUND((csv!$HG32/10+calc!Z$1),1)</f>
        <v>-9.3000000000000007</v>
      </c>
      <c r="AA32" s="4">
        <f>ROUND((csv!$HG32/10+calc!AA$1),1)</f>
        <v>-9.1999999999999993</v>
      </c>
      <c r="AB32" s="4">
        <f>ROUND((csv!$HG32/10+calc!AB$1),1)</f>
        <v>-9.1</v>
      </c>
      <c r="AC32" s="4">
        <f>ROUND((csv!$HG32/10+calc!AC$1),1)</f>
        <v>-9</v>
      </c>
      <c r="AD32" s="4">
        <f>ROUND((csv!$HG32/10+calc!AD$1),1)</f>
        <v>-8.9</v>
      </c>
      <c r="AE32" s="4">
        <f>ROUND((csv!$HG32/10+calc!AE$1),1)</f>
        <v>-8.8000000000000007</v>
      </c>
      <c r="AF32" s="4">
        <f>ROUND((csv!$HG32/10+calc!AF$1),1)</f>
        <v>-8.6999999999999993</v>
      </c>
      <c r="AG32" s="4">
        <f>ROUND((csv!$HG32/10+calc!AG$1),1)</f>
        <v>-8.6</v>
      </c>
      <c r="AH32" s="4">
        <f>ROUND((csv!$HG32/10+calc!AH$1),1)</f>
        <v>-8.5</v>
      </c>
      <c r="AI32" s="4">
        <f>ROUND((csv!$HG32/10+calc!AI$1),1)</f>
        <v>-8.4</v>
      </c>
      <c r="AJ32" s="4">
        <f>ROUND((csv!$HG32/10+calc!AJ$1),1)</f>
        <v>-8.3000000000000007</v>
      </c>
      <c r="AK32" s="4">
        <f>ROUND((csv!$HG32/10+calc!AK$1),1)</f>
        <v>-8.1999999999999993</v>
      </c>
      <c r="AL32" s="4">
        <f>ROUND((csv!$HG32/10+calc!AL$1),1)</f>
        <v>-8.1</v>
      </c>
      <c r="AM32" s="4">
        <f>ROUND((csv!$HG32/10+calc!AM$1),1)</f>
        <v>-8</v>
      </c>
      <c r="AN32" s="4">
        <f>ROUND((csv!$HG32/10+calc!AN$1),1)</f>
        <v>-7.9</v>
      </c>
      <c r="AO32" s="4">
        <f>ROUND((csv!$HG32/10+calc!AO$1),1)</f>
        <v>-7.8</v>
      </c>
      <c r="AP32" s="4">
        <f>ROUND((csv!$HG32/10+calc!AP$1),1)</f>
        <v>-7.7</v>
      </c>
      <c r="AQ32" s="4">
        <f>ROUND((csv!$HG32/10+calc!AQ$1),1)</f>
        <v>-7.6</v>
      </c>
      <c r="AR32" s="4">
        <f>ROUND((csv!$HG32/10+calc!AR$1),1)</f>
        <v>-7.5</v>
      </c>
      <c r="AS32" s="4">
        <f>ROUND((csv!$HG32/10+calc!AS$1),1)</f>
        <v>-7.4</v>
      </c>
      <c r="AT32" s="4">
        <f>ROUND((csv!$HG32/10+calc!AT$1),1)</f>
        <v>-7.3</v>
      </c>
      <c r="AU32" s="4">
        <f>ROUND((csv!$HG32/10+calc!AU$1),1)</f>
        <v>-7.2</v>
      </c>
      <c r="AV32" s="4">
        <f>ROUND((csv!$HG32/10+calc!AV$1),1)</f>
        <v>-7.1</v>
      </c>
      <c r="AW32" s="4">
        <f>ROUND((csv!$HG32/10+calc!AW$1),1)</f>
        <v>-7</v>
      </c>
      <c r="AX32" s="4">
        <f>ROUND((csv!$HG32/10+calc!AX$1),1)</f>
        <v>-6.9</v>
      </c>
      <c r="AY32" s="4">
        <f>ROUND((csv!$HG32/10+calc!AY$1),1)</f>
        <v>-6.8</v>
      </c>
      <c r="AZ32" s="4">
        <f>ROUND((csv!$HG32/10+calc!AZ$1),1)</f>
        <v>-6.7</v>
      </c>
      <c r="BA32" s="4">
        <f>ROUND((csv!$HG32/10+calc!BA$1),1)</f>
        <v>-6.6</v>
      </c>
      <c r="BB32" s="4">
        <f>ROUND((csv!$HG32/10+calc!BB$1),1)</f>
        <v>-6.5</v>
      </c>
      <c r="BC32" s="4">
        <f>ROUND((csv!$HG32/10+calc!BC$1),1)</f>
        <v>-6.4</v>
      </c>
      <c r="BD32" s="4">
        <f>ROUND((csv!$HG32/10+calc!BD$1),1)</f>
        <v>-6.3</v>
      </c>
      <c r="BE32" s="4">
        <f>ROUND((csv!$HG32/10+calc!BE$1),1)</f>
        <v>-6.2</v>
      </c>
      <c r="BF32" s="4">
        <f>ROUND((csv!$HG32/10+calc!BF$1),1)</f>
        <v>-6.1</v>
      </c>
      <c r="BG32" s="4">
        <f>ROUND((csv!$HG32/10+calc!BG$1),1)</f>
        <v>-6</v>
      </c>
      <c r="BH32" s="4">
        <f>ROUND((csv!$HG32/10+calc!BH$1),1)</f>
        <v>-5.9</v>
      </c>
      <c r="BI32" s="4">
        <f>ROUND((csv!$HG32/10+calc!BI$1),1)</f>
        <v>-5.8</v>
      </c>
      <c r="BJ32" s="4">
        <f>ROUND((csv!$HG32/10+calc!BJ$1),1)</f>
        <v>-5.7</v>
      </c>
      <c r="BK32" s="4">
        <f>ROUND((csv!$HG32/10+calc!BK$1),1)</f>
        <v>-5.6</v>
      </c>
      <c r="BL32" s="4">
        <f>ROUND((csv!$HG32/10+calc!BL$1),1)</f>
        <v>-5.5</v>
      </c>
      <c r="BM32" s="4">
        <f>ROUND((csv!$HG32/10+calc!BM$1),1)</f>
        <v>-5.4</v>
      </c>
      <c r="BN32" s="4">
        <f>ROUND((csv!$HG32/10+calc!BN$1),1)</f>
        <v>-5.3</v>
      </c>
      <c r="BO32" s="4">
        <f>ROUND((csv!$HG32/10+calc!BO$1),1)</f>
        <v>-5.2</v>
      </c>
      <c r="BP32" s="4">
        <f>ROUND((csv!$HG32/10+calc!BP$1),1)</f>
        <v>-5.0999999999999996</v>
      </c>
      <c r="BQ32" s="4">
        <f>ROUND((csv!$HG32/10+calc!BQ$1),1)</f>
        <v>-5</v>
      </c>
      <c r="BR32" s="4">
        <f>ROUND((csv!$HG32/10+calc!BR$1),1)</f>
        <v>-4.9000000000000004</v>
      </c>
      <c r="BS32" s="4">
        <f>ROUND((csv!$HG32/10+calc!BS$1),1)</f>
        <v>-4.8</v>
      </c>
      <c r="BT32" s="4">
        <f>ROUND((csv!$HG32/10+calc!BT$1),1)</f>
        <v>-4.7</v>
      </c>
      <c r="BU32" s="4">
        <f>ROUND((csv!$HG32/10+calc!BU$1),1)</f>
        <v>-4.5999999999999996</v>
      </c>
      <c r="BV32" s="4">
        <f>ROUND((csv!$HG32/10+calc!BV$1),1)</f>
        <v>-4.5</v>
      </c>
      <c r="BW32" s="4">
        <f>ROUND((csv!$HG32/10+calc!BW$1),1)</f>
        <v>-4.4000000000000004</v>
      </c>
      <c r="BX32" s="4">
        <f>ROUND((csv!$HG32/10+calc!BX$1),1)</f>
        <v>-4.3</v>
      </c>
      <c r="BY32" s="4">
        <f>ROUND((csv!$HG32/10+calc!BY$1),1)</f>
        <v>-4.2</v>
      </c>
      <c r="BZ32" s="4">
        <f>ROUND((csv!$HG32/10+calc!BZ$1),1)</f>
        <v>-4.0999999999999996</v>
      </c>
      <c r="CA32" s="4">
        <f>ROUND((csv!$HG32/10+calc!CA$1),1)</f>
        <v>-4</v>
      </c>
      <c r="CB32" s="4">
        <f>ROUND((csv!$HG32/10+calc!CB$1),1)</f>
        <v>-3.9</v>
      </c>
      <c r="CC32" s="4">
        <f>ROUND((csv!$HG32/10+calc!CC$1),1)</f>
        <v>-3.8</v>
      </c>
      <c r="CD32" s="4">
        <f>ROUND((csv!$HG32/10+calc!CD$1),1)</f>
        <v>-3.7</v>
      </c>
      <c r="CE32" s="4">
        <f>ROUND((csv!$HG32/10+calc!CE$1),1)</f>
        <v>-3.6</v>
      </c>
      <c r="CF32" s="4">
        <f>ROUND((csv!$HG32/10+calc!CF$1),1)</f>
        <v>-3.5</v>
      </c>
      <c r="CG32" s="4">
        <f>ROUND((csv!$HG32/10+calc!CG$1),1)</f>
        <v>-3.4</v>
      </c>
      <c r="CH32" s="4">
        <f>ROUND((csv!$HG32/10+calc!CH$1),1)</f>
        <v>-3.3</v>
      </c>
      <c r="CI32" s="4">
        <f>ROUND((csv!$HG32/10+calc!CI$1),1)</f>
        <v>-3.2</v>
      </c>
      <c r="CJ32" s="4">
        <f>ROUND((csv!$HG32/10+calc!CJ$1),1)</f>
        <v>-3.1</v>
      </c>
      <c r="CK32" s="4">
        <f>ROUND((csv!$HG32/10+calc!CK$1),1)</f>
        <v>-3</v>
      </c>
      <c r="CL32" s="4">
        <f>ROUND((csv!$HG32/10+calc!CL$1),1)</f>
        <v>-2.9</v>
      </c>
      <c r="CM32" s="4">
        <f>ROUND((csv!$HG32/10+calc!CM$1),1)</f>
        <v>-2.8</v>
      </c>
      <c r="CN32" s="4">
        <f>ROUND((csv!$HG32/10+calc!CN$1),1)</f>
        <v>-2.7</v>
      </c>
      <c r="CO32" s="4">
        <f>ROUND((csv!$HG32/10+calc!CO$1),1)</f>
        <v>-2.6</v>
      </c>
      <c r="CP32" s="4">
        <f>ROUND((csv!$HG32/10+calc!CP$1),1)</f>
        <v>-2.5</v>
      </c>
      <c r="CQ32" s="4">
        <f>ROUND((csv!$HG32/10+calc!CQ$1),1)</f>
        <v>-2.4</v>
      </c>
      <c r="CR32" s="4">
        <f>ROUND((csv!$HG32/10+calc!CR$1),1)</f>
        <v>-2.2999999999999998</v>
      </c>
      <c r="CS32" s="4">
        <f>ROUND((csv!$HG32/10+calc!CS$1),1)</f>
        <v>-2.2000000000000002</v>
      </c>
      <c r="CT32" s="4">
        <f>ROUND((csv!$HG32/10+calc!CT$1),1)</f>
        <v>-2.1</v>
      </c>
      <c r="CU32" s="4">
        <f>ROUND((csv!$HG32/10+calc!CU$1),1)</f>
        <v>-2</v>
      </c>
      <c r="CV32" s="4">
        <f>ROUND((csv!$HG32/10+calc!CV$1),1)</f>
        <v>-1.9</v>
      </c>
      <c r="CW32" s="4">
        <f>ROUND((csv!$HG32/10+calc!CW$1),1)</f>
        <v>-1.8</v>
      </c>
      <c r="CX32" s="4">
        <f>ROUND((csv!$HG32/10+calc!CX$1),1)</f>
        <v>-1.7</v>
      </c>
      <c r="CY32" s="4">
        <f>ROUND((csv!$HG32/10+calc!CY$1),1)</f>
        <v>-1.6</v>
      </c>
      <c r="CZ32" s="4">
        <f>ROUND((csv!$HG32/10+calc!CZ$1),1)</f>
        <v>-1.5</v>
      </c>
      <c r="DA32" s="4">
        <f>ROUND((csv!$HG32/10+calc!DA$1),1)</f>
        <v>-1.4</v>
      </c>
      <c r="DB32" s="4">
        <f>ROUND((csv!$HG32/10+calc!DB$1),1)</f>
        <v>-1.3</v>
      </c>
      <c r="DC32" s="4">
        <f>ROUND((csv!$HG32/10+calc!DC$1),1)</f>
        <v>-1.2</v>
      </c>
      <c r="DD32" s="4">
        <f>ROUND((csv!$HG32/10+calc!DD$1),1)</f>
        <v>-1.1000000000000001</v>
      </c>
      <c r="DE32" s="4">
        <f>ROUND((csv!$HG32/10+calc!DE$1),1)</f>
        <v>-1</v>
      </c>
      <c r="DF32" s="4">
        <f>ROUND((csv!$HG32/10+calc!DF$1),1)</f>
        <v>-0.9</v>
      </c>
      <c r="DG32" s="4">
        <f>ROUND((csv!$HG32/10+calc!DG$1),1)</f>
        <v>-0.8</v>
      </c>
      <c r="DH32" s="4">
        <f>ROUND((csv!$HG32/10+calc!DH$1),1)</f>
        <v>-0.7</v>
      </c>
      <c r="DI32" s="4">
        <f>ROUND((csv!$HG32/10+calc!DI$1),1)</f>
        <v>-0.6</v>
      </c>
      <c r="DJ32" s="4">
        <f>ROUND((csv!$HG32/10+calc!DJ$1),1)</f>
        <v>-0.5</v>
      </c>
      <c r="DK32" s="4">
        <f>ROUND((csv!$HG32/10+calc!DK$1),1)</f>
        <v>-0.4</v>
      </c>
      <c r="DL32" s="4">
        <f>ROUND((csv!$HG32/10+calc!DL$1),1)</f>
        <v>-0.3</v>
      </c>
      <c r="DM32" s="4">
        <f>ROUND((csv!$HG32/10+calc!DM$1),1)</f>
        <v>-0.2</v>
      </c>
      <c r="DN32" s="4">
        <f>ROUND((csv!$HG32/10+calc!DN$1),1)</f>
        <v>-0.1</v>
      </c>
      <c r="DO32" s="4">
        <f>ROUND((csv!$HG32/10+calc!DO$1),1)</f>
        <v>0</v>
      </c>
      <c r="DP32" s="4">
        <f>ROUND((csv!$HG32/10+calc!DP$1),1)</f>
        <v>0.1</v>
      </c>
      <c r="DQ32" s="4">
        <f>ROUND((csv!$HG32/10+calc!DQ$1),1)</f>
        <v>0.2</v>
      </c>
      <c r="DR32" s="4">
        <f>ROUND((csv!$HG32/10+calc!DR$1),1)</f>
        <v>0.3</v>
      </c>
      <c r="DS32" s="4">
        <f>ROUND((csv!$HG32/10+calc!DS$1),1)</f>
        <v>0.4</v>
      </c>
      <c r="DT32" s="4">
        <f>ROUND((csv!$HG32/10+calc!DT$1),1)</f>
        <v>0.5</v>
      </c>
      <c r="DU32" s="4">
        <f>ROUND((csv!$HG32/10+calc!DU$1),1)</f>
        <v>0.6</v>
      </c>
      <c r="DV32" s="4">
        <f>ROUND((csv!$HG32/10+calc!DV$1),1)</f>
        <v>0.7</v>
      </c>
      <c r="DW32" s="4">
        <f>ROUND((csv!$HG32/10+calc!DW$1),1)</f>
        <v>0.8</v>
      </c>
      <c r="DX32" s="4">
        <f>ROUND((csv!$HG32/10+calc!DX$1),1)</f>
        <v>0.9</v>
      </c>
      <c r="DY32" s="4">
        <f>ROUND((csv!$HG32/10+calc!DY$1),1)</f>
        <v>1</v>
      </c>
      <c r="DZ32" s="4">
        <f>ROUND((csv!$HG32/10+calc!DZ$1),1)</f>
        <v>1.1000000000000001</v>
      </c>
      <c r="EA32" s="4">
        <f>ROUND((csv!$HG32/10+calc!EA$1),1)</f>
        <v>1.2</v>
      </c>
      <c r="EB32" s="4">
        <f>ROUND((csv!$HG32/10+calc!EB$1),1)</f>
        <v>1.3</v>
      </c>
      <c r="EC32" s="4">
        <f>ROUND((csv!$HG32/10+calc!EC$1),1)</f>
        <v>1.4</v>
      </c>
      <c r="ED32" s="4">
        <f>ROUND((csv!$HG32/10+calc!ED$1),1)</f>
        <v>1.5</v>
      </c>
      <c r="EE32" s="4">
        <f>ROUND((csv!$HG32/10+calc!EE$1),1)</f>
        <v>1.6</v>
      </c>
      <c r="EF32" s="4">
        <f>ROUND((csv!$HG32/10+calc!EF$1),1)</f>
        <v>1.7</v>
      </c>
      <c r="EG32" s="4">
        <f>ROUND((csv!$HG32/10+calc!EG$1),1)</f>
        <v>1.8</v>
      </c>
      <c r="EH32" s="4">
        <f>ROUND((csv!$HG32/10+calc!EH$1),1)</f>
        <v>1.9</v>
      </c>
      <c r="EI32" s="4">
        <f>ROUND((csv!$HG32/10+calc!EI$1),1)</f>
        <v>2</v>
      </c>
      <c r="EJ32" s="4">
        <f>ROUND((csv!$HG32/10+calc!EJ$1),1)</f>
        <v>2.1</v>
      </c>
      <c r="EK32" s="4">
        <f>ROUND((csv!$HG32/10+calc!EK$1),1)</f>
        <v>2.2000000000000002</v>
      </c>
      <c r="EL32" s="4">
        <f>ROUND((csv!$HG32/10+calc!EL$1),1)</f>
        <v>2.2999999999999998</v>
      </c>
      <c r="EM32" s="4">
        <f>ROUND((csv!$HG32/10+calc!EM$1),1)</f>
        <v>2.4</v>
      </c>
      <c r="EN32" s="4">
        <f>ROUND((csv!$HG32/10+calc!EN$1),1)</f>
        <v>2.5</v>
      </c>
      <c r="EO32" s="4">
        <f>ROUND((csv!$HG32/10+calc!EO$1),1)</f>
        <v>2.6</v>
      </c>
      <c r="EP32" s="4">
        <f>ROUND((csv!$HG32/10+calc!EP$1),1)</f>
        <v>2.7</v>
      </c>
      <c r="EQ32" s="4">
        <f>ROUND((csv!$HG32/10+calc!EQ$1),1)</f>
        <v>2.8</v>
      </c>
      <c r="ER32" s="4">
        <f>ROUND((csv!$HG32/10+calc!ER$1),1)</f>
        <v>2.9</v>
      </c>
      <c r="ES32" s="4">
        <f>ROUND((csv!$HG32/10+calc!ES$1),1)</f>
        <v>3</v>
      </c>
      <c r="ET32" s="4">
        <f>ROUND((csv!$HG32/10+calc!ET$1),1)</f>
        <v>3.1</v>
      </c>
      <c r="EU32" s="4">
        <f>ROUND((csv!$HG32/10+calc!EU$1),1)</f>
        <v>3.2</v>
      </c>
      <c r="EV32" s="4">
        <f>ROUND((csv!$HG32/10+calc!EV$1),1)</f>
        <v>3.3</v>
      </c>
      <c r="EW32" s="4">
        <f>ROUND((csv!$HG32/10+calc!EW$1),1)</f>
        <v>3.4</v>
      </c>
      <c r="EX32" s="4">
        <f>ROUND((csv!$HG32/10+calc!EX$1),1)</f>
        <v>3.5</v>
      </c>
      <c r="EY32" s="4">
        <f>ROUND((csv!$HG32/10+calc!EY$1),1)</f>
        <v>3.6</v>
      </c>
      <c r="EZ32" s="4">
        <f>ROUND((csv!$HG32/10+calc!EZ$1),1)</f>
        <v>3.7</v>
      </c>
      <c r="FA32" s="4">
        <f>ROUND((csv!$HG32/10+calc!FA$1),1)</f>
        <v>3.8</v>
      </c>
      <c r="FB32" s="4">
        <f>ROUND((csv!$HG32/10+calc!FB$1),1)</f>
        <v>3.9</v>
      </c>
      <c r="FC32" s="4">
        <f>ROUND((csv!$HG32/10+calc!FC$1),1)</f>
        <v>4</v>
      </c>
      <c r="FD32" s="4">
        <f>ROUND((csv!$HG32/10+calc!FD$1),1)</f>
        <v>4.0999999999999996</v>
      </c>
      <c r="FE32" s="4">
        <f>ROUND((csv!$HG32/10+calc!FE$1),1)</f>
        <v>4.2</v>
      </c>
      <c r="FF32" s="4">
        <f>ROUND((csv!$HG32/10+calc!FF$1),1)</f>
        <v>4.3</v>
      </c>
      <c r="FG32" s="4">
        <f>ROUND((csv!$HG32/10+calc!FG$1),1)</f>
        <v>4.4000000000000004</v>
      </c>
      <c r="FH32" s="4">
        <f>ROUND((csv!$HG32/10+calc!FH$1),1)</f>
        <v>4.5</v>
      </c>
      <c r="FI32" s="4">
        <f>ROUND((csv!$HG32/10+calc!FI$1),1)</f>
        <v>4.5999999999999996</v>
      </c>
      <c r="FJ32" s="4">
        <f>ROUND((csv!$HG32/10+calc!FJ$1),1)</f>
        <v>4.7</v>
      </c>
      <c r="FK32" s="4">
        <f>ROUND((csv!$HG32/10+calc!FK$1),1)</f>
        <v>4.8</v>
      </c>
      <c r="FL32" s="4">
        <f>ROUND((csv!$HG32/10+calc!FL$1),1)</f>
        <v>4.9000000000000004</v>
      </c>
      <c r="FM32" s="4">
        <f>ROUND((csv!$HG32/10+calc!FM$1),1)</f>
        <v>5</v>
      </c>
      <c r="FN32" s="4">
        <f>ROUND((csv!$HG32/10+calc!FN$1),1)</f>
        <v>5.0999999999999996</v>
      </c>
      <c r="FO32" s="4">
        <f>ROUND((csv!$HG32/10+calc!FO$1),1)</f>
        <v>5.2</v>
      </c>
      <c r="FP32" s="4">
        <f>ROUND((csv!$HG32/10+calc!FP$1),1)</f>
        <v>5.3</v>
      </c>
      <c r="FQ32" s="4">
        <f>ROUND((csv!$HG32/10+calc!FQ$1),1)</f>
        <v>5.4</v>
      </c>
      <c r="FR32" s="4">
        <f>ROUND((csv!$HG32/10+calc!FR$1),1)</f>
        <v>5.5</v>
      </c>
      <c r="FS32" s="4">
        <f>ROUND((csv!$HG32/10+calc!FS$1),1)</f>
        <v>5.6</v>
      </c>
      <c r="FT32" s="4">
        <f>ROUND((csv!$HG32/10+calc!FT$1),1)</f>
        <v>5.7</v>
      </c>
      <c r="FU32" s="4">
        <f>ROUND((csv!$HG32/10+calc!FU$1),1)</f>
        <v>5.8</v>
      </c>
      <c r="FV32" s="4">
        <f>ROUND((csv!$HG32/10+calc!FV$1),1)</f>
        <v>5.9</v>
      </c>
      <c r="FW32" s="4">
        <f>ROUND((csv!$HG32/10+calc!FW$1),1)</f>
        <v>6</v>
      </c>
      <c r="FX32" s="4">
        <f>ROUND((csv!$HG32/10+calc!FX$1),1)</f>
        <v>6.1</v>
      </c>
      <c r="FY32" s="4">
        <f>ROUND((csv!$HG32/10+calc!FY$1),1)</f>
        <v>6.2</v>
      </c>
      <c r="FZ32" s="4">
        <f>ROUND((csv!$HG32/10+calc!FZ$1),1)</f>
        <v>6.3</v>
      </c>
      <c r="GA32" s="4">
        <f>ROUND((csv!$HG32/10+calc!GA$1),1)</f>
        <v>6.4</v>
      </c>
      <c r="GB32" s="4">
        <f>ROUND((csv!$HG32/10+calc!GB$1),1)</f>
        <v>6.5</v>
      </c>
      <c r="GC32" s="4">
        <f>ROUND((csv!$HG32/10+calc!GC$1),1)</f>
        <v>6.6</v>
      </c>
      <c r="GD32" s="4">
        <f>ROUND((csv!$HG32/10+calc!GD$1),1)</f>
        <v>6.7</v>
      </c>
      <c r="GE32" s="4">
        <f>ROUND((csv!$HG32/10+calc!GE$1),1)</f>
        <v>6.8</v>
      </c>
      <c r="GF32" s="4">
        <f>ROUND((csv!$HG32/10+calc!GF$1),1)</f>
        <v>6.9</v>
      </c>
      <c r="GG32" s="4">
        <f>ROUND((csv!$HG32/10+calc!GG$1),1)</f>
        <v>7</v>
      </c>
      <c r="GH32" s="4">
        <f>ROUND((csv!$HG32/10+calc!GH$1),1)</f>
        <v>7.1</v>
      </c>
      <c r="GI32" s="4">
        <f>ROUND((csv!$HG32/10+calc!GI$1),1)</f>
        <v>7.2</v>
      </c>
      <c r="GJ32" s="4">
        <f>ROUND((csv!$HG32/10+calc!GJ$1),1)</f>
        <v>7.3</v>
      </c>
      <c r="GK32" s="4">
        <f>ROUND((csv!$HG32/10+calc!GK$1),1)</f>
        <v>7.4</v>
      </c>
      <c r="GL32" s="4">
        <f>ROUND((csv!$HG32/10+calc!GL$1),1)</f>
        <v>7.5</v>
      </c>
      <c r="GM32" s="4">
        <f>ROUND((csv!$HG32/10+calc!GM$1),1)</f>
        <v>7.6</v>
      </c>
      <c r="GN32" s="4">
        <f>ROUND((csv!$HG32/10+calc!GN$1),1)</f>
        <v>7.7</v>
      </c>
      <c r="GO32" s="4">
        <f>ROUND((csv!$HG32/10+calc!GO$1),1)</f>
        <v>7.8</v>
      </c>
      <c r="GP32" s="4">
        <f>ROUND((csv!$HG32/10+calc!GP$1),1)</f>
        <v>7.9</v>
      </c>
      <c r="GQ32" s="4">
        <f>ROUND((csv!$HG32/10+calc!GQ$1),1)</f>
        <v>8</v>
      </c>
      <c r="GR32" s="4">
        <f>ROUND((csv!$HG32/10+calc!GR$1),1)</f>
        <v>8.1</v>
      </c>
      <c r="GS32" s="4">
        <f>ROUND((csv!$HG32/10+calc!GS$1),1)</f>
        <v>8.1999999999999993</v>
      </c>
      <c r="GT32" s="4">
        <f>ROUND((csv!$HG32/10+calc!GT$1),1)</f>
        <v>8.3000000000000007</v>
      </c>
      <c r="GU32" s="4">
        <f>ROUND((csv!$HG32/10+calc!GU$1),1)</f>
        <v>8.4</v>
      </c>
      <c r="GV32" s="4">
        <f>ROUND((csv!$HG32/10+calc!GV$1),1)</f>
        <v>8.5</v>
      </c>
      <c r="GW32" s="4">
        <f>ROUND((csv!$HG32/10+calc!GW$1),1)</f>
        <v>8.6</v>
      </c>
      <c r="GX32" s="4">
        <f>ROUND((csv!$HG32/10+calc!GX$1),1)</f>
        <v>8.6999999999999993</v>
      </c>
      <c r="GY32" s="4">
        <f>ROUND((csv!$HG32/10+calc!GY$1),1)</f>
        <v>8.8000000000000007</v>
      </c>
      <c r="GZ32" s="4">
        <f>ROUND((csv!$HG32/10+calc!GZ$1),1)</f>
        <v>8.9</v>
      </c>
      <c r="HA32" s="4">
        <f>ROUND((csv!$HG32/10+calc!HA$1),1)</f>
        <v>9</v>
      </c>
      <c r="HB32" s="4">
        <f>ROUND((csv!$HG32/10+calc!HB$1),1)</f>
        <v>9.1</v>
      </c>
      <c r="HC32" s="4">
        <f>ROUND((csv!$HG32/10+calc!HC$1),1)</f>
        <v>9.1999999999999993</v>
      </c>
      <c r="HD32" s="4">
        <f>ROUND((csv!$HG32/10+calc!HD$1),1)</f>
        <v>9.3000000000000007</v>
      </c>
      <c r="HE32" s="4">
        <f>ROUND((csv!$HG32/10+calc!HE$1),1)</f>
        <v>9.4</v>
      </c>
      <c r="HF32" s="4">
        <f>ROUND((csv!$HG32/10+calc!HF$1),1)</f>
        <v>9.5</v>
      </c>
      <c r="HG32" s="4">
        <f>ROUND((csv!$HG32/10+calc!HG$1),1)</f>
        <v>9.6</v>
      </c>
      <c r="HH32" s="4">
        <f>ROUND((csv!$HG32/10+calc!HH$1),1)</f>
        <v>9.6999999999999993</v>
      </c>
      <c r="HI32" s="4">
        <f>ROUND((csv!$HG32/10+calc!HI$1),1)</f>
        <v>9.8000000000000007</v>
      </c>
      <c r="HJ32" s="4">
        <f>ROUND((csv!$HG32/10+calc!HJ$1),1)</f>
        <v>9.9</v>
      </c>
      <c r="HK32" s="4">
        <f>ROUND((csv!$HG32/10+calc!HK$1),1)</f>
        <v>10</v>
      </c>
      <c r="HM32" s="2">
        <f>csv!A32*10000+csv!B32*100+csv!C32</f>
        <v>0</v>
      </c>
      <c r="HN32" s="5">
        <f>IF(ISERROR(LOOKUP(HN$1,$S32:$HK32,csv!$L32:$HD32)),NA(),LOOKUP(HN$1,$S32:$HK32,csv!$L32:$HD32))</f>
        <v>0</v>
      </c>
      <c r="HO32" s="5">
        <f>IF(ISERROR(LOOKUP(HO$1,$S32:$HK32,csv!$L32:$HD32)),NA(),LOOKUP(HO$1,$S32:$HK32,csv!$L32:$HD32))</f>
        <v>0</v>
      </c>
      <c r="HP32" s="5">
        <f>IF(ISERROR(LOOKUP(HP$1,$S32:$HK32,csv!$L32:$HD32)),NA(),LOOKUP(HP$1,$S32:$HK32,csv!$L32:$HD32))</f>
        <v>0</v>
      </c>
      <c r="HQ32" s="5">
        <f>IF(ISERROR(LOOKUP(HQ$1,$S32:$HK32,csv!$L32:$HD32)),NA(),LOOKUP(HQ$1,$S32:$HK32,csv!$L32:$HD32))</f>
        <v>0</v>
      </c>
      <c r="HR32" s="5">
        <f>IF(ISERROR(LOOKUP(HR$1,$S32:$HK32,csv!$L32:$HD32)),NA(),LOOKUP(HR$1,$S32:$HK32,csv!$L32:$HD32))</f>
        <v>0</v>
      </c>
      <c r="HS32" s="5">
        <f>IF(ISERROR(LOOKUP(HS$1,$S32:$HK32,csv!$L32:$HD32)),NA(),LOOKUP(HS$1,$S32:$HK32,csv!$L32:$HD32))</f>
        <v>0</v>
      </c>
      <c r="HT32" s="5">
        <f>IF(ISERROR(LOOKUP(HT$1,$S32:$HK32,csv!$L32:$HD32)),NA(),LOOKUP(HT$1,$S32:$HK32,csv!$L32:$HD32))</f>
        <v>0</v>
      </c>
      <c r="HU32" s="5">
        <f>IF(ISERROR(LOOKUP(HU$1,$S32:$HK32,csv!$L32:$HD32)),NA(),LOOKUP(HU$1,$S32:$HK32,csv!$L32:$HD32))</f>
        <v>0</v>
      </c>
      <c r="HV32" s="5">
        <f>IF(ISERROR(LOOKUP(HV$1,$S32:$HK32,csv!$L32:$HD32)),NA(),LOOKUP(HV$1,$S32:$HK32,csv!$L32:$HD32))</f>
        <v>0</v>
      </c>
      <c r="HW32" s="5">
        <f>IF(ISERROR(LOOKUP(HW$1,$S32:$HK32,csv!$L32:$HD32)),NA(),LOOKUP(HW$1,$S32:$HK32,csv!$L32:$HD32))</f>
        <v>0</v>
      </c>
      <c r="HX32" s="5">
        <f>IF(ISERROR(LOOKUP(HX$1,$S32:$HK32,csv!$L32:$HD32)),NA(),LOOKUP(HX$1,$S32:$HK32,csv!$L32:$HD32))</f>
        <v>0</v>
      </c>
      <c r="HY32" s="5">
        <f>IF(ISERROR(LOOKUP(HY$1,$S32:$HK32,csv!$L32:$HD32)),NA(),LOOKUP(HY$1,$S32:$HK32,csv!$L32:$HD32))</f>
        <v>0</v>
      </c>
      <c r="HZ32" s="5">
        <f>IF(ISERROR(LOOKUP(HZ$1,$S32:$HK32,csv!$L32:$HD32)),NA(),LOOKUP(HZ$1,$S32:$HK32,csv!$L32:$HD32))</f>
        <v>0</v>
      </c>
      <c r="IA32" s="5">
        <f>IF(ISERROR(LOOKUP(IA$1,$S32:$HK32,csv!$L32:$HD32)),NA(),LOOKUP(IA$1,$S32:$HK32,csv!$L32:$HD32))</f>
        <v>0</v>
      </c>
      <c r="IB32" s="5">
        <f>IF(ISERROR(LOOKUP(IB$1,$S32:$HK32,csv!$L32:$HD32)),NA(),LOOKUP(IB$1,$S32:$HK32,csv!$L32:$HD32))</f>
        <v>0</v>
      </c>
      <c r="IC32" s="5">
        <f>IF(ISERROR(LOOKUP(IC$1,$S32:$HK32,csv!$L32:$HD32)),NA(),LOOKUP(IC$1,$S32:$HK32,csv!$L32:$HD32))</f>
        <v>0</v>
      </c>
      <c r="ID32" s="5">
        <f>IF(ISERROR(LOOKUP(ID$1,$S32:$HK32,csv!$L32:$HD32)),NA(),LOOKUP(ID$1,$S32:$HK32,csv!$L32:$HD32))</f>
        <v>0</v>
      </c>
      <c r="IE32" s="5">
        <f>IF(ISERROR(LOOKUP(IE$1,$S32:$HK32,csv!$L32:$HD32)),NA(),LOOKUP(IE$1,$S32:$HK32,csv!$L32:$HD32))</f>
        <v>0</v>
      </c>
      <c r="IF32" s="5">
        <f>IF(ISERROR(LOOKUP(IF$1,$S32:$HK32,csv!$L32:$HD32)),NA(),LOOKUP(IF$1,$S32:$HK32,csv!$L32:$HD32))</f>
        <v>0</v>
      </c>
      <c r="IG32" s="5">
        <f>IF(ISERROR(LOOKUP(IG$1,$S32:$HK32,csv!$L32:$HD32)),NA(),LOOKUP(IG$1,$S32:$HK32,csv!$L32:$HD32))</f>
        <v>0</v>
      </c>
      <c r="IH32" s="5">
        <f>IF(ISERROR(LOOKUP(IH$1,$S32:$HK32,csv!$L32:$HD32)),NA(),LOOKUP(IH$1,$S32:$HK32,csv!$L32:$HD32))</f>
        <v>0</v>
      </c>
      <c r="II32" s="5">
        <f>IF(ISERROR(LOOKUP(II$1,$S32:$HK32,csv!$L32:$HD32)),NA(),LOOKUP(II$1,$S32:$HK32,csv!$L32:$HD32))</f>
        <v>0</v>
      </c>
      <c r="IJ32" s="5">
        <f>IF(ISERROR(LOOKUP(IJ$1,$S32:$HK32,csv!$L32:$HD32)),NA(),LOOKUP(IJ$1,$S32:$HK32,csv!$L32:$HD32))</f>
        <v>0</v>
      </c>
      <c r="IK32" s="5">
        <f>IF(ISERROR(LOOKUP(IK$1,$S32:$HK32,csv!$L32:$HD32)),NA(),LOOKUP(IK$1,$S32:$HK32,csv!$L32:$HD32))</f>
        <v>0</v>
      </c>
      <c r="IL32" s="5">
        <f>IF(ISERROR(LOOKUP(IL$1,$S32:$HK32,csv!$L32:$HD32)),NA(),LOOKUP(IL$1,$S32:$HK32,csv!$L32:$HD32))</f>
        <v>0</v>
      </c>
      <c r="IM32" s="5">
        <f>IF(ISERROR(LOOKUP(IM$1,$S32:$HK32,csv!$L32:$HD32)),NA(),LOOKUP(IM$1,$S32:$HK32,csv!$L32:$HD32))</f>
        <v>0</v>
      </c>
      <c r="IN32" s="5">
        <f>IF(ISERROR(LOOKUP(IN$1,$S32:$HK32,csv!$L32:$HD32)),NA(),LOOKUP(IN$1,$S32:$HK32,csv!$L32:$HD32))</f>
        <v>0</v>
      </c>
      <c r="IO32" s="5">
        <f>IF(ISERROR(LOOKUP(IO$1,$S32:$HK32,csv!$L32:$HD32)),NA(),LOOKUP(IO$1,$S32:$HK32,csv!$L32:$HD32))</f>
        <v>0</v>
      </c>
      <c r="IP32" s="5">
        <f>IF(ISERROR(LOOKUP(IP$1,$S32:$HK32,csv!$L32:$HD32)),NA(),LOOKUP(IP$1,$S32:$HK32,csv!$L32:$HD32))</f>
        <v>0</v>
      </c>
      <c r="IQ32" s="5">
        <f>IF(ISERROR(LOOKUP(IQ$1,$S32:$HK32,csv!$L32:$HD32)),NA(),LOOKUP(IQ$1,$S32:$HK32,csv!$L32:$HD32))</f>
        <v>0</v>
      </c>
      <c r="IR32" s="5">
        <f>IF(ISERROR(LOOKUP(IR$1,$S32:$HK32,csv!$L32:$HD32)),NA(),LOOKUP(IR$1,$S32:$HK32,csv!$L32:$HD32))</f>
        <v>0</v>
      </c>
      <c r="IS32" s="5">
        <f>IF(ISERROR(LOOKUP(IS$1,$S32:$HK32,csv!$L32:$HD32)),NA(),LOOKUP(IS$1,$S32:$HK32,csv!$L32:$HD32))</f>
        <v>0</v>
      </c>
      <c r="IT32" s="5">
        <f>IF(ISERROR(LOOKUP(IT$1,$S32:$HK32,csv!$L32:$HD32)),NA(),LOOKUP(IT$1,$S32:$HK32,csv!$L32:$HD32))</f>
        <v>0</v>
      </c>
      <c r="IU32" s="5">
        <f>IF(ISERROR(LOOKUP(IU$1,$S32:$HK32,csv!$L32:$HD32)),NA(),LOOKUP(IU$1,$S32:$HK32,csv!$L32:$HD32))</f>
        <v>0</v>
      </c>
      <c r="IV32" s="5">
        <f>IF(ISERROR(LOOKUP(IV$1,$S32:$HK32,csv!$L32:$HD32)),NA(),LOOKUP(IV$1,$S32:$HK32,csv!$L32:$HD32))</f>
        <v>0</v>
      </c>
      <c r="IW32" s="5">
        <f>IF(ISERROR(LOOKUP(IW$1,$S32:$HK32,csv!$L32:$HD32)),NA(),LOOKUP(IW$1,$S32:$HK32,csv!$L32:$HD32))</f>
        <v>0</v>
      </c>
      <c r="IX32" s="5">
        <f>IF(ISERROR(LOOKUP(IX$1,$S32:$HK32,csv!$L32:$HD32)),NA(),LOOKUP(IX$1,$S32:$HK32,csv!$L32:$HD32))</f>
        <v>0</v>
      </c>
      <c r="IY32" s="5">
        <f>IF(ISERROR(LOOKUP(IY$1,$S32:$HK32,csv!$L32:$HD32)),NA(),LOOKUP(IY$1,$S32:$HK32,csv!$L32:$HD32))</f>
        <v>0</v>
      </c>
      <c r="IZ32" s="5">
        <f>IF(ISERROR(LOOKUP(IZ$1,$S32:$HK32,csv!$L32:$HD32)),NA(),LOOKUP(IZ$1,$S32:$HK32,csv!$L32:$HD32))</f>
        <v>0</v>
      </c>
      <c r="JA32" s="5">
        <f>IF(ISERROR(LOOKUP(JA$1,$S32:$HK32,csv!$L32:$HD32)),NA(),LOOKUP(JA$1,$S32:$HK32,csv!$L32:$HD32))</f>
        <v>0</v>
      </c>
      <c r="JB32" s="5">
        <f>IF(ISERROR(LOOKUP(JB$1,$S32:$HK32,csv!$L32:$HD32)),NA(),LOOKUP(JB$1,$S32:$HK32,csv!$L32:$HD32))</f>
        <v>0</v>
      </c>
      <c r="JC32" s="5">
        <f>IF(ISERROR(LOOKUP(JC$1,$S32:$HK32,csv!$L32:$HD32)),NA(),LOOKUP(JC$1,$S32:$HK32,csv!$L32:$HD32))</f>
        <v>0</v>
      </c>
      <c r="JD32" s="5">
        <f>IF(ISERROR(LOOKUP(JD$1,$S32:$HK32,csv!$L32:$HD32)),NA(),LOOKUP(JD$1,$S32:$HK32,csv!$L32:$HD32))</f>
        <v>0</v>
      </c>
      <c r="JE32" s="5">
        <f>IF(ISERROR(LOOKUP(JE$1,$S32:$HK32,csv!$L32:$HD32)),NA(),LOOKUP(JE$1,$S32:$HK32,csv!$L32:$HD32))</f>
        <v>0</v>
      </c>
      <c r="JF32" s="5">
        <f>IF(ISERROR(LOOKUP(JF$1,$S32:$HK32,csv!$L32:$HD32)),NA(),LOOKUP(JF$1,$S32:$HK32,csv!$L32:$HD32))</f>
        <v>0</v>
      </c>
      <c r="JG32" s="5">
        <f>IF(ISERROR(LOOKUP(JG$1,$S32:$HK32,csv!$L32:$HD32)),NA(),LOOKUP(JG$1,$S32:$HK32,csv!$L32:$HD32))</f>
        <v>0</v>
      </c>
      <c r="JH32" s="5">
        <f>IF(ISERROR(LOOKUP(JH$1,$S32:$HK32,csv!$L32:$HD32)),NA(),LOOKUP(JH$1,$S32:$HK32,csv!$L32:$HD32))</f>
        <v>0</v>
      </c>
      <c r="JI32" s="5">
        <f>IF(ISERROR(LOOKUP(JI$1,$S32:$HK32,csv!$L32:$HD32)),NA(),LOOKUP(JI$1,$S32:$HK32,csv!$L32:$HD32))</f>
        <v>0</v>
      </c>
      <c r="JJ32" s="5">
        <f>IF(ISERROR(LOOKUP(JJ$1,$S32:$HK32,csv!$L32:$HD32)),NA(),LOOKUP(JJ$1,$S32:$HK32,csv!$L32:$HD32))</f>
        <v>0</v>
      </c>
      <c r="JK32" s="5">
        <f>IF(ISERROR(LOOKUP(JK$1,$S32:$HK32,csv!$L32:$HD32)),NA(),LOOKUP(JK$1,$S32:$HK32,csv!$L32:$HD32))</f>
        <v>0</v>
      </c>
      <c r="JL32" s="5">
        <f>IF(ISERROR(LOOKUP(JL$1,$S32:$HK32,csv!$L32:$HD32)),NA(),LOOKUP(JL$1,$S32:$HK32,csv!$L32:$HD32))</f>
        <v>0</v>
      </c>
      <c r="JM32" s="5">
        <f>IF(ISERROR(LOOKUP(JM$1,$S32:$HK32,csv!$L32:$HD32)),NA(),LOOKUP(JM$1,$S32:$HK32,csv!$L32:$HD32))</f>
        <v>0</v>
      </c>
      <c r="JN32" s="5">
        <f>IF(ISERROR(LOOKUP(JN$1,$S32:$HK32,csv!$L32:$HD32)),NA(),LOOKUP(JN$1,$S32:$HK32,csv!$L32:$HD32))</f>
        <v>0</v>
      </c>
      <c r="JO32" s="5">
        <f>IF(ISERROR(LOOKUP(JO$1,$S32:$HK32,csv!$L32:$HD32)),NA(),LOOKUP(JO$1,$S32:$HK32,csv!$L32:$HD32))</f>
        <v>0</v>
      </c>
      <c r="JP32" s="5">
        <f>IF(ISERROR(LOOKUP(JP$1,$S32:$HK32,csv!$L32:$HD32)),NA(),LOOKUP(JP$1,$S32:$HK32,csv!$L32:$HD32))</f>
        <v>0</v>
      </c>
      <c r="JQ32" s="5">
        <f>IF(ISERROR(LOOKUP(JQ$1,$S32:$HK32,csv!$L32:$HD32)),NA(),LOOKUP(JQ$1,$S32:$HK32,csv!$L32:$HD32))</f>
        <v>0</v>
      </c>
      <c r="JR32" s="5">
        <f>IF(ISERROR(LOOKUP(JR$1,$S32:$HK32,csv!$L32:$HD32)),NA(),LOOKUP(JR$1,$S32:$HK32,csv!$L32:$HD32))</f>
        <v>0</v>
      </c>
      <c r="JS32" s="5">
        <f>IF(ISERROR(LOOKUP(JS$1,$S32:$HK32,csv!$L32:$HD32)),NA(),LOOKUP(JS$1,$S32:$HK32,csv!$L32:$HD32))</f>
        <v>0</v>
      </c>
      <c r="JT32" s="5">
        <f>IF(ISERROR(LOOKUP(JT$1,$S32:$HK32,csv!$L32:$HD32)),NA(),LOOKUP(JT$1,$S32:$HK32,csv!$L32:$HD32))</f>
        <v>0</v>
      </c>
      <c r="JU32" s="5">
        <f>IF(ISERROR(LOOKUP(JU$1,$S32:$HK32,csv!$L32:$HD32)),NA(),LOOKUP(JU$1,$S32:$HK32,csv!$L32:$HD32))</f>
        <v>0</v>
      </c>
      <c r="JV32" s="5">
        <f>IF(ISERROR(LOOKUP(JV$1,$S32:$HK32,csv!$L32:$HD32)),NA(),LOOKUP(JV$1,$S32:$HK32,csv!$L32:$HD32))</f>
        <v>0</v>
      </c>
      <c r="JW32" s="5">
        <f>IF(ISERROR(LOOKUP(JW$1,$S32:$HK32,csv!$L32:$HD32)),NA(),LOOKUP(JW$1,$S32:$HK32,csv!$L32:$HD32))</f>
        <v>0</v>
      </c>
      <c r="JX32" s="5">
        <f>IF(ISERROR(LOOKUP(JX$1,$S32:$HK32,csv!$L32:$HD32)),NA(),LOOKUP(JX$1,$S32:$HK32,csv!$L32:$HD32))</f>
        <v>0</v>
      </c>
      <c r="JY32" s="5">
        <f>IF(ISERROR(LOOKUP(JY$1,$S32:$HK32,csv!$L32:$HD32)),NA(),LOOKUP(JY$1,$S32:$HK32,csv!$L32:$HD32))</f>
        <v>0</v>
      </c>
      <c r="JZ32" s="5">
        <f>IF(ISERROR(LOOKUP(JZ$1,$S32:$HK32,csv!$L32:$HD32)),NA(),LOOKUP(JZ$1,$S32:$HK32,csv!$L32:$HD32))</f>
        <v>0</v>
      </c>
      <c r="KA32" s="5">
        <f>IF(ISERROR(LOOKUP(KA$1,$S32:$HK32,csv!$L32:$HD32)),NA(),LOOKUP(KA$1,$S32:$HK32,csv!$L32:$HD32))</f>
        <v>0</v>
      </c>
      <c r="KB32" s="5">
        <f>IF(ISERROR(LOOKUP(KB$1,$S32:$HK32,csv!$L32:$HD32)),NA(),LOOKUP(KB$1,$S32:$HK32,csv!$L32:$HD32))</f>
        <v>0</v>
      </c>
      <c r="KC32" s="5">
        <f>IF(ISERROR(LOOKUP(KC$1,$S32:$HK32,csv!$L32:$HD32)),NA(),LOOKUP(KC$1,$S32:$HK32,csv!$L32:$HD32))</f>
        <v>0</v>
      </c>
      <c r="KD32" s="5">
        <f>IF(ISERROR(LOOKUP(KD$1,$S32:$HK32,csv!$L32:$HD32)),NA(),LOOKUP(KD$1,$S32:$HK32,csv!$L32:$HD32))</f>
        <v>0</v>
      </c>
      <c r="KE32" s="5">
        <f>IF(ISERROR(LOOKUP(KE$1,$S32:$HK32,csv!$L32:$HD32)),NA(),LOOKUP(KE$1,$S32:$HK32,csv!$L32:$HD32))</f>
        <v>0</v>
      </c>
      <c r="KF32" s="5">
        <f>IF(ISERROR(LOOKUP(KF$1,$S32:$HK32,csv!$L32:$HD32)),NA(),LOOKUP(KF$1,$S32:$HK32,csv!$L32:$HD32))</f>
        <v>0</v>
      </c>
      <c r="KG32" s="5">
        <f>IF(ISERROR(LOOKUP(KG$1,$S32:$HK32,csv!$L32:$HD32)),NA(),LOOKUP(KG$1,$S32:$HK32,csv!$L32:$HD32))</f>
        <v>0</v>
      </c>
      <c r="KH32" s="5">
        <f>IF(ISERROR(LOOKUP(KH$1,$S32:$HK32,csv!$L32:$HD32)),NA(),LOOKUP(KH$1,$S32:$HK32,csv!$L32:$HD32))</f>
        <v>0</v>
      </c>
      <c r="KI32" s="5">
        <f>IF(ISERROR(LOOKUP(KI$1,$S32:$HK32,csv!$L32:$HD32)),NA(),LOOKUP(KI$1,$S32:$HK32,csv!$L32:$HD32))</f>
        <v>0</v>
      </c>
      <c r="KJ32" s="5">
        <f>IF(ISERROR(LOOKUP(KJ$1,$S32:$HK32,csv!$L32:$HD32)),NA(),LOOKUP(KJ$1,$S32:$HK32,csv!$L32:$HD32))</f>
        <v>0</v>
      </c>
      <c r="KK32" s="5">
        <f>IF(ISERROR(LOOKUP(KK$1,$S32:$HK32,csv!$L32:$HD32)),NA(),LOOKUP(KK$1,$S32:$HK32,csv!$L32:$HD32))</f>
        <v>0</v>
      </c>
      <c r="KL32" s="5">
        <f>IF(ISERROR(LOOKUP(KL$1,$S32:$HK32,csv!$L32:$HD32)),NA(),LOOKUP(KL$1,$S32:$HK32,csv!$L32:$HD32))</f>
        <v>0</v>
      </c>
      <c r="KM32" s="5">
        <f>IF(ISERROR(LOOKUP(KM$1,$S32:$HK32,csv!$L32:$HD32)),NA(),LOOKUP(KM$1,$S32:$HK32,csv!$L32:$HD32))</f>
        <v>0</v>
      </c>
      <c r="KN32" s="5">
        <f>IF(ISERROR(LOOKUP(KN$1,$S32:$HK32,csv!$L32:$HD32)),NA(),LOOKUP(KN$1,$S32:$HK32,csv!$L32:$HD32))</f>
        <v>0</v>
      </c>
      <c r="KO32" s="5">
        <f>IF(ISERROR(LOOKUP(KO$1,$S32:$HK32,csv!$L32:$HD32)),NA(),LOOKUP(KO$1,$S32:$HK32,csv!$L32:$HD32))</f>
        <v>0</v>
      </c>
      <c r="KP32" s="5">
        <f>IF(ISERROR(LOOKUP(KP$1,$S32:$HK32,csv!$L32:$HD32)),NA(),LOOKUP(KP$1,$S32:$HK32,csv!$L32:$HD32))</f>
        <v>0</v>
      </c>
      <c r="KQ32" s="5">
        <f>IF(ISERROR(LOOKUP(KQ$1,$S32:$HK32,csv!$L32:$HD32)),NA(),LOOKUP(KQ$1,$S32:$HK32,csv!$L32:$HD32))</f>
        <v>0</v>
      </c>
      <c r="KR32" s="5">
        <f>IF(ISERROR(LOOKUP(KR$1,$S32:$HK32,csv!$L32:$HD32)),NA(),LOOKUP(KR$1,$S32:$HK32,csv!$L32:$HD32))</f>
        <v>0</v>
      </c>
      <c r="KS32" s="5">
        <f>IF(ISERROR(LOOKUP(KS$1,$S32:$HK32,csv!$L32:$HD32)),NA(),LOOKUP(KS$1,$S32:$HK32,csv!$L32:$HD32))</f>
        <v>0</v>
      </c>
      <c r="KT32" s="5">
        <f>IF(ISERROR(LOOKUP(KT$1,$S32:$HK32,csv!$L32:$HD32)),NA(),LOOKUP(KT$1,$S32:$HK32,csv!$L32:$HD32))</f>
        <v>0</v>
      </c>
      <c r="KU32" s="5">
        <f>IF(ISERROR(LOOKUP(KU$1,$S32:$HK32,csv!$L32:$HD32)),NA(),LOOKUP(KU$1,$S32:$HK32,csv!$L32:$HD32))</f>
        <v>0</v>
      </c>
      <c r="KV32" s="5">
        <f>IF(ISERROR(LOOKUP(KV$1,$S32:$HK32,csv!$L32:$HD32)),NA(),LOOKUP(KV$1,$S32:$HK32,csv!$L32:$HD32))</f>
        <v>0</v>
      </c>
      <c r="KW32" s="5">
        <f>IF(ISERROR(LOOKUP(KW$1,$S32:$HK32,csv!$L32:$HD32)),NA(),LOOKUP(KW$1,$S32:$HK32,csv!$L32:$HD32))</f>
        <v>0</v>
      </c>
      <c r="KX32" s="5">
        <f>IF(ISERROR(LOOKUP(KX$1,$S32:$HK32,csv!$L32:$HD32)),NA(),LOOKUP(KX$1,$S32:$HK32,csv!$L32:$HD32))</f>
        <v>0</v>
      </c>
      <c r="KY32" s="5">
        <f>IF(ISERROR(LOOKUP(KY$1,$S32:$HK32,csv!$L32:$HD32)),NA(),LOOKUP(KY$1,$S32:$HK32,csv!$L32:$HD32))</f>
        <v>0</v>
      </c>
      <c r="KZ32" s="5">
        <f>IF(ISERROR(LOOKUP(KZ$1,$S32:$HK32,csv!$L32:$HD32)),NA(),LOOKUP(KZ$1,$S32:$HK32,csv!$L32:$HD32))</f>
        <v>0</v>
      </c>
      <c r="LA32" s="5">
        <f>IF(ISERROR(LOOKUP(LA$1,$S32:$HK32,csv!$L32:$HD32)),NA(),LOOKUP(LA$1,$S32:$HK32,csv!$L32:$HD32))</f>
        <v>0</v>
      </c>
      <c r="LB32" s="5">
        <f>IF(ISERROR(LOOKUP(LB$1,$S32:$HK32,csv!$L32:$HD32)),NA(),LOOKUP(LB$1,$S32:$HK32,csv!$L32:$HD32))</f>
        <v>0</v>
      </c>
      <c r="LC32" s="5">
        <f>IF(ISERROR(LOOKUP(LC$1,$S32:$HK32,csv!$L32:$HD32)),NA(),LOOKUP(LC$1,$S32:$HK32,csv!$L32:$HD32))</f>
        <v>0</v>
      </c>
      <c r="LD32" s="5">
        <f>IF(ISERROR(LOOKUP(LD$1,$S32:$HK32,csv!$L32:$HD32)),NA(),LOOKUP(LD$1,$S32:$HK32,csv!$L32:$HD32))</f>
        <v>0</v>
      </c>
      <c r="LE32" s="5">
        <f>IF(ISERROR(LOOKUP(LE$1,$S32:$HK32,csv!$L32:$HD32)),NA(),LOOKUP(LE$1,$S32:$HK32,csv!$L32:$HD32))</f>
        <v>0</v>
      </c>
      <c r="LF32" s="5">
        <f>IF(ISERROR(LOOKUP(LF$1,$S32:$HK32,csv!$L32:$HD32)),NA(),LOOKUP(LF$1,$S32:$HK32,csv!$L32:$HD32))</f>
        <v>0</v>
      </c>
      <c r="LG32" s="5">
        <f>IF(ISERROR(LOOKUP(LG$1,$S32:$HK32,csv!$L32:$HD32)),NA(),LOOKUP(LG$1,$S32:$HK32,csv!$L32:$HD32))</f>
        <v>0</v>
      </c>
      <c r="LH32" s="5">
        <f>IF(ISERROR(LOOKUP(LH$1,$S32:$HK32,csv!$L32:$HD32)),NA(),LOOKUP(LH$1,$S32:$HK32,csv!$L32:$HD32))</f>
        <v>0</v>
      </c>
      <c r="LI32" s="5">
        <f>IF(ISERROR(LOOKUP(LI$1,$S32:$HK32,csv!$L32:$HD32)),NA(),LOOKUP(LI$1,$S32:$HK32,csv!$L32:$HD32))</f>
        <v>0</v>
      </c>
      <c r="LJ32" s="5">
        <f>IF(ISERROR(LOOKUP(LJ$1,$S32:$HK32,csv!$L32:$HD32)),NA(),LOOKUP(LJ$1,$S32:$HK32,csv!$L32:$HD32))</f>
        <v>0</v>
      </c>
      <c r="LK32" s="5">
        <f>IF(ISERROR(LOOKUP(LK$1,$S32:$HK32,csv!$L32:$HD32)),NA(),LOOKUP(LK$1,$S32:$HK32,csv!$L32:$HD32))</f>
        <v>0</v>
      </c>
      <c r="LL32" s="5">
        <f>IF(ISERROR(LOOKUP(LL$1,$S32:$HK32,csv!$L32:$HD32)),NA(),LOOKUP(LL$1,$S32:$HK32,csv!$L32:$HD32))</f>
        <v>0</v>
      </c>
      <c r="LM32" s="5">
        <f>IF(ISERROR(LOOKUP(LM$1,$S32:$HK32,csv!$L32:$HD32)),NA(),LOOKUP(LM$1,$S32:$HK32,csv!$L32:$HD32))</f>
        <v>0</v>
      </c>
      <c r="LN32" s="5">
        <f>IF(ISERROR(LOOKUP(LN$1,$S32:$HK32,csv!$L32:$HD32)),NA(),LOOKUP(LN$1,$S32:$HK32,csv!$L32:$HD32))</f>
        <v>0</v>
      </c>
      <c r="LO32" s="5">
        <f>IF(ISERROR(LOOKUP(LO$1,$S32:$HK32,csv!$L32:$HD32)),NA(),LOOKUP(LO$1,$S32:$HK32,csv!$L32:$HD32))</f>
        <v>0</v>
      </c>
      <c r="LP32" s="5">
        <f>IF(ISERROR(LOOKUP(LP$1,$S32:$HK32,csv!$L32:$HD32)),NA(),LOOKUP(LP$1,$S32:$HK32,csv!$L32:$HD32))</f>
        <v>0</v>
      </c>
      <c r="LQ32" s="5">
        <f>IF(ISERROR(LOOKUP(LQ$1,$S32:$HK32,csv!$L32:$HD32)),NA(),LOOKUP(LQ$1,$S32:$HK32,csv!$L32:$HD32))</f>
        <v>0</v>
      </c>
      <c r="LR32" s="5">
        <f>IF(ISERROR(LOOKUP(LR$1,$S32:$HK32,csv!$L32:$HD32)),NA(),LOOKUP(LR$1,$S32:$HK32,csv!$L32:$HD32))</f>
        <v>0</v>
      </c>
      <c r="LS32" s="5">
        <f>IF(ISERROR(LOOKUP(LS$1,$S32:$HK32,csv!$L32:$HD32)),NA(),LOOKUP(LS$1,$S32:$HK32,csv!$L32:$HD32))</f>
        <v>0</v>
      </c>
      <c r="LT32" s="5">
        <f>IF(ISERROR(LOOKUP(LT$1,$S32:$HK32,csv!$L32:$HD32)),NA(),LOOKUP(LT$1,$S32:$HK32,csv!$L32:$HD32))</f>
        <v>0</v>
      </c>
      <c r="LU32" s="5">
        <f>IF(ISERROR(LOOKUP(LU$1,$S32:$HK32,csv!$L32:$HD32)),NA(),LOOKUP(LU$1,$S32:$HK32,csv!$L32:$HD32))</f>
        <v>0</v>
      </c>
      <c r="LV32" s="5">
        <f>IF(ISERROR(LOOKUP(LV$1,$S32:$HK32,csv!$L32:$HD32)),NA(),LOOKUP(LV$1,$S32:$HK32,csv!$L32:$HD32))</f>
        <v>0</v>
      </c>
      <c r="LW32" s="5">
        <f>IF(ISERROR(LOOKUP(LW$1,$S32:$HK32,csv!$L32:$HD32)),NA(),LOOKUP(LW$1,$S32:$HK32,csv!$L32:$HD32))</f>
        <v>0</v>
      </c>
      <c r="LX32" s="5">
        <f>IF(ISERROR(LOOKUP(LX$1,$S32:$HK32,csv!$L32:$HD32)),NA(),LOOKUP(LX$1,$S32:$HK32,csv!$L32:$HD32))</f>
        <v>0</v>
      </c>
      <c r="LY32" s="5">
        <f>IF(ISERROR(LOOKUP(LY$1,$S32:$HK32,csv!$L32:$HD32)),NA(),LOOKUP(LY$1,$S32:$HK32,csv!$L32:$HD32))</f>
        <v>0</v>
      </c>
      <c r="LZ32" s="5">
        <f>IF(ISERROR(LOOKUP(LZ$1,$S32:$HK32,csv!$L32:$HD32)),NA(),LOOKUP(LZ$1,$S32:$HK32,csv!$L32:$HD32))</f>
        <v>0</v>
      </c>
      <c r="MA32" s="5">
        <f>IF(ISERROR(LOOKUP(MA$1,$S32:$HK32,csv!$L32:$HD32)),NA(),LOOKUP(MA$1,$S32:$HK32,csv!$L32:$HD32))</f>
        <v>0</v>
      </c>
      <c r="MB32" s="5">
        <f>IF(ISERROR(LOOKUP(MB$1,$S32:$HK32,csv!$L32:$HD32)),NA(),LOOKUP(MB$1,$S32:$HK32,csv!$L32:$HD32))</f>
        <v>0</v>
      </c>
      <c r="MC32" s="5">
        <f>IF(ISERROR(LOOKUP(MC$1,$S32:$HK32,csv!$L32:$HD32)),NA(),LOOKUP(MC$1,$S32:$HK32,csv!$L32:$HD32))</f>
        <v>0</v>
      </c>
      <c r="MD32" s="5">
        <f>IF(ISERROR(LOOKUP(MD$1,$S32:$HK32,csv!$L32:$HD32)),NA(),LOOKUP(MD$1,$S32:$HK32,csv!$L32:$HD32))</f>
        <v>0</v>
      </c>
      <c r="ME32" s="5">
        <f>IF(ISERROR(LOOKUP(ME$1,$S32:$HK32,csv!$L32:$HD32)),NA(),LOOKUP(ME$1,$S32:$HK32,csv!$L32:$HD32))</f>
        <v>0</v>
      </c>
      <c r="MF32" s="5">
        <f>IF(ISERROR(LOOKUP(MF$1,$S32:$HK32,csv!$L32:$HD32)),NA(),LOOKUP(MF$1,$S32:$HK32,csv!$L32:$HD32))</f>
        <v>0</v>
      </c>
      <c r="MG32" s="5">
        <f>IF(ISERROR(LOOKUP(MG$1,$S32:$HK32,csv!$L32:$HD32)),NA(),LOOKUP(MG$1,$S32:$HK32,csv!$L32:$HD32))</f>
        <v>0</v>
      </c>
      <c r="MH32" s="5">
        <f>IF(ISERROR(LOOKUP(MH$1,$S32:$HK32,csv!$L32:$HD32)),NA(),LOOKUP(MH$1,$S32:$HK32,csv!$L32:$HD32))</f>
        <v>0</v>
      </c>
      <c r="MI32" s="5">
        <f>IF(ISERROR(LOOKUP(MI$1,$S32:$HK32,csv!$L32:$HD32)),NA(),LOOKUP(MI$1,$S32:$HK32,csv!$L32:$HD32))</f>
        <v>0</v>
      </c>
      <c r="MJ32" s="5">
        <f>IF(ISERROR(LOOKUP(MJ$1,$S32:$HK32,csv!$L32:$HD32)),NA(),LOOKUP(MJ$1,$S32:$HK32,csv!$L32:$HD32))</f>
        <v>0</v>
      </c>
      <c r="MK32" s="5">
        <f>IF(ISERROR(LOOKUP(MK$1,$S32:$HK32,csv!$L32:$HD32)),NA(),LOOKUP(MK$1,$S32:$HK32,csv!$L32:$HD32))</f>
        <v>0</v>
      </c>
      <c r="ML32" s="5">
        <f>IF(ISERROR(LOOKUP(ML$1,$S32:$HK32,csv!$L32:$HD32)),NA(),LOOKUP(ML$1,$S32:$HK32,csv!$L32:$HD32))</f>
        <v>0</v>
      </c>
      <c r="MM32" s="5">
        <f>IF(ISERROR(LOOKUP(MM$1,$S32:$HK32,csv!$L32:$HD32)),NA(),LOOKUP(MM$1,$S32:$HK32,csv!$L32:$HD32))</f>
        <v>0</v>
      </c>
      <c r="MN32" s="5">
        <f>IF(ISERROR(LOOKUP(MN$1,$S32:$HK32,csv!$L32:$HD32)),NA(),LOOKUP(MN$1,$S32:$HK32,csv!$L32:$HD32))</f>
        <v>0</v>
      </c>
      <c r="MO32" s="5">
        <f>IF(ISERROR(LOOKUP(MO$1,$S32:$HK32,csv!$L32:$HD32)),NA(),LOOKUP(MO$1,$S32:$HK32,csv!$L32:$HD32))</f>
        <v>0</v>
      </c>
      <c r="MP32" s="5">
        <f>IF(ISERROR(LOOKUP(MP$1,$S32:$HK32,csv!$L32:$HD32)),NA(),LOOKUP(MP$1,$S32:$HK32,csv!$L32:$HD32))</f>
        <v>0</v>
      </c>
      <c r="MQ32" s="5">
        <f>IF(ISERROR(LOOKUP(MQ$1,$S32:$HK32,csv!$L32:$HD32)),NA(),LOOKUP(MQ$1,$S32:$HK32,csv!$L32:$HD32))</f>
        <v>0</v>
      </c>
      <c r="MR32" s="5">
        <f>IF(ISERROR(LOOKUP(MR$1,$S32:$HK32,csv!$L32:$HD32)),NA(),LOOKUP(MR$1,$S32:$HK32,csv!$L32:$HD32))</f>
        <v>0</v>
      </c>
      <c r="MS32" s="5">
        <f>IF(ISERROR(LOOKUP(MS$1,$S32:$HK32,csv!$L32:$HD32)),NA(),LOOKUP(MS$1,$S32:$HK32,csv!$L32:$HD32))</f>
        <v>0</v>
      </c>
      <c r="MT32" s="5">
        <f>IF(ISERROR(LOOKUP(MT$1,$S32:$HK32,csv!$L32:$HD32)),NA(),LOOKUP(MT$1,$S32:$HK32,csv!$L32:$HD32))</f>
        <v>0</v>
      </c>
      <c r="MU32" s="5">
        <f>IF(ISERROR(LOOKUP(MU$1,$S32:$HK32,csv!$L32:$HD32)),NA(),LOOKUP(MU$1,$S32:$HK32,csv!$L32:$HD32))</f>
        <v>0</v>
      </c>
      <c r="MV32" s="5">
        <f>IF(ISERROR(LOOKUP(MV$1,$S32:$HK32,csv!$L32:$HD32)),NA(),LOOKUP(MV$1,$S32:$HK32,csv!$L32:$HD32))</f>
        <v>0</v>
      </c>
      <c r="MW32" s="5">
        <f>IF(ISERROR(LOOKUP(MW$1,$S32:$HK32,csv!$L32:$HD32)),NA(),LOOKUP(MW$1,$S32:$HK32,csv!$L32:$HD32))</f>
        <v>0</v>
      </c>
      <c r="MX32" s="5">
        <f>IF(ISERROR(LOOKUP(MX$1,$S32:$HK32,csv!$L32:$HD32)),NA(),LOOKUP(MX$1,$S32:$HK32,csv!$L32:$HD32))</f>
        <v>0</v>
      </c>
      <c r="MY32" s="5">
        <f>IF(ISERROR(LOOKUP(MY$1,$S32:$HK32,csv!$L32:$HD32)),NA(),LOOKUP(MY$1,$S32:$HK32,csv!$L32:$HD32))</f>
        <v>0</v>
      </c>
      <c r="MZ32" s="5">
        <f>IF(ISERROR(LOOKUP(MZ$1,$S32:$HK32,csv!$L32:$HD32)),NA(),LOOKUP(MZ$1,$S32:$HK32,csv!$L32:$HD32))</f>
        <v>0</v>
      </c>
      <c r="NA32" s="5">
        <f>IF(ISERROR(LOOKUP(NA$1,$S32:$HK32,csv!$L32:$HD32)),NA(),LOOKUP(NA$1,$S32:$HK32,csv!$L32:$HD32))</f>
        <v>0</v>
      </c>
      <c r="NB32" s="5">
        <f>IF(ISERROR(LOOKUP(NB$1,$S32:$HK32,csv!$L32:$HD32)),NA(),LOOKUP(NB$1,$S32:$HK32,csv!$L32:$HD32))</f>
        <v>0</v>
      </c>
      <c r="NC32" s="5">
        <f>IF(ISERROR(LOOKUP(NC$1,$S32:$HK32,csv!$L32:$HD32)),NA(),LOOKUP(NC$1,$S32:$HK32,csv!$L32:$HD32))</f>
        <v>0</v>
      </c>
      <c r="ND32" s="5">
        <f>IF(ISERROR(LOOKUP(ND$1,$S32:$HK32,csv!$L32:$HD32)),NA(),LOOKUP(ND$1,$S32:$HK32,csv!$L32:$HD32))</f>
        <v>0</v>
      </c>
      <c r="NE32" s="5">
        <f>IF(ISERROR(LOOKUP(NE$1,$S32:$HK32,csv!$L32:$HD32)),NA(),LOOKUP(NE$1,$S32:$HK32,csv!$L32:$HD32))</f>
        <v>0</v>
      </c>
      <c r="NF32" s="5">
        <f>IF(ISERROR(LOOKUP(NF$1,$S32:$HK32,csv!$L32:$HD32)),NA(),LOOKUP(NF$1,$S32:$HK32,csv!$L32:$HD32))</f>
        <v>0</v>
      </c>
      <c r="NG32" s="5">
        <f>IF(ISERROR(LOOKUP(NG$1,$S32:$HK32,csv!$L32:$HD32)),NA(),LOOKUP(NG$1,$S32:$HK32,csv!$L32:$HD32))</f>
        <v>0</v>
      </c>
      <c r="NH32" s="5">
        <f>IF(ISERROR(LOOKUP(NH$1,$S32:$HK32,csv!$L32:$HD32)),NA(),LOOKUP(NH$1,$S32:$HK32,csv!$L32:$HD32))</f>
        <v>0</v>
      </c>
      <c r="NI32" s="5">
        <f>IF(ISERROR(LOOKUP(NI$1,$S32:$HK32,csv!$L32:$HD32)),NA(),LOOKUP(NI$1,$S32:$HK32,csv!$L32:$HD32))</f>
        <v>0</v>
      </c>
      <c r="NJ32" s="5">
        <f>IF(ISERROR(LOOKUP(NJ$1,$S32:$HK32,csv!$L32:$HD32)),NA(),LOOKUP(NJ$1,$S32:$HK32,csv!$L32:$HD32))</f>
        <v>0</v>
      </c>
      <c r="NK32" s="5">
        <f>IF(ISERROR(LOOKUP(NK$1,$S32:$HK32,csv!$L32:$HD32)),NA(),LOOKUP(NK$1,$S32:$HK32,csv!$L32:$HD32))</f>
        <v>0</v>
      </c>
      <c r="NL32" s="5">
        <f>IF(ISERROR(LOOKUP(NL$1,$S32:$HK32,csv!$L32:$HD32)),NA(),LOOKUP(NL$1,$S32:$HK32,csv!$L32:$HD32))</f>
        <v>0</v>
      </c>
      <c r="NM32" s="5">
        <f>IF(ISERROR(LOOKUP(NM$1,$S32:$HK32,csv!$L32:$HD32)),NA(),LOOKUP(NM$1,$S32:$HK32,csv!$L32:$HD32))</f>
        <v>0</v>
      </c>
      <c r="NN32" s="5">
        <f>IF(ISERROR(LOOKUP(NN$1,$S32:$HK32,csv!$L32:$HD32)),NA(),LOOKUP(NN$1,$S32:$HK32,csv!$L32:$HD32))</f>
        <v>0</v>
      </c>
      <c r="NO32" s="5">
        <f>IF(ISERROR(LOOKUP(NO$1,$S32:$HK32,csv!$L32:$HD32)),NA(),LOOKUP(NO$1,$S32:$HK32,csv!$L32:$HD32))</f>
        <v>0</v>
      </c>
      <c r="NP32" s="5">
        <f>IF(ISERROR(LOOKUP(NP$1,$S32:$HK32,csv!$L32:$HD32)),NA(),LOOKUP(NP$1,$S32:$HK32,csv!$L32:$HD32))</f>
        <v>0</v>
      </c>
      <c r="NQ32" s="5">
        <f>IF(ISERROR(LOOKUP(NQ$1,$S32:$HK32,csv!$L32:$HD32)),NA(),LOOKUP(NQ$1,$S32:$HK32,csv!$L32:$HD32))</f>
        <v>0</v>
      </c>
      <c r="NR32" s="5">
        <f>IF(ISERROR(LOOKUP(NR$1,$S32:$HK32,csv!$L32:$HD32)),NA(),LOOKUP(NR$1,$S32:$HK32,csv!$L32:$HD32))</f>
        <v>0</v>
      </c>
      <c r="NS32" s="5">
        <f>IF(ISERROR(LOOKUP(NS$1,$S32:$HK32,csv!$L32:$HD32)),NA(),LOOKUP(NS$1,$S32:$HK32,csv!$L32:$HD32))</f>
        <v>0</v>
      </c>
      <c r="NT32" s="5">
        <f>IF(ISERROR(LOOKUP(NT$1,$S32:$HK32,csv!$L32:$HD32)),NA(),LOOKUP(NT$1,$S32:$HK32,csv!$L32:$HD32))</f>
        <v>0</v>
      </c>
      <c r="NU32" s="5">
        <f>IF(ISERROR(LOOKUP(NU$1,$S32:$HK32,csv!$L32:$HD32)),NA(),LOOKUP(NU$1,$S32:$HK32,csv!$L32:$HD32))</f>
        <v>0</v>
      </c>
      <c r="NV32" s="5">
        <f>IF(ISERROR(LOOKUP(NV$1,$S32:$HK32,csv!$L32:$HD32)),NA(),LOOKUP(NV$1,$S32:$HK32,csv!$L32:$HD32))</f>
        <v>0</v>
      </c>
      <c r="NW32" s="5">
        <f>IF(ISERROR(LOOKUP(NW$1,$S32:$HK32,csv!$L32:$HD32)),NA(),LOOKUP(NW$1,$S32:$HK32,csv!$L32:$HD32))</f>
        <v>0</v>
      </c>
      <c r="NX32" s="5">
        <f>IF(ISERROR(LOOKUP(NX$1,$S32:$HK32,csv!$L32:$HD32)),NA(),LOOKUP(NX$1,$S32:$HK32,csv!$L32:$HD32))</f>
        <v>0</v>
      </c>
      <c r="NY32" s="5">
        <f>IF(ISERROR(LOOKUP(NY$1,$S32:$HK32,csv!$L32:$HD32)),NA(),LOOKUP(NY$1,$S32:$HK32,csv!$L32:$HD32))</f>
        <v>0</v>
      </c>
      <c r="NZ32" s="5">
        <f>IF(ISERROR(LOOKUP(NZ$1,$S32:$HK32,csv!$L32:$HD32)),NA(),LOOKUP(NZ$1,$S32:$HK32,csv!$L32:$HD32))</f>
        <v>0</v>
      </c>
      <c r="OA32" s="5">
        <f>IF(ISERROR(LOOKUP(OA$1,$S32:$HK32,csv!$L32:$HD32)),NA(),LOOKUP(OA$1,$S32:$HK32,csv!$L32:$HD32))</f>
        <v>0</v>
      </c>
      <c r="OB32" s="5">
        <f>IF(ISERROR(LOOKUP(OB$1,$S32:$HK32,csv!$L32:$HD32)),NA(),LOOKUP(OB$1,$S32:$HK32,csv!$L32:$HD32))</f>
        <v>0</v>
      </c>
      <c r="OC32" s="5">
        <f>IF(ISERROR(LOOKUP(OC$1,$S32:$HK32,csv!$L32:$HD32)),NA(),LOOKUP(OC$1,$S32:$HK32,csv!$L32:$HD32))</f>
        <v>0</v>
      </c>
      <c r="OD32" s="5">
        <f>IF(ISERROR(LOOKUP(OD$1,$S32:$HK32,csv!$L32:$HD32)),NA(),LOOKUP(OD$1,$S32:$HK32,csv!$L32:$HD32))</f>
        <v>0</v>
      </c>
      <c r="OE32" s="5">
        <f>IF(ISERROR(LOOKUP(OE$1,$S32:$HK32,csv!$L32:$HD32)),NA(),LOOKUP(OE$1,$S32:$HK32,csv!$L32:$HD32))</f>
        <v>0</v>
      </c>
      <c r="OF32" s="5">
        <f>IF(ISERROR(LOOKUP(OF$1,$S32:$HK32,csv!$L32:$HD32)),NA(),LOOKUP(OF$1,$S32:$HK32,csv!$L32:$HD32))</f>
        <v>0</v>
      </c>
      <c r="OG32" s="5">
        <f>IF(ISERROR(LOOKUP(OG$1,$S32:$HK32,csv!$L32:$HD32)),NA(),LOOKUP(OG$1,$S32:$HK32,csv!$L32:$HD32))</f>
        <v>0</v>
      </c>
      <c r="OH32" s="5">
        <f>IF(ISERROR(LOOKUP(OH$1,$S32:$HK32,csv!$L32:$HD32)),NA(),LOOKUP(OH$1,$S32:$HK32,csv!$L32:$HD32))</f>
        <v>0</v>
      </c>
      <c r="OI32" s="5">
        <f>IF(ISERROR(LOOKUP(OI$1,$S32:$HK32,csv!$L32:$HD32)),NA(),LOOKUP(OI$1,$S32:$HK32,csv!$L32:$HD32))</f>
        <v>0</v>
      </c>
      <c r="OJ32" s="5">
        <f>IF(ISERROR(LOOKUP(OJ$1,$S32:$HK32,csv!$L32:$HD32)),NA(),LOOKUP(OJ$1,$S32:$HK32,csv!$L32:$HD32))</f>
        <v>0</v>
      </c>
      <c r="OK32" s="5">
        <f>IF(ISERROR(LOOKUP(OK$1,$S32:$HK32,csv!$L32:$HD32)),NA(),LOOKUP(OK$1,$S32:$HK32,csv!$L32:$HD32))</f>
        <v>0</v>
      </c>
      <c r="OL32" s="5">
        <f>IF(ISERROR(LOOKUP(OL$1,$S32:$HK32,csv!$L32:$HD32)),NA(),LOOKUP(OL$1,$S32:$HK32,csv!$L32:$HD32))</f>
        <v>0</v>
      </c>
      <c r="OM32" s="5">
        <f>IF(ISERROR(LOOKUP(OM$1,$S32:$HK32,csv!$L32:$HD32)),NA(),LOOKUP(OM$1,$S32:$HK32,csv!$L32:$HD32))</f>
        <v>0</v>
      </c>
      <c r="ON32" s="5">
        <f>IF(ISERROR(LOOKUP(ON$1,$S32:$HK32,csv!$L32:$HD32)),NA(),LOOKUP(ON$1,$S32:$HK32,csv!$L32:$HD32))</f>
        <v>0</v>
      </c>
      <c r="OO32" s="5">
        <f>IF(ISERROR(LOOKUP(OO$1,$S32:$HK32,csv!$L32:$HD32)),NA(),LOOKUP(OO$1,$S32:$HK32,csv!$L32:$HD32))</f>
        <v>0</v>
      </c>
      <c r="OP32" s="5">
        <f>IF(ISERROR(LOOKUP(OP$1,$S32:$HK32,csv!$L32:$HD32)),NA(),LOOKUP(OP$1,$S32:$HK32,csv!$L32:$HD32))</f>
        <v>0</v>
      </c>
      <c r="OQ32" s="5">
        <f>IF(ISERROR(LOOKUP(OQ$1,$S32:$HK32,csv!$L32:$HD32)),NA(),LOOKUP(OQ$1,$S32:$HK32,csv!$L32:$HD32))</f>
        <v>0</v>
      </c>
      <c r="OR32" s="5">
        <f>IF(ISERROR(LOOKUP(OR$1,$S32:$HK32,csv!$L32:$HD32)),NA(),LOOKUP(OR$1,$S32:$HK32,csv!$L32:$HD32))</f>
        <v>0</v>
      </c>
      <c r="OS32" s="5">
        <f>IF(ISERROR(LOOKUP(OS$1,$S32:$HK32,csv!$L32:$HD32)),NA(),LOOKUP(OS$1,$S32:$HK32,csv!$L32:$HD32))</f>
        <v>0</v>
      </c>
      <c r="OT32" s="5">
        <f>IF(ISERROR(LOOKUP(OT$1,$S32:$HK32,csv!$L32:$HD32)),NA(),LOOKUP(OT$1,$S32:$HK32,csv!$L32:$HD32))</f>
        <v>0</v>
      </c>
      <c r="OU32" s="5">
        <f>IF(ISERROR(LOOKUP(OU$1,$S32:$HK32,csv!$L32:$HD32)),NA(),LOOKUP(OU$1,$S32:$HK32,csv!$L32:$HD32))</f>
        <v>0</v>
      </c>
      <c r="OV32" s="5">
        <f>IF(ISERROR(LOOKUP(OV$1,$S32:$HK32,csv!$L32:$HD32)),NA(),LOOKUP(OV$1,$S32:$HK32,csv!$L32:$HD32))</f>
        <v>0</v>
      </c>
      <c r="OW32" s="5">
        <f>IF(ISERROR(LOOKUP(OW$1,$S32:$HK32,csv!$L32:$HD32)),NA(),LOOKUP(OW$1,$S32:$HK32,csv!$L32:$HD32))</f>
        <v>0</v>
      </c>
      <c r="OX32" s="5">
        <f>IF(ISERROR(LOOKUP(OX$1,$S32:$HK32,csv!$L32:$HD32)),NA(),LOOKUP(OX$1,$S32:$HK32,csv!$L32:$HD32))</f>
        <v>0</v>
      </c>
      <c r="OY32" s="5">
        <f>IF(ISERROR(LOOKUP(OY$1,$S32:$HK32,csv!$L32:$HD32)),NA(),LOOKUP(OY$1,$S32:$HK32,csv!$L32:$HD32))</f>
        <v>0</v>
      </c>
      <c r="OZ32" s="5">
        <f>IF(ISERROR(LOOKUP(OZ$1,$S32:$HK32,csv!$L32:$HD32)),NA(),LOOKUP(OZ$1,$S32:$HK32,csv!$L32:$HD32))</f>
        <v>0</v>
      </c>
      <c r="PA32" s="5">
        <f>IF(ISERROR(LOOKUP(PA$1,$S32:$HK32,csv!$L32:$HD32)),NA(),LOOKUP(PA$1,$S32:$HK32,csv!$L32:$HD32))</f>
        <v>0</v>
      </c>
      <c r="PB32" s="5">
        <f>IF(ISERROR(LOOKUP(PB$1,$S32:$HK32,csv!$L32:$HD32)),NA(),LOOKUP(PB$1,$S32:$HK32,csv!$L32:$HD32))</f>
        <v>0</v>
      </c>
      <c r="PC32" s="5">
        <f>IF(ISERROR(LOOKUP(PC$1,$S32:$HK32,csv!$L32:$HD32)),NA(),LOOKUP(PC$1,$S32:$HK32,csv!$L32:$HD32))</f>
        <v>0</v>
      </c>
      <c r="PD32" s="5">
        <f>IF(ISERROR(LOOKUP(PD$1,$S32:$HK32,csv!$L32:$HD32)),NA(),LOOKUP(PD$1,$S32:$HK32,csv!$L32:$HD32))</f>
        <v>0</v>
      </c>
      <c r="PE32" s="5">
        <f>IF(ISERROR(LOOKUP(PE$1,$S32:$HK32,csv!$L32:$HD32)),NA(),LOOKUP(PE$1,$S32:$HK32,csv!$L32:$HD32))</f>
        <v>0</v>
      </c>
      <c r="PF32" s="5">
        <f>IF(ISERROR(LOOKUP(PF$1,$S32:$HK32,csv!$L32:$HD32)),NA(),LOOKUP(PF$1,$S32:$HK32,csv!$L32:$HD32))</f>
        <v>0</v>
      </c>
      <c r="PG32" s="5">
        <f>IF(ISERROR(LOOKUP(PG$1,$S32:$HK32,csv!$L32:$HD32)),NA(),LOOKUP(PG$1,$S32:$HK32,csv!$L32:$HD32))</f>
        <v>0</v>
      </c>
      <c r="PH32" s="5">
        <f>IF(ISERROR(LOOKUP(PH$1,$S32:$HK32,csv!$L32:$HD32)),NA(),LOOKUP(PH$1,$S32:$HK32,csv!$L32:$HD32))</f>
        <v>0</v>
      </c>
      <c r="PI32" s="5">
        <f>IF(ISERROR(LOOKUP(PI$1,$S32:$HK32,csv!$L32:$HD32)),NA(),LOOKUP(PI$1,$S32:$HK32,csv!$L32:$HD32))</f>
        <v>0</v>
      </c>
      <c r="PJ32" s="5">
        <f>IF(ISERROR(LOOKUP(PJ$1,$S32:$HK32,csv!$L32:$HD32)),NA(),LOOKUP(PJ$1,$S32:$HK32,csv!$L32:$HD32))</f>
        <v>0</v>
      </c>
      <c r="PK32" s="5">
        <f>IF(ISERROR(LOOKUP(PK$1,$S32:$HK32,csv!$L32:$HD32)),NA(),LOOKUP(PK$1,$S32:$HK32,csv!$L32:$HD32))</f>
        <v>0</v>
      </c>
      <c r="PL32" s="5">
        <f>IF(ISERROR(LOOKUP(PL$1,$S32:$HK32,csv!$L32:$HD32)),NA(),LOOKUP(PL$1,$S32:$HK32,csv!$L32:$HD32))</f>
        <v>0</v>
      </c>
      <c r="PM32" s="5">
        <f>IF(ISERROR(LOOKUP(PM$1,$S32:$HK32,csv!$L32:$HD32)),NA(),LOOKUP(PM$1,$S32:$HK32,csv!$L32:$HD32))</f>
        <v>0</v>
      </c>
      <c r="PN32" s="5">
        <f>IF(ISERROR(LOOKUP(PN$1,$S32:$HK32,csv!$L32:$HD32)),NA(),LOOKUP(PN$1,$S32:$HK32,csv!$L32:$HD32))</f>
        <v>0</v>
      </c>
      <c r="PO32" s="5">
        <f>IF(ISERROR(LOOKUP(PO$1,$S32:$HK32,csv!$L32:$HD32)),NA(),LOOKUP(PO$1,$S32:$HK32,csv!$L32:$HD32))</f>
        <v>0</v>
      </c>
      <c r="PP32" s="5">
        <f>IF(ISERROR(LOOKUP(PP$1,$S32:$HK32,csv!$L32:$HD32)),NA(),LOOKUP(PP$1,$S32:$HK32,csv!$L32:$HD32))</f>
        <v>0</v>
      </c>
      <c r="PQ32" s="5">
        <f>IF(ISERROR(LOOKUP(PQ$1,$S32:$HK32,csv!$L32:$HD32)),NA(),LOOKUP(PQ$1,$S32:$HK32,csv!$L32:$HD32))</f>
        <v>0</v>
      </c>
      <c r="PR32" s="5">
        <f>IF(ISERROR(LOOKUP(PR$1,$S32:$HK32,csv!$L32:$HD32)),NA(),LOOKUP(PR$1,$S32:$HK32,csv!$L32:$HD32))</f>
        <v>0</v>
      </c>
      <c r="PS32" s="5">
        <f>IF(ISERROR(LOOKUP(PS$1,$S32:$HK32,csv!$L32:$HD32)),NA(),LOOKUP(PS$1,$S32:$HK32,csv!$L32:$HD32))</f>
        <v>0</v>
      </c>
      <c r="PT32" s="5">
        <f>IF(ISERROR(LOOKUP(PT$1,$S32:$HK32,csv!$L32:$HD32)),NA(),LOOKUP(PT$1,$S32:$HK32,csv!$L32:$HD32))</f>
        <v>0</v>
      </c>
      <c r="PU32" s="5">
        <f>IF(ISERROR(LOOKUP(PU$1,$S32:$HK32,csv!$L32:$HD32)),NA(),LOOKUP(PU$1,$S32:$HK32,csv!$L32:$HD32))</f>
        <v>0</v>
      </c>
      <c r="PV32" s="5">
        <f>IF(ISERROR(LOOKUP(PV$1,$S32:$HK32,csv!$L32:$HD32)),NA(),LOOKUP(PV$1,$S32:$HK32,csv!$L32:$HD32))</f>
        <v>0</v>
      </c>
      <c r="PW32" s="5">
        <f>IF(ISERROR(LOOKUP(PW$1,$S32:$HK32,csv!$L32:$HD32)),NA(),LOOKUP(PW$1,$S32:$HK32,csv!$L32:$HD32))</f>
        <v>0</v>
      </c>
      <c r="PX32" s="5">
        <f>IF(ISERROR(LOOKUP(PX$1,$S32:$HK32,csv!$L32:$HD32)),NA(),LOOKUP(PX$1,$S32:$HK32,csv!$L32:$HD32))</f>
        <v>0</v>
      </c>
      <c r="PY32" s="5">
        <f>IF(ISERROR(LOOKUP(PY$1,$S32:$HK32,csv!$L32:$HD32)),NA(),LOOKUP(PY$1,$S32:$HK32,csv!$L32:$HD32))</f>
        <v>0</v>
      </c>
      <c r="PZ32" s="5">
        <f>IF(ISERROR(LOOKUP(PZ$1,$S32:$HK32,csv!$L32:$HD32)),NA(),LOOKUP(PZ$1,$S32:$HK32,csv!$L32:$HD32))</f>
        <v>0</v>
      </c>
      <c r="QA32" s="5">
        <f>IF(ISERROR(LOOKUP(QA$1,$S32:$HK32,csv!$L32:$HD32)),NA(),LOOKUP(QA$1,$S32:$HK32,csv!$L32:$HD32))</f>
        <v>0</v>
      </c>
      <c r="QB32" s="5">
        <f>IF(ISERROR(LOOKUP(QB$1,$S32:$HK32,csv!$L32:$HD32)),NA(),LOOKUP(QB$1,$S32:$HK32,csv!$L32:$HD32))</f>
        <v>0</v>
      </c>
      <c r="QC32" s="5">
        <f>IF(ISERROR(LOOKUP(QC$1,$S32:$HK32,csv!$L32:$HD32)),NA(),LOOKUP(QC$1,$S32:$HK32,csv!$L32:$HD32))</f>
        <v>0</v>
      </c>
      <c r="QD32" s="5">
        <f>IF(ISERROR(LOOKUP(QD$1,$S32:$HK32,csv!$L32:$HD32)),NA(),LOOKUP(QD$1,$S32:$HK32,csv!$L32:$HD32))</f>
        <v>0</v>
      </c>
      <c r="QE32" s="5">
        <f>IF(ISERROR(LOOKUP(QE$1,$S32:$HK32,csv!$L32:$HD32)),NA(),LOOKUP(QE$1,$S32:$HK32,csv!$L32:$HD32))</f>
        <v>0</v>
      </c>
      <c r="QF32" s="5">
        <f>IF(ISERROR(LOOKUP(QF$1,$S32:$HK32,csv!$L32:$HD32)),NA(),LOOKUP(QF$1,$S32:$HK32,csv!$L32:$HD32))</f>
        <v>0</v>
      </c>
      <c r="QG32" s="5">
        <f>IF(ISERROR(LOOKUP(QG$1,$S32:$HK32,csv!$L32:$HD32)),NA(),LOOKUP(QG$1,$S32:$HK32,csv!$L32:$HD32))</f>
        <v>0</v>
      </c>
      <c r="QH32" s="5">
        <f>IF(ISERROR(LOOKUP(QH$1,$S32:$HK32,csv!$L32:$HD32)),NA(),LOOKUP(QH$1,$S32:$HK32,csv!$L32:$HD32))</f>
        <v>0</v>
      </c>
      <c r="QI32" s="5">
        <f>IF(ISERROR(LOOKUP(QI$1,$S32:$HK32,csv!$L32:$HD32)),NA(),LOOKUP(QI$1,$S32:$HK32,csv!$L32:$HD32))</f>
        <v>0</v>
      </c>
      <c r="QJ32" s="5">
        <f>IF(ISERROR(LOOKUP(QJ$1,$S32:$HK32,csv!$L32:$HD32)),NA(),LOOKUP(QJ$1,$S32:$HK32,csv!$L32:$HD32))</f>
        <v>0</v>
      </c>
      <c r="QK32" s="5">
        <f>IF(ISERROR(LOOKUP(QK$1,$S32:$HK32,csv!$L32:$HD32)),NA(),LOOKUP(QK$1,$S32:$HK32,csv!$L32:$HD32))</f>
        <v>0</v>
      </c>
      <c r="QL32" s="5">
        <f>IF(ISERROR(LOOKUP(QL$1,$S32:$HK32,csv!$L32:$HD32)),NA(),LOOKUP(QL$1,$S32:$HK32,csv!$L32:$HD32))</f>
        <v>0</v>
      </c>
      <c r="QM32" s="5">
        <f>IF(ISERROR(LOOKUP(QM$1,$S32:$HK32,csv!$L32:$HD32)),NA(),LOOKUP(QM$1,$S32:$HK32,csv!$L32:$HD32))</f>
        <v>0</v>
      </c>
      <c r="QN32" s="5">
        <f>IF(ISERROR(LOOKUP(QN$1,$S32:$HK32,csv!$L32:$HD32)),NA(),LOOKUP(QN$1,$S32:$HK32,csv!$L32:$HD32))</f>
        <v>0</v>
      </c>
      <c r="QO32" s="5">
        <f>IF(ISERROR(LOOKUP(QO$1,$S32:$HK32,csv!$L32:$HD32)),NA(),LOOKUP(QO$1,$S32:$HK32,csv!$L32:$HD32))</f>
        <v>0</v>
      </c>
      <c r="QP32" s="5">
        <f>IF(ISERROR(LOOKUP(QP$1,$S32:$HK32,csv!$L32:$HD32)),NA(),LOOKUP(QP$1,$S32:$HK32,csv!$L32:$HD32))</f>
        <v>0</v>
      </c>
      <c r="QQ32" s="5">
        <f>IF(ISERROR(LOOKUP(QQ$1,$S32:$HK32,csv!$L32:$HD32)),NA(),LOOKUP(QQ$1,$S32:$HK32,csv!$L32:$HD32))</f>
        <v>0</v>
      </c>
      <c r="QR32" s="5">
        <f>IF(ISERROR(LOOKUP(QR$1,$S32:$HK32,csv!$L32:$HD32)),NA(),LOOKUP(QR$1,$S32:$HK32,csv!$L32:$HD32))</f>
        <v>0</v>
      </c>
      <c r="QS32" s="5">
        <f>IF(ISERROR(LOOKUP(QS$1,$S32:$HK32,csv!$L32:$HD32)),NA(),LOOKUP(QS$1,$S32:$HK32,csv!$L32:$HD32))</f>
        <v>0</v>
      </c>
      <c r="QT32" s="5">
        <f>IF(ISERROR(LOOKUP(QT$1,$S32:$HK32,csv!$L32:$HD32)),NA(),LOOKUP(QT$1,$S32:$HK32,csv!$L32:$HD32))</f>
        <v>0</v>
      </c>
      <c r="QU32" s="5">
        <f>IF(ISERROR(LOOKUP(QU$1,$S32:$HK32,csv!$L32:$HD32)),NA(),LOOKUP(QU$1,$S32:$HK32,csv!$L32:$HD32))</f>
        <v>0</v>
      </c>
      <c r="QV32" s="5">
        <f>IF(ISERROR(LOOKUP(QV$1,$S32:$HK32,csv!$L32:$HD32)),NA(),LOOKUP(QV$1,$S32:$HK32,csv!$L32:$HD32))</f>
        <v>0</v>
      </c>
      <c r="QW32" s="5">
        <f>IF(ISERROR(LOOKUP(QW$1,$S32:$HK32,csv!$L32:$HD32)),NA(),LOOKUP(QW$1,$S32:$HK32,csv!$L32:$HD32))</f>
        <v>0</v>
      </c>
      <c r="QX32" s="5">
        <f>IF(ISERROR(LOOKUP(QX$1,$S32:$HK32,csv!$L32:$HD32)),NA(),LOOKUP(QX$1,$S32:$HK32,csv!$L32:$HD32))</f>
        <v>0</v>
      </c>
      <c r="QY32" s="5">
        <f>IF(ISERROR(LOOKUP(QY$1,$S32:$HK32,csv!$L32:$HD32)),NA(),LOOKUP(QY$1,$S32:$HK32,csv!$L32:$HD32))</f>
        <v>0</v>
      </c>
      <c r="QZ32" s="5">
        <f>IF(ISERROR(LOOKUP(QZ$1,$S32:$HK32,csv!$L32:$HD32)),NA(),LOOKUP(QZ$1,$S32:$HK32,csv!$L32:$HD32))</f>
        <v>0</v>
      </c>
      <c r="RA32" s="5">
        <f>IF(ISERROR(LOOKUP(RA$1,$S32:$HK32,csv!$L32:$HD32)),NA(),LOOKUP(RA$1,$S32:$HK32,csv!$L32:$HD32))</f>
        <v>0</v>
      </c>
      <c r="RB32" s="5">
        <f>IF(ISERROR(LOOKUP(RB$1,$S32:$HK32,csv!$L32:$HD32)),NA(),LOOKUP(RB$1,$S32:$HK32,csv!$L32:$HD32))</f>
        <v>0</v>
      </c>
      <c r="RC32" s="5">
        <f>IF(ISERROR(LOOKUP(RC$1,$S32:$HK32,csv!$L32:$HD32)),NA(),LOOKUP(RC$1,$S32:$HK32,csv!$L32:$HD32))</f>
        <v>0</v>
      </c>
      <c r="RD32" s="5">
        <f>IF(ISERROR(LOOKUP(RD$1,$S32:$HK32,csv!$L32:$HD32)),NA(),LOOKUP(RD$1,$S32:$HK32,csv!$L32:$HD32))</f>
        <v>0</v>
      </c>
      <c r="RE32" s="5">
        <f>IF(ISERROR(LOOKUP(RE$1,$S32:$HK32,csv!$L32:$HD32)),NA(),LOOKUP(RE$1,$S32:$HK32,csv!$L32:$HD32))</f>
        <v>0</v>
      </c>
      <c r="RF32" s="5">
        <f>IF(ISERROR(LOOKUP(RF$1,$S32:$HK32,csv!$L32:$HD32)),NA(),LOOKUP(RF$1,$S32:$HK32,csv!$L32:$HD32))</f>
        <v>0</v>
      </c>
      <c r="RG32" s="5">
        <f>IF(ISERROR(LOOKUP(RG$1,$S32:$HK32,csv!$L32:$HD32)),NA(),LOOKUP(RG$1,$S32:$HK32,csv!$L32:$HD32))</f>
        <v>0</v>
      </c>
      <c r="RH32" s="5">
        <f>IF(ISERROR(LOOKUP(RH$1,$S32:$HK32,csv!$L32:$HD32)),NA(),LOOKUP(RH$1,$S32:$HK32,csv!$L32:$HD32))</f>
        <v>0</v>
      </c>
      <c r="RI32" s="5">
        <f>IF(ISERROR(LOOKUP(RI$1,$S32:$HK32,csv!$L32:$HD32)),NA(),LOOKUP(RI$1,$S32:$HK32,csv!$L32:$HD32))</f>
        <v>0</v>
      </c>
      <c r="RJ32" s="5">
        <f>IF(ISERROR(LOOKUP(RJ$1,$S32:$HK32,csv!$L32:$HD32)),NA(),LOOKUP(RJ$1,$S32:$HK32,csv!$L32:$HD32))</f>
        <v>0</v>
      </c>
      <c r="RK32" s="5">
        <f>IF(ISERROR(LOOKUP(RK$1,$S32:$HK32,csv!$L32:$HD32)),NA(),LOOKUP(RK$1,$S32:$HK32,csv!$L32:$HD32))</f>
        <v>0</v>
      </c>
      <c r="RL32" s="5">
        <f>IF(ISERROR(LOOKUP(RL$1,$S32:$HK32,csv!$L32:$HD32)),NA(),LOOKUP(RL$1,$S32:$HK32,csv!$L32:$HD32))</f>
        <v>0</v>
      </c>
      <c r="RM32" s="5">
        <f>IF(ISERROR(LOOKUP(RM$1,$S32:$HK32,csv!$L32:$HD32)),NA(),LOOKUP(RM$1,$S32:$HK32,csv!$L32:$HD32))</f>
        <v>0</v>
      </c>
      <c r="RN32" s="5">
        <f>IF(ISERROR(LOOKUP(RN$1,$S32:$HK32,csv!$L32:$HD32)),NA(),LOOKUP(RN$1,$S32:$HK32,csv!$L32:$HD32))</f>
        <v>0</v>
      </c>
      <c r="RO32" s="5">
        <f>IF(ISERROR(LOOKUP(RO$1,$S32:$HK32,csv!$L32:$HD32)),NA(),LOOKUP(RO$1,$S32:$HK32,csv!$L32:$HD32))</f>
        <v>0</v>
      </c>
      <c r="RP32" s="5">
        <f>IF(ISERROR(LOOKUP(RP$1,$S32:$HK32,csv!$L32:$HD32)),NA(),LOOKUP(RP$1,$S32:$HK32,csv!$L32:$HD32))</f>
        <v>0</v>
      </c>
      <c r="RQ32" s="5">
        <f>IF(ISERROR(LOOKUP(RQ$1,$S32:$HK32,csv!$L32:$HD32)),NA(),LOOKUP(RQ$1,$S32:$HK32,csv!$L32:$HD32))</f>
        <v>0</v>
      </c>
      <c r="RR32" s="5">
        <f>IF(ISERROR(LOOKUP(RR$1,$S32:$HK32,csv!$L32:$HD32)),NA(),LOOKUP(RR$1,$S32:$HK32,csv!$L32:$HD32))</f>
        <v>0</v>
      </c>
      <c r="RS32" s="5">
        <f>IF(ISERROR(LOOKUP(RS$1,$S32:$HK32,csv!$L32:$HD32)),NA(),LOOKUP(RS$1,$S32:$HK32,csv!$L32:$HD32))</f>
        <v>0</v>
      </c>
      <c r="RT32" s="5">
        <f>IF(ISERROR(LOOKUP(RT$1,$S32:$HK32,csv!$L32:$HD32)),NA(),LOOKUP(RT$1,$S32:$HK32,csv!$L32:$HD32))</f>
        <v>0</v>
      </c>
      <c r="RU32" s="5">
        <f>IF(ISERROR(LOOKUP(RU$1,$S32:$HK32,csv!$L32:$HD32)),NA(),LOOKUP(RU$1,$S32:$HK32,csv!$L32:$HD32))</f>
        <v>0</v>
      </c>
      <c r="RV32" s="5">
        <f>IF(ISERROR(LOOKUP(RV$1,$S32:$HK32,csv!$L32:$HD32)),NA(),LOOKUP(RV$1,$S32:$HK32,csv!$L32:$HD32))</f>
        <v>0</v>
      </c>
      <c r="RW32" s="5">
        <f>IF(ISERROR(LOOKUP(RW$1,$S32:$HK32,csv!$L32:$HD32)),NA(),LOOKUP(RW$1,$S32:$HK32,csv!$L32:$HD32))</f>
        <v>0</v>
      </c>
      <c r="RX32" s="5">
        <f>IF(ISERROR(LOOKUP(RX$1,$S32:$HK32,csv!$L32:$HD32)),NA(),LOOKUP(RX$1,$S32:$HK32,csv!$L32:$HD32))</f>
        <v>0</v>
      </c>
      <c r="RY32" s="5">
        <f>IF(ISERROR(LOOKUP(RY$1,$S32:$HK32,csv!$L32:$HD32)),NA(),LOOKUP(RY$1,$S32:$HK32,csv!$L32:$HD32))</f>
        <v>0</v>
      </c>
      <c r="RZ32" s="5">
        <f>IF(ISERROR(LOOKUP(RZ$1,$S32:$HK32,csv!$L32:$HD32)),NA(),LOOKUP(RZ$1,$S32:$HK32,csv!$L32:$HD32))</f>
        <v>0</v>
      </c>
      <c r="SA32" s="5">
        <f>IF(ISERROR(LOOKUP(SA$1,$S32:$HK32,csv!$L32:$HD32)),NA(),LOOKUP(SA$1,$S32:$HK32,csv!$L32:$HD32))</f>
        <v>0</v>
      </c>
      <c r="SB32" s="5">
        <f>IF(ISERROR(LOOKUP(SB$1,$S32:$HK32,csv!$L32:$HD32)),NA(),LOOKUP(SB$1,$S32:$HK32,csv!$L32:$HD32))</f>
        <v>0</v>
      </c>
      <c r="SC32" s="5">
        <f>IF(ISERROR(LOOKUP(SC$1,$S32:$HK32,csv!$L32:$HD32)),NA(),LOOKUP(SC$1,$S32:$HK32,csv!$L32:$HD32))</f>
        <v>0</v>
      </c>
      <c r="SD32" s="5">
        <f>IF(ISERROR(LOOKUP(SD$1,$S32:$HK32,csv!$L32:$HD32)),NA(),LOOKUP(SD$1,$S32:$HK32,csv!$L32:$HD32))</f>
        <v>0</v>
      </c>
      <c r="SE32" s="5">
        <f>IF(ISERROR(LOOKUP(SE$1,$S32:$HK32,csv!$L32:$HD32)),NA(),LOOKUP(SE$1,$S32:$HK32,csv!$L32:$HD32))</f>
        <v>0</v>
      </c>
      <c r="SF32" s="5">
        <f>IF(ISERROR(LOOKUP(SF$1,$S32:$HK32,csv!$L32:$HD32)),NA(),LOOKUP(SF$1,$S32:$HK32,csv!$L32:$HD32))</f>
        <v>0</v>
      </c>
      <c r="SG32" s="5">
        <f>IF(ISERROR(LOOKUP(SG$1,$S32:$HK32,csv!$L32:$HD32)),NA(),LOOKUP(SG$1,$S32:$HK32,csv!$L32:$HD32))</f>
        <v>0</v>
      </c>
      <c r="SH32" s="5">
        <f>IF(ISERROR(LOOKUP(SH$1,$S32:$HK32,csv!$L32:$HD32)),NA(),LOOKUP(SH$1,$S32:$HK32,csv!$L32:$HD32))</f>
        <v>0</v>
      </c>
      <c r="SI32" s="5">
        <f>IF(ISERROR(LOOKUP(SI$1,$S32:$HK32,csv!$L32:$HD32)),NA(),LOOKUP(SI$1,$S32:$HK32,csv!$L32:$HD32))</f>
        <v>0</v>
      </c>
      <c r="SJ32" s="5">
        <f>IF(ISERROR(LOOKUP(SJ$1,$S32:$HK32,csv!$L32:$HD32)),NA(),LOOKUP(SJ$1,$S32:$HK32,csv!$L32:$HD32))</f>
        <v>0</v>
      </c>
      <c r="SK32" s="5">
        <f>IF(ISERROR(LOOKUP(SK$1,$S32:$HK32,csv!$L32:$HD32)),NA(),LOOKUP(SK$1,$S32:$HK32,csv!$L32:$HD32))</f>
        <v>0</v>
      </c>
      <c r="SL32" s="5">
        <f>IF(ISERROR(LOOKUP(SL$1,$S32:$HK32,csv!$L32:$HD32)),NA(),LOOKUP(SL$1,$S32:$HK32,csv!$L32:$HD32))</f>
        <v>0</v>
      </c>
      <c r="SM32" s="5">
        <f>IF(ISERROR(LOOKUP(SM$1,$S32:$HK32,csv!$L32:$HD32)),NA(),LOOKUP(SM$1,$S32:$HK32,csv!$L32:$HD32))</f>
        <v>0</v>
      </c>
      <c r="SN32" s="5">
        <f>IF(ISERROR(LOOKUP(SN$1,$S32:$HK32,csv!$L32:$HD32)),NA(),LOOKUP(SN$1,$S32:$HK32,csv!$L32:$HD32))</f>
        <v>0</v>
      </c>
      <c r="SO32" s="5">
        <f>IF(ISERROR(LOOKUP(SO$1,$S32:$HK32,csv!$L32:$HD32)),NA(),LOOKUP(SO$1,$S32:$HK32,csv!$L32:$HD32))</f>
        <v>0</v>
      </c>
      <c r="SP32" s="5">
        <f>IF(ISERROR(LOOKUP(SP$1,$S32:$HK32,csv!$L32:$HD32)),NA(),LOOKUP(SP$1,$S32:$HK32,csv!$L32:$HD32))</f>
        <v>0</v>
      </c>
      <c r="SQ32" s="5">
        <f>IF(ISERROR(LOOKUP(SQ$1,$S32:$HK32,csv!$L32:$HD32)),NA(),LOOKUP(SQ$1,$S32:$HK32,csv!$L32:$HD32))</f>
        <v>0</v>
      </c>
      <c r="SR32" s="5">
        <f>IF(ISERROR(LOOKUP(SR$1,$S32:$HK32,csv!$L32:$HD32)),NA(),LOOKUP(SR$1,$S32:$HK32,csv!$L32:$HD32))</f>
        <v>0</v>
      </c>
      <c r="SS32" s="5">
        <f>IF(ISERROR(LOOKUP(SS$1,$S32:$HK32,csv!$L32:$HD32)),NA(),LOOKUP(SS$1,$S32:$HK32,csv!$L32:$HD32))</f>
        <v>0</v>
      </c>
      <c r="ST32" s="5">
        <f>IF(ISERROR(LOOKUP(ST$1,$S32:$HK32,csv!$L32:$HD32)),NA(),LOOKUP(ST$1,$S32:$HK32,csv!$L32:$HD32))</f>
        <v>0</v>
      </c>
      <c r="SU32" s="5">
        <f>IF(ISERROR(LOOKUP(SU$1,$S32:$HK32,csv!$L32:$HD32)),NA(),LOOKUP(SU$1,$S32:$HK32,csv!$L32:$HD32))</f>
        <v>0</v>
      </c>
      <c r="SV32" s="5">
        <f>IF(ISERROR(LOOKUP(SV$1,$S32:$HK32,csv!$L32:$HD32)),NA(),LOOKUP(SV$1,$S32:$HK32,csv!$L32:$HD32))</f>
        <v>0</v>
      </c>
      <c r="SW32" s="5">
        <f>IF(ISERROR(LOOKUP(SW$1,$S32:$HK32,csv!$L32:$HD32)),NA(),LOOKUP(SW$1,$S32:$HK32,csv!$L32:$HD32))</f>
        <v>0</v>
      </c>
      <c r="SX32" s="5">
        <f>IF(ISERROR(LOOKUP(SX$1,$S32:$HK32,csv!$L32:$HD32)),NA(),LOOKUP(SX$1,$S32:$HK32,csv!$L32:$HD32))</f>
        <v>0</v>
      </c>
      <c r="SY32" s="5">
        <f>IF(ISERROR(LOOKUP(SY$1,$S32:$HK32,csv!$L32:$HD32)),NA(),LOOKUP(SY$1,$S32:$HK32,csv!$L32:$HD32))</f>
        <v>0</v>
      </c>
      <c r="SZ32" s="5">
        <f>IF(ISERROR(LOOKUP(SZ$1,$S32:$HK32,csv!$L32:$HD32)),NA(),LOOKUP(SZ$1,$S32:$HK32,csv!$L32:$HD32))</f>
        <v>0</v>
      </c>
      <c r="TA32" s="5">
        <f>IF(ISERROR(LOOKUP(TA$1,$S32:$HK32,csv!$L32:$HD32)),NA(),LOOKUP(TA$1,$S32:$HK32,csv!$L32:$HD32))</f>
        <v>0</v>
      </c>
      <c r="TB32" s="5">
        <f>IF(ISERROR(LOOKUP(TB$1,$S32:$HK32,csv!$L32:$HD32)),NA(),LOOKUP(TB$1,$S32:$HK32,csv!$L32:$HD32))</f>
        <v>0</v>
      </c>
      <c r="TD32">
        <f>csv!HG32/10</f>
        <v>0</v>
      </c>
    </row>
    <row r="33" spans="19:525" x14ac:dyDescent="0.15">
      <c r="S33" s="4">
        <f>ROUND((csv!$HG33/10+calc!S$1),1)</f>
        <v>-10</v>
      </c>
      <c r="T33" s="4">
        <f>ROUND((csv!$HG33/10+calc!T$1),1)</f>
        <v>-9.9</v>
      </c>
      <c r="U33" s="4">
        <f>ROUND((csv!$HG33/10+calc!U$1),1)</f>
        <v>-9.8000000000000007</v>
      </c>
      <c r="V33" s="4">
        <f>ROUND((csv!$HG33/10+calc!V$1),1)</f>
        <v>-9.6999999999999993</v>
      </c>
      <c r="W33" s="4">
        <f>ROUND((csv!$HG33/10+calc!W$1),1)</f>
        <v>-9.6</v>
      </c>
      <c r="X33" s="4">
        <f>ROUND((csv!$HG33/10+calc!X$1),1)</f>
        <v>-9.5</v>
      </c>
      <c r="Y33" s="4">
        <f>ROUND((csv!$HG33/10+calc!Y$1),1)</f>
        <v>-9.4</v>
      </c>
      <c r="Z33" s="4">
        <f>ROUND((csv!$HG33/10+calc!Z$1),1)</f>
        <v>-9.3000000000000007</v>
      </c>
      <c r="AA33" s="4">
        <f>ROUND((csv!$HG33/10+calc!AA$1),1)</f>
        <v>-9.1999999999999993</v>
      </c>
      <c r="AB33" s="4">
        <f>ROUND((csv!$HG33/10+calc!AB$1),1)</f>
        <v>-9.1</v>
      </c>
      <c r="AC33" s="4">
        <f>ROUND((csv!$HG33/10+calc!AC$1),1)</f>
        <v>-9</v>
      </c>
      <c r="AD33" s="4">
        <f>ROUND((csv!$HG33/10+calc!AD$1),1)</f>
        <v>-8.9</v>
      </c>
      <c r="AE33" s="4">
        <f>ROUND((csv!$HG33/10+calc!AE$1),1)</f>
        <v>-8.8000000000000007</v>
      </c>
      <c r="AF33" s="4">
        <f>ROUND((csv!$HG33/10+calc!AF$1),1)</f>
        <v>-8.6999999999999993</v>
      </c>
      <c r="AG33" s="4">
        <f>ROUND((csv!$HG33/10+calc!AG$1),1)</f>
        <v>-8.6</v>
      </c>
      <c r="AH33" s="4">
        <f>ROUND((csv!$HG33/10+calc!AH$1),1)</f>
        <v>-8.5</v>
      </c>
      <c r="AI33" s="4">
        <f>ROUND((csv!$HG33/10+calc!AI$1),1)</f>
        <v>-8.4</v>
      </c>
      <c r="AJ33" s="4">
        <f>ROUND((csv!$HG33/10+calc!AJ$1),1)</f>
        <v>-8.3000000000000007</v>
      </c>
      <c r="AK33" s="4">
        <f>ROUND((csv!$HG33/10+calc!AK$1),1)</f>
        <v>-8.1999999999999993</v>
      </c>
      <c r="AL33" s="4">
        <f>ROUND((csv!$HG33/10+calc!AL$1),1)</f>
        <v>-8.1</v>
      </c>
      <c r="AM33" s="4">
        <f>ROUND((csv!$HG33/10+calc!AM$1),1)</f>
        <v>-8</v>
      </c>
      <c r="AN33" s="4">
        <f>ROUND((csv!$HG33/10+calc!AN$1),1)</f>
        <v>-7.9</v>
      </c>
      <c r="AO33" s="4">
        <f>ROUND((csv!$HG33/10+calc!AO$1),1)</f>
        <v>-7.8</v>
      </c>
      <c r="AP33" s="4">
        <f>ROUND((csv!$HG33/10+calc!AP$1),1)</f>
        <v>-7.7</v>
      </c>
      <c r="AQ33" s="4">
        <f>ROUND((csv!$HG33/10+calc!AQ$1),1)</f>
        <v>-7.6</v>
      </c>
      <c r="AR33" s="4">
        <f>ROUND((csv!$HG33/10+calc!AR$1),1)</f>
        <v>-7.5</v>
      </c>
      <c r="AS33" s="4">
        <f>ROUND((csv!$HG33/10+calc!AS$1),1)</f>
        <v>-7.4</v>
      </c>
      <c r="AT33" s="4">
        <f>ROUND((csv!$HG33/10+calc!AT$1),1)</f>
        <v>-7.3</v>
      </c>
      <c r="AU33" s="4">
        <f>ROUND((csv!$HG33/10+calc!AU$1),1)</f>
        <v>-7.2</v>
      </c>
      <c r="AV33" s="4">
        <f>ROUND((csv!$HG33/10+calc!AV$1),1)</f>
        <v>-7.1</v>
      </c>
      <c r="AW33" s="4">
        <f>ROUND((csv!$HG33/10+calc!AW$1),1)</f>
        <v>-7</v>
      </c>
      <c r="AX33" s="4">
        <f>ROUND((csv!$HG33/10+calc!AX$1),1)</f>
        <v>-6.9</v>
      </c>
      <c r="AY33" s="4">
        <f>ROUND((csv!$HG33/10+calc!AY$1),1)</f>
        <v>-6.8</v>
      </c>
      <c r="AZ33" s="4">
        <f>ROUND((csv!$HG33/10+calc!AZ$1),1)</f>
        <v>-6.7</v>
      </c>
      <c r="BA33" s="4">
        <f>ROUND((csv!$HG33/10+calc!BA$1),1)</f>
        <v>-6.6</v>
      </c>
      <c r="BB33" s="4">
        <f>ROUND((csv!$HG33/10+calc!BB$1),1)</f>
        <v>-6.5</v>
      </c>
      <c r="BC33" s="4">
        <f>ROUND((csv!$HG33/10+calc!BC$1),1)</f>
        <v>-6.4</v>
      </c>
      <c r="BD33" s="4">
        <f>ROUND((csv!$HG33/10+calc!BD$1),1)</f>
        <v>-6.3</v>
      </c>
      <c r="BE33" s="4">
        <f>ROUND((csv!$HG33/10+calc!BE$1),1)</f>
        <v>-6.2</v>
      </c>
      <c r="BF33" s="4">
        <f>ROUND((csv!$HG33/10+calc!BF$1),1)</f>
        <v>-6.1</v>
      </c>
      <c r="BG33" s="4">
        <f>ROUND((csv!$HG33/10+calc!BG$1),1)</f>
        <v>-6</v>
      </c>
      <c r="BH33" s="4">
        <f>ROUND((csv!$HG33/10+calc!BH$1),1)</f>
        <v>-5.9</v>
      </c>
      <c r="BI33" s="4">
        <f>ROUND((csv!$HG33/10+calc!BI$1),1)</f>
        <v>-5.8</v>
      </c>
      <c r="BJ33" s="4">
        <f>ROUND((csv!$HG33/10+calc!BJ$1),1)</f>
        <v>-5.7</v>
      </c>
      <c r="BK33" s="4">
        <f>ROUND((csv!$HG33/10+calc!BK$1),1)</f>
        <v>-5.6</v>
      </c>
      <c r="BL33" s="4">
        <f>ROUND((csv!$HG33/10+calc!BL$1),1)</f>
        <v>-5.5</v>
      </c>
      <c r="BM33" s="4">
        <f>ROUND((csv!$HG33/10+calc!BM$1),1)</f>
        <v>-5.4</v>
      </c>
      <c r="BN33" s="4">
        <f>ROUND((csv!$HG33/10+calc!BN$1),1)</f>
        <v>-5.3</v>
      </c>
      <c r="BO33" s="4">
        <f>ROUND((csv!$HG33/10+calc!BO$1),1)</f>
        <v>-5.2</v>
      </c>
      <c r="BP33" s="4">
        <f>ROUND((csv!$HG33/10+calc!BP$1),1)</f>
        <v>-5.0999999999999996</v>
      </c>
      <c r="BQ33" s="4">
        <f>ROUND((csv!$HG33/10+calc!BQ$1),1)</f>
        <v>-5</v>
      </c>
      <c r="BR33" s="4">
        <f>ROUND((csv!$HG33/10+calc!BR$1),1)</f>
        <v>-4.9000000000000004</v>
      </c>
      <c r="BS33" s="4">
        <f>ROUND((csv!$HG33/10+calc!BS$1),1)</f>
        <v>-4.8</v>
      </c>
      <c r="BT33" s="4">
        <f>ROUND((csv!$HG33/10+calc!BT$1),1)</f>
        <v>-4.7</v>
      </c>
      <c r="BU33" s="4">
        <f>ROUND((csv!$HG33/10+calc!BU$1),1)</f>
        <v>-4.5999999999999996</v>
      </c>
      <c r="BV33" s="4">
        <f>ROUND((csv!$HG33/10+calc!BV$1),1)</f>
        <v>-4.5</v>
      </c>
      <c r="BW33" s="4">
        <f>ROUND((csv!$HG33/10+calc!BW$1),1)</f>
        <v>-4.4000000000000004</v>
      </c>
      <c r="BX33" s="4">
        <f>ROUND((csv!$HG33/10+calc!BX$1),1)</f>
        <v>-4.3</v>
      </c>
      <c r="BY33" s="4">
        <f>ROUND((csv!$HG33/10+calc!BY$1),1)</f>
        <v>-4.2</v>
      </c>
      <c r="BZ33" s="4">
        <f>ROUND((csv!$HG33/10+calc!BZ$1),1)</f>
        <v>-4.0999999999999996</v>
      </c>
      <c r="CA33" s="4">
        <f>ROUND((csv!$HG33/10+calc!CA$1),1)</f>
        <v>-4</v>
      </c>
      <c r="CB33" s="4">
        <f>ROUND((csv!$HG33/10+calc!CB$1),1)</f>
        <v>-3.9</v>
      </c>
      <c r="CC33" s="4">
        <f>ROUND((csv!$HG33/10+calc!CC$1),1)</f>
        <v>-3.8</v>
      </c>
      <c r="CD33" s="4">
        <f>ROUND((csv!$HG33/10+calc!CD$1),1)</f>
        <v>-3.7</v>
      </c>
      <c r="CE33" s="4">
        <f>ROUND((csv!$HG33/10+calc!CE$1),1)</f>
        <v>-3.6</v>
      </c>
      <c r="CF33" s="4">
        <f>ROUND((csv!$HG33/10+calc!CF$1),1)</f>
        <v>-3.5</v>
      </c>
      <c r="CG33" s="4">
        <f>ROUND((csv!$HG33/10+calc!CG$1),1)</f>
        <v>-3.4</v>
      </c>
      <c r="CH33" s="4">
        <f>ROUND((csv!$HG33/10+calc!CH$1),1)</f>
        <v>-3.3</v>
      </c>
      <c r="CI33" s="4">
        <f>ROUND((csv!$HG33/10+calc!CI$1),1)</f>
        <v>-3.2</v>
      </c>
      <c r="CJ33" s="4">
        <f>ROUND((csv!$HG33/10+calc!CJ$1),1)</f>
        <v>-3.1</v>
      </c>
      <c r="CK33" s="4">
        <f>ROUND((csv!$HG33/10+calc!CK$1),1)</f>
        <v>-3</v>
      </c>
      <c r="CL33" s="4">
        <f>ROUND((csv!$HG33/10+calc!CL$1),1)</f>
        <v>-2.9</v>
      </c>
      <c r="CM33" s="4">
        <f>ROUND((csv!$HG33/10+calc!CM$1),1)</f>
        <v>-2.8</v>
      </c>
      <c r="CN33" s="4">
        <f>ROUND((csv!$HG33/10+calc!CN$1),1)</f>
        <v>-2.7</v>
      </c>
      <c r="CO33" s="4">
        <f>ROUND((csv!$HG33/10+calc!CO$1),1)</f>
        <v>-2.6</v>
      </c>
      <c r="CP33" s="4">
        <f>ROUND((csv!$HG33/10+calc!CP$1),1)</f>
        <v>-2.5</v>
      </c>
      <c r="CQ33" s="4">
        <f>ROUND((csv!$HG33/10+calc!CQ$1),1)</f>
        <v>-2.4</v>
      </c>
      <c r="CR33" s="4">
        <f>ROUND((csv!$HG33/10+calc!CR$1),1)</f>
        <v>-2.2999999999999998</v>
      </c>
      <c r="CS33" s="4">
        <f>ROUND((csv!$HG33/10+calc!CS$1),1)</f>
        <v>-2.2000000000000002</v>
      </c>
      <c r="CT33" s="4">
        <f>ROUND((csv!$HG33/10+calc!CT$1),1)</f>
        <v>-2.1</v>
      </c>
      <c r="CU33" s="4">
        <f>ROUND((csv!$HG33/10+calc!CU$1),1)</f>
        <v>-2</v>
      </c>
      <c r="CV33" s="4">
        <f>ROUND((csv!$HG33/10+calc!CV$1),1)</f>
        <v>-1.9</v>
      </c>
      <c r="CW33" s="4">
        <f>ROUND((csv!$HG33/10+calc!CW$1),1)</f>
        <v>-1.8</v>
      </c>
      <c r="CX33" s="4">
        <f>ROUND((csv!$HG33/10+calc!CX$1),1)</f>
        <v>-1.7</v>
      </c>
      <c r="CY33" s="4">
        <f>ROUND((csv!$HG33/10+calc!CY$1),1)</f>
        <v>-1.6</v>
      </c>
      <c r="CZ33" s="4">
        <f>ROUND((csv!$HG33/10+calc!CZ$1),1)</f>
        <v>-1.5</v>
      </c>
      <c r="DA33" s="4">
        <f>ROUND((csv!$HG33/10+calc!DA$1),1)</f>
        <v>-1.4</v>
      </c>
      <c r="DB33" s="4">
        <f>ROUND((csv!$HG33/10+calc!DB$1),1)</f>
        <v>-1.3</v>
      </c>
      <c r="DC33" s="4">
        <f>ROUND((csv!$HG33/10+calc!DC$1),1)</f>
        <v>-1.2</v>
      </c>
      <c r="DD33" s="4">
        <f>ROUND((csv!$HG33/10+calc!DD$1),1)</f>
        <v>-1.1000000000000001</v>
      </c>
      <c r="DE33" s="4">
        <f>ROUND((csv!$HG33/10+calc!DE$1),1)</f>
        <v>-1</v>
      </c>
      <c r="DF33" s="4">
        <f>ROUND((csv!$HG33/10+calc!DF$1),1)</f>
        <v>-0.9</v>
      </c>
      <c r="DG33" s="4">
        <f>ROUND((csv!$HG33/10+calc!DG$1),1)</f>
        <v>-0.8</v>
      </c>
      <c r="DH33" s="4">
        <f>ROUND((csv!$HG33/10+calc!DH$1),1)</f>
        <v>-0.7</v>
      </c>
      <c r="DI33" s="4">
        <f>ROUND((csv!$HG33/10+calc!DI$1),1)</f>
        <v>-0.6</v>
      </c>
      <c r="DJ33" s="4">
        <f>ROUND((csv!$HG33/10+calc!DJ$1),1)</f>
        <v>-0.5</v>
      </c>
      <c r="DK33" s="4">
        <f>ROUND((csv!$HG33/10+calc!DK$1),1)</f>
        <v>-0.4</v>
      </c>
      <c r="DL33" s="4">
        <f>ROUND((csv!$HG33/10+calc!DL$1),1)</f>
        <v>-0.3</v>
      </c>
      <c r="DM33" s="4">
        <f>ROUND((csv!$HG33/10+calc!DM$1),1)</f>
        <v>-0.2</v>
      </c>
      <c r="DN33" s="4">
        <f>ROUND((csv!$HG33/10+calc!DN$1),1)</f>
        <v>-0.1</v>
      </c>
      <c r="DO33" s="4">
        <f>ROUND((csv!$HG33/10+calc!DO$1),1)</f>
        <v>0</v>
      </c>
      <c r="DP33" s="4">
        <f>ROUND((csv!$HG33/10+calc!DP$1),1)</f>
        <v>0.1</v>
      </c>
      <c r="DQ33" s="4">
        <f>ROUND((csv!$HG33/10+calc!DQ$1),1)</f>
        <v>0.2</v>
      </c>
      <c r="DR33" s="4">
        <f>ROUND((csv!$HG33/10+calc!DR$1),1)</f>
        <v>0.3</v>
      </c>
      <c r="DS33" s="4">
        <f>ROUND((csv!$HG33/10+calc!DS$1),1)</f>
        <v>0.4</v>
      </c>
      <c r="DT33" s="4">
        <f>ROUND((csv!$HG33/10+calc!DT$1),1)</f>
        <v>0.5</v>
      </c>
      <c r="DU33" s="4">
        <f>ROUND((csv!$HG33/10+calc!DU$1),1)</f>
        <v>0.6</v>
      </c>
      <c r="DV33" s="4">
        <f>ROUND((csv!$HG33/10+calc!DV$1),1)</f>
        <v>0.7</v>
      </c>
      <c r="DW33" s="4">
        <f>ROUND((csv!$HG33/10+calc!DW$1),1)</f>
        <v>0.8</v>
      </c>
      <c r="DX33" s="4">
        <f>ROUND((csv!$HG33/10+calc!DX$1),1)</f>
        <v>0.9</v>
      </c>
      <c r="DY33" s="4">
        <f>ROUND((csv!$HG33/10+calc!DY$1),1)</f>
        <v>1</v>
      </c>
      <c r="DZ33" s="4">
        <f>ROUND((csv!$HG33/10+calc!DZ$1),1)</f>
        <v>1.1000000000000001</v>
      </c>
      <c r="EA33" s="4">
        <f>ROUND((csv!$HG33/10+calc!EA$1),1)</f>
        <v>1.2</v>
      </c>
      <c r="EB33" s="4">
        <f>ROUND((csv!$HG33/10+calc!EB$1),1)</f>
        <v>1.3</v>
      </c>
      <c r="EC33" s="4">
        <f>ROUND((csv!$HG33/10+calc!EC$1),1)</f>
        <v>1.4</v>
      </c>
      <c r="ED33" s="4">
        <f>ROUND((csv!$HG33/10+calc!ED$1),1)</f>
        <v>1.5</v>
      </c>
      <c r="EE33" s="4">
        <f>ROUND((csv!$HG33/10+calc!EE$1),1)</f>
        <v>1.6</v>
      </c>
      <c r="EF33" s="4">
        <f>ROUND((csv!$HG33/10+calc!EF$1),1)</f>
        <v>1.7</v>
      </c>
      <c r="EG33" s="4">
        <f>ROUND((csv!$HG33/10+calc!EG$1),1)</f>
        <v>1.8</v>
      </c>
      <c r="EH33" s="4">
        <f>ROUND((csv!$HG33/10+calc!EH$1),1)</f>
        <v>1.9</v>
      </c>
      <c r="EI33" s="4">
        <f>ROUND((csv!$HG33/10+calc!EI$1),1)</f>
        <v>2</v>
      </c>
      <c r="EJ33" s="4">
        <f>ROUND((csv!$HG33/10+calc!EJ$1),1)</f>
        <v>2.1</v>
      </c>
      <c r="EK33" s="4">
        <f>ROUND((csv!$HG33/10+calc!EK$1),1)</f>
        <v>2.2000000000000002</v>
      </c>
      <c r="EL33" s="4">
        <f>ROUND((csv!$HG33/10+calc!EL$1),1)</f>
        <v>2.2999999999999998</v>
      </c>
      <c r="EM33" s="4">
        <f>ROUND((csv!$HG33/10+calc!EM$1),1)</f>
        <v>2.4</v>
      </c>
      <c r="EN33" s="4">
        <f>ROUND((csv!$HG33/10+calc!EN$1),1)</f>
        <v>2.5</v>
      </c>
      <c r="EO33" s="4">
        <f>ROUND((csv!$HG33/10+calc!EO$1),1)</f>
        <v>2.6</v>
      </c>
      <c r="EP33" s="4">
        <f>ROUND((csv!$HG33/10+calc!EP$1),1)</f>
        <v>2.7</v>
      </c>
      <c r="EQ33" s="4">
        <f>ROUND((csv!$HG33/10+calc!EQ$1),1)</f>
        <v>2.8</v>
      </c>
      <c r="ER33" s="4">
        <f>ROUND((csv!$HG33/10+calc!ER$1),1)</f>
        <v>2.9</v>
      </c>
      <c r="ES33" s="4">
        <f>ROUND((csv!$HG33/10+calc!ES$1),1)</f>
        <v>3</v>
      </c>
      <c r="ET33" s="4">
        <f>ROUND((csv!$HG33/10+calc!ET$1),1)</f>
        <v>3.1</v>
      </c>
      <c r="EU33" s="4">
        <f>ROUND((csv!$HG33/10+calc!EU$1),1)</f>
        <v>3.2</v>
      </c>
      <c r="EV33" s="4">
        <f>ROUND((csv!$HG33/10+calc!EV$1),1)</f>
        <v>3.3</v>
      </c>
      <c r="EW33" s="4">
        <f>ROUND((csv!$HG33/10+calc!EW$1),1)</f>
        <v>3.4</v>
      </c>
      <c r="EX33" s="4">
        <f>ROUND((csv!$HG33/10+calc!EX$1),1)</f>
        <v>3.5</v>
      </c>
      <c r="EY33" s="4">
        <f>ROUND((csv!$HG33/10+calc!EY$1),1)</f>
        <v>3.6</v>
      </c>
      <c r="EZ33" s="4">
        <f>ROUND((csv!$HG33/10+calc!EZ$1),1)</f>
        <v>3.7</v>
      </c>
      <c r="FA33" s="4">
        <f>ROUND((csv!$HG33/10+calc!FA$1),1)</f>
        <v>3.8</v>
      </c>
      <c r="FB33" s="4">
        <f>ROUND((csv!$HG33/10+calc!FB$1),1)</f>
        <v>3.9</v>
      </c>
      <c r="FC33" s="4">
        <f>ROUND((csv!$HG33/10+calc!FC$1),1)</f>
        <v>4</v>
      </c>
      <c r="FD33" s="4">
        <f>ROUND((csv!$HG33/10+calc!FD$1),1)</f>
        <v>4.0999999999999996</v>
      </c>
      <c r="FE33" s="4">
        <f>ROUND((csv!$HG33/10+calc!FE$1),1)</f>
        <v>4.2</v>
      </c>
      <c r="FF33" s="4">
        <f>ROUND((csv!$HG33/10+calc!FF$1),1)</f>
        <v>4.3</v>
      </c>
      <c r="FG33" s="4">
        <f>ROUND((csv!$HG33/10+calc!FG$1),1)</f>
        <v>4.4000000000000004</v>
      </c>
      <c r="FH33" s="4">
        <f>ROUND((csv!$HG33/10+calc!FH$1),1)</f>
        <v>4.5</v>
      </c>
      <c r="FI33" s="4">
        <f>ROUND((csv!$HG33/10+calc!FI$1),1)</f>
        <v>4.5999999999999996</v>
      </c>
      <c r="FJ33" s="4">
        <f>ROUND((csv!$HG33/10+calc!FJ$1),1)</f>
        <v>4.7</v>
      </c>
      <c r="FK33" s="4">
        <f>ROUND((csv!$HG33/10+calc!FK$1),1)</f>
        <v>4.8</v>
      </c>
      <c r="FL33" s="4">
        <f>ROUND((csv!$HG33/10+calc!FL$1),1)</f>
        <v>4.9000000000000004</v>
      </c>
      <c r="FM33" s="4">
        <f>ROUND((csv!$HG33/10+calc!FM$1),1)</f>
        <v>5</v>
      </c>
      <c r="FN33" s="4">
        <f>ROUND((csv!$HG33/10+calc!FN$1),1)</f>
        <v>5.0999999999999996</v>
      </c>
      <c r="FO33" s="4">
        <f>ROUND((csv!$HG33/10+calc!FO$1),1)</f>
        <v>5.2</v>
      </c>
      <c r="FP33" s="4">
        <f>ROUND((csv!$HG33/10+calc!FP$1),1)</f>
        <v>5.3</v>
      </c>
      <c r="FQ33" s="4">
        <f>ROUND((csv!$HG33/10+calc!FQ$1),1)</f>
        <v>5.4</v>
      </c>
      <c r="FR33" s="4">
        <f>ROUND((csv!$HG33/10+calc!FR$1),1)</f>
        <v>5.5</v>
      </c>
      <c r="FS33" s="4">
        <f>ROUND((csv!$HG33/10+calc!FS$1),1)</f>
        <v>5.6</v>
      </c>
      <c r="FT33" s="4">
        <f>ROUND((csv!$HG33/10+calc!FT$1),1)</f>
        <v>5.7</v>
      </c>
      <c r="FU33" s="4">
        <f>ROUND((csv!$HG33/10+calc!FU$1),1)</f>
        <v>5.8</v>
      </c>
      <c r="FV33" s="4">
        <f>ROUND((csv!$HG33/10+calc!FV$1),1)</f>
        <v>5.9</v>
      </c>
      <c r="FW33" s="4">
        <f>ROUND((csv!$HG33/10+calc!FW$1),1)</f>
        <v>6</v>
      </c>
      <c r="FX33" s="4">
        <f>ROUND((csv!$HG33/10+calc!FX$1),1)</f>
        <v>6.1</v>
      </c>
      <c r="FY33" s="4">
        <f>ROUND((csv!$HG33/10+calc!FY$1),1)</f>
        <v>6.2</v>
      </c>
      <c r="FZ33" s="4">
        <f>ROUND((csv!$HG33/10+calc!FZ$1),1)</f>
        <v>6.3</v>
      </c>
      <c r="GA33" s="4">
        <f>ROUND((csv!$HG33/10+calc!GA$1),1)</f>
        <v>6.4</v>
      </c>
      <c r="GB33" s="4">
        <f>ROUND((csv!$HG33/10+calc!GB$1),1)</f>
        <v>6.5</v>
      </c>
      <c r="GC33" s="4">
        <f>ROUND((csv!$HG33/10+calc!GC$1),1)</f>
        <v>6.6</v>
      </c>
      <c r="GD33" s="4">
        <f>ROUND((csv!$HG33/10+calc!GD$1),1)</f>
        <v>6.7</v>
      </c>
      <c r="GE33" s="4">
        <f>ROUND((csv!$HG33/10+calc!GE$1),1)</f>
        <v>6.8</v>
      </c>
      <c r="GF33" s="4">
        <f>ROUND((csv!$HG33/10+calc!GF$1),1)</f>
        <v>6.9</v>
      </c>
      <c r="GG33" s="4">
        <f>ROUND((csv!$HG33/10+calc!GG$1),1)</f>
        <v>7</v>
      </c>
      <c r="GH33" s="4">
        <f>ROUND((csv!$HG33/10+calc!GH$1),1)</f>
        <v>7.1</v>
      </c>
      <c r="GI33" s="4">
        <f>ROUND((csv!$HG33/10+calc!GI$1),1)</f>
        <v>7.2</v>
      </c>
      <c r="GJ33" s="4">
        <f>ROUND((csv!$HG33/10+calc!GJ$1),1)</f>
        <v>7.3</v>
      </c>
      <c r="GK33" s="4">
        <f>ROUND((csv!$HG33/10+calc!GK$1),1)</f>
        <v>7.4</v>
      </c>
      <c r="GL33" s="4">
        <f>ROUND((csv!$HG33/10+calc!GL$1),1)</f>
        <v>7.5</v>
      </c>
      <c r="GM33" s="4">
        <f>ROUND((csv!$HG33/10+calc!GM$1),1)</f>
        <v>7.6</v>
      </c>
      <c r="GN33" s="4">
        <f>ROUND((csv!$HG33/10+calc!GN$1),1)</f>
        <v>7.7</v>
      </c>
      <c r="GO33" s="4">
        <f>ROUND((csv!$HG33/10+calc!GO$1),1)</f>
        <v>7.8</v>
      </c>
      <c r="GP33" s="4">
        <f>ROUND((csv!$HG33/10+calc!GP$1),1)</f>
        <v>7.9</v>
      </c>
      <c r="GQ33" s="4">
        <f>ROUND((csv!$HG33/10+calc!GQ$1),1)</f>
        <v>8</v>
      </c>
      <c r="GR33" s="4">
        <f>ROUND((csv!$HG33/10+calc!GR$1),1)</f>
        <v>8.1</v>
      </c>
      <c r="GS33" s="4">
        <f>ROUND((csv!$HG33/10+calc!GS$1),1)</f>
        <v>8.1999999999999993</v>
      </c>
      <c r="GT33" s="4">
        <f>ROUND((csv!$HG33/10+calc!GT$1),1)</f>
        <v>8.3000000000000007</v>
      </c>
      <c r="GU33" s="4">
        <f>ROUND((csv!$HG33/10+calc!GU$1),1)</f>
        <v>8.4</v>
      </c>
      <c r="GV33" s="4">
        <f>ROUND((csv!$HG33/10+calc!GV$1),1)</f>
        <v>8.5</v>
      </c>
      <c r="GW33" s="4">
        <f>ROUND((csv!$HG33/10+calc!GW$1),1)</f>
        <v>8.6</v>
      </c>
      <c r="GX33" s="4">
        <f>ROUND((csv!$HG33/10+calc!GX$1),1)</f>
        <v>8.6999999999999993</v>
      </c>
      <c r="GY33" s="4">
        <f>ROUND((csv!$HG33/10+calc!GY$1),1)</f>
        <v>8.8000000000000007</v>
      </c>
      <c r="GZ33" s="4">
        <f>ROUND((csv!$HG33/10+calc!GZ$1),1)</f>
        <v>8.9</v>
      </c>
      <c r="HA33" s="4">
        <f>ROUND((csv!$HG33/10+calc!HA$1),1)</f>
        <v>9</v>
      </c>
      <c r="HB33" s="4">
        <f>ROUND((csv!$HG33/10+calc!HB$1),1)</f>
        <v>9.1</v>
      </c>
      <c r="HC33" s="4">
        <f>ROUND((csv!$HG33/10+calc!HC$1),1)</f>
        <v>9.1999999999999993</v>
      </c>
      <c r="HD33" s="4">
        <f>ROUND((csv!$HG33/10+calc!HD$1),1)</f>
        <v>9.3000000000000007</v>
      </c>
      <c r="HE33" s="4">
        <f>ROUND((csv!$HG33/10+calc!HE$1),1)</f>
        <v>9.4</v>
      </c>
      <c r="HF33" s="4">
        <f>ROUND((csv!$HG33/10+calc!HF$1),1)</f>
        <v>9.5</v>
      </c>
      <c r="HG33" s="4">
        <f>ROUND((csv!$HG33/10+calc!HG$1),1)</f>
        <v>9.6</v>
      </c>
      <c r="HH33" s="4">
        <f>ROUND((csv!$HG33/10+calc!HH$1),1)</f>
        <v>9.6999999999999993</v>
      </c>
      <c r="HI33" s="4">
        <f>ROUND((csv!$HG33/10+calc!HI$1),1)</f>
        <v>9.8000000000000007</v>
      </c>
      <c r="HJ33" s="4">
        <f>ROUND((csv!$HG33/10+calc!HJ$1),1)</f>
        <v>9.9</v>
      </c>
      <c r="HK33" s="4">
        <f>ROUND((csv!$HG33/10+calc!HK$1),1)</f>
        <v>10</v>
      </c>
      <c r="HM33" s="2">
        <f>csv!A33*10000+csv!B33*100+csv!C33</f>
        <v>0</v>
      </c>
      <c r="HN33" s="5">
        <f>IF(ISERROR(LOOKUP(HN$1,$S33:$HK33,csv!$L33:$HD33)),NA(),LOOKUP(HN$1,$S33:$HK33,csv!$L33:$HD33))</f>
        <v>0</v>
      </c>
      <c r="HO33" s="5">
        <f>IF(ISERROR(LOOKUP(HO$1,$S33:$HK33,csv!$L33:$HD33)),NA(),LOOKUP(HO$1,$S33:$HK33,csv!$L33:$HD33))</f>
        <v>0</v>
      </c>
      <c r="HP33" s="5">
        <f>IF(ISERROR(LOOKUP(HP$1,$S33:$HK33,csv!$L33:$HD33)),NA(),LOOKUP(HP$1,$S33:$HK33,csv!$L33:$HD33))</f>
        <v>0</v>
      </c>
      <c r="HQ33" s="5">
        <f>IF(ISERROR(LOOKUP(HQ$1,$S33:$HK33,csv!$L33:$HD33)),NA(),LOOKUP(HQ$1,$S33:$HK33,csv!$L33:$HD33))</f>
        <v>0</v>
      </c>
      <c r="HR33" s="5">
        <f>IF(ISERROR(LOOKUP(HR$1,$S33:$HK33,csv!$L33:$HD33)),NA(),LOOKUP(HR$1,$S33:$HK33,csv!$L33:$HD33))</f>
        <v>0</v>
      </c>
      <c r="HS33" s="5">
        <f>IF(ISERROR(LOOKUP(HS$1,$S33:$HK33,csv!$L33:$HD33)),NA(),LOOKUP(HS$1,$S33:$HK33,csv!$L33:$HD33))</f>
        <v>0</v>
      </c>
      <c r="HT33" s="5">
        <f>IF(ISERROR(LOOKUP(HT$1,$S33:$HK33,csv!$L33:$HD33)),NA(),LOOKUP(HT$1,$S33:$HK33,csv!$L33:$HD33))</f>
        <v>0</v>
      </c>
      <c r="HU33" s="5">
        <f>IF(ISERROR(LOOKUP(HU$1,$S33:$HK33,csv!$L33:$HD33)),NA(),LOOKUP(HU$1,$S33:$HK33,csv!$L33:$HD33))</f>
        <v>0</v>
      </c>
      <c r="HV33" s="5">
        <f>IF(ISERROR(LOOKUP(HV$1,$S33:$HK33,csv!$L33:$HD33)),NA(),LOOKUP(HV$1,$S33:$HK33,csv!$L33:$HD33))</f>
        <v>0</v>
      </c>
      <c r="HW33" s="5">
        <f>IF(ISERROR(LOOKUP(HW$1,$S33:$HK33,csv!$L33:$HD33)),NA(),LOOKUP(HW$1,$S33:$HK33,csv!$L33:$HD33))</f>
        <v>0</v>
      </c>
      <c r="HX33" s="5">
        <f>IF(ISERROR(LOOKUP(HX$1,$S33:$HK33,csv!$L33:$HD33)),NA(),LOOKUP(HX$1,$S33:$HK33,csv!$L33:$HD33))</f>
        <v>0</v>
      </c>
      <c r="HY33" s="5">
        <f>IF(ISERROR(LOOKUP(HY$1,$S33:$HK33,csv!$L33:$HD33)),NA(),LOOKUP(HY$1,$S33:$HK33,csv!$L33:$HD33))</f>
        <v>0</v>
      </c>
      <c r="HZ33" s="5">
        <f>IF(ISERROR(LOOKUP(HZ$1,$S33:$HK33,csv!$L33:$HD33)),NA(),LOOKUP(HZ$1,$S33:$HK33,csv!$L33:$HD33))</f>
        <v>0</v>
      </c>
      <c r="IA33" s="5">
        <f>IF(ISERROR(LOOKUP(IA$1,$S33:$HK33,csv!$L33:$HD33)),NA(),LOOKUP(IA$1,$S33:$HK33,csv!$L33:$HD33))</f>
        <v>0</v>
      </c>
      <c r="IB33" s="5">
        <f>IF(ISERROR(LOOKUP(IB$1,$S33:$HK33,csv!$L33:$HD33)),NA(),LOOKUP(IB$1,$S33:$HK33,csv!$L33:$HD33))</f>
        <v>0</v>
      </c>
      <c r="IC33" s="5">
        <f>IF(ISERROR(LOOKUP(IC$1,$S33:$HK33,csv!$L33:$HD33)),NA(),LOOKUP(IC$1,$S33:$HK33,csv!$L33:$HD33))</f>
        <v>0</v>
      </c>
      <c r="ID33" s="5">
        <f>IF(ISERROR(LOOKUP(ID$1,$S33:$HK33,csv!$L33:$HD33)),NA(),LOOKUP(ID$1,$S33:$HK33,csv!$L33:$HD33))</f>
        <v>0</v>
      </c>
      <c r="IE33" s="5">
        <f>IF(ISERROR(LOOKUP(IE$1,$S33:$HK33,csv!$L33:$HD33)),NA(),LOOKUP(IE$1,$S33:$HK33,csv!$L33:$HD33))</f>
        <v>0</v>
      </c>
      <c r="IF33" s="5">
        <f>IF(ISERROR(LOOKUP(IF$1,$S33:$HK33,csv!$L33:$HD33)),NA(),LOOKUP(IF$1,$S33:$HK33,csv!$L33:$HD33))</f>
        <v>0</v>
      </c>
      <c r="IG33" s="5">
        <f>IF(ISERROR(LOOKUP(IG$1,$S33:$HK33,csv!$L33:$HD33)),NA(),LOOKUP(IG$1,$S33:$HK33,csv!$L33:$HD33))</f>
        <v>0</v>
      </c>
      <c r="IH33" s="5">
        <f>IF(ISERROR(LOOKUP(IH$1,$S33:$HK33,csv!$L33:$HD33)),NA(),LOOKUP(IH$1,$S33:$HK33,csv!$L33:$HD33))</f>
        <v>0</v>
      </c>
      <c r="II33" s="5">
        <f>IF(ISERROR(LOOKUP(II$1,$S33:$HK33,csv!$L33:$HD33)),NA(),LOOKUP(II$1,$S33:$HK33,csv!$L33:$HD33))</f>
        <v>0</v>
      </c>
      <c r="IJ33" s="5">
        <f>IF(ISERROR(LOOKUP(IJ$1,$S33:$HK33,csv!$L33:$HD33)),NA(),LOOKUP(IJ$1,$S33:$HK33,csv!$L33:$HD33))</f>
        <v>0</v>
      </c>
      <c r="IK33" s="5">
        <f>IF(ISERROR(LOOKUP(IK$1,$S33:$HK33,csv!$L33:$HD33)),NA(),LOOKUP(IK$1,$S33:$HK33,csv!$L33:$HD33))</f>
        <v>0</v>
      </c>
      <c r="IL33" s="5">
        <f>IF(ISERROR(LOOKUP(IL$1,$S33:$HK33,csv!$L33:$HD33)),NA(),LOOKUP(IL$1,$S33:$HK33,csv!$L33:$HD33))</f>
        <v>0</v>
      </c>
      <c r="IM33" s="5">
        <f>IF(ISERROR(LOOKUP(IM$1,$S33:$HK33,csv!$L33:$HD33)),NA(),LOOKUP(IM$1,$S33:$HK33,csv!$L33:$HD33))</f>
        <v>0</v>
      </c>
      <c r="IN33" s="5">
        <f>IF(ISERROR(LOOKUP(IN$1,$S33:$HK33,csv!$L33:$HD33)),NA(),LOOKUP(IN$1,$S33:$HK33,csv!$L33:$HD33))</f>
        <v>0</v>
      </c>
      <c r="IO33" s="5">
        <f>IF(ISERROR(LOOKUP(IO$1,$S33:$HK33,csv!$L33:$HD33)),NA(),LOOKUP(IO$1,$S33:$HK33,csv!$L33:$HD33))</f>
        <v>0</v>
      </c>
      <c r="IP33" s="5">
        <f>IF(ISERROR(LOOKUP(IP$1,$S33:$HK33,csv!$L33:$HD33)),NA(),LOOKUP(IP$1,$S33:$HK33,csv!$L33:$HD33))</f>
        <v>0</v>
      </c>
      <c r="IQ33" s="5">
        <f>IF(ISERROR(LOOKUP(IQ$1,$S33:$HK33,csv!$L33:$HD33)),NA(),LOOKUP(IQ$1,$S33:$HK33,csv!$L33:$HD33))</f>
        <v>0</v>
      </c>
      <c r="IR33" s="5">
        <f>IF(ISERROR(LOOKUP(IR$1,$S33:$HK33,csv!$L33:$HD33)),NA(),LOOKUP(IR$1,$S33:$HK33,csv!$L33:$HD33))</f>
        <v>0</v>
      </c>
      <c r="IS33" s="5">
        <f>IF(ISERROR(LOOKUP(IS$1,$S33:$HK33,csv!$L33:$HD33)),NA(),LOOKUP(IS$1,$S33:$HK33,csv!$L33:$HD33))</f>
        <v>0</v>
      </c>
      <c r="IT33" s="5">
        <f>IF(ISERROR(LOOKUP(IT$1,$S33:$HK33,csv!$L33:$HD33)),NA(),LOOKUP(IT$1,$S33:$HK33,csv!$L33:$HD33))</f>
        <v>0</v>
      </c>
      <c r="IU33" s="5">
        <f>IF(ISERROR(LOOKUP(IU$1,$S33:$HK33,csv!$L33:$HD33)),NA(),LOOKUP(IU$1,$S33:$HK33,csv!$L33:$HD33))</f>
        <v>0</v>
      </c>
      <c r="IV33" s="5">
        <f>IF(ISERROR(LOOKUP(IV$1,$S33:$HK33,csv!$L33:$HD33)),NA(),LOOKUP(IV$1,$S33:$HK33,csv!$L33:$HD33))</f>
        <v>0</v>
      </c>
      <c r="IW33" s="5">
        <f>IF(ISERROR(LOOKUP(IW$1,$S33:$HK33,csv!$L33:$HD33)),NA(),LOOKUP(IW$1,$S33:$HK33,csv!$L33:$HD33))</f>
        <v>0</v>
      </c>
      <c r="IX33" s="5">
        <f>IF(ISERROR(LOOKUP(IX$1,$S33:$HK33,csv!$L33:$HD33)),NA(),LOOKUP(IX$1,$S33:$HK33,csv!$L33:$HD33))</f>
        <v>0</v>
      </c>
      <c r="IY33" s="5">
        <f>IF(ISERROR(LOOKUP(IY$1,$S33:$HK33,csv!$L33:$HD33)),NA(),LOOKUP(IY$1,$S33:$HK33,csv!$L33:$HD33))</f>
        <v>0</v>
      </c>
      <c r="IZ33" s="5">
        <f>IF(ISERROR(LOOKUP(IZ$1,$S33:$HK33,csv!$L33:$HD33)),NA(),LOOKUP(IZ$1,$S33:$HK33,csv!$L33:$HD33))</f>
        <v>0</v>
      </c>
      <c r="JA33" s="5">
        <f>IF(ISERROR(LOOKUP(JA$1,$S33:$HK33,csv!$L33:$HD33)),NA(),LOOKUP(JA$1,$S33:$HK33,csv!$L33:$HD33))</f>
        <v>0</v>
      </c>
      <c r="JB33" s="5">
        <f>IF(ISERROR(LOOKUP(JB$1,$S33:$HK33,csv!$L33:$HD33)),NA(),LOOKUP(JB$1,$S33:$HK33,csv!$L33:$HD33))</f>
        <v>0</v>
      </c>
      <c r="JC33" s="5">
        <f>IF(ISERROR(LOOKUP(JC$1,$S33:$HK33,csv!$L33:$HD33)),NA(),LOOKUP(JC$1,$S33:$HK33,csv!$L33:$HD33))</f>
        <v>0</v>
      </c>
      <c r="JD33" s="5">
        <f>IF(ISERROR(LOOKUP(JD$1,$S33:$HK33,csv!$L33:$HD33)),NA(),LOOKUP(JD$1,$S33:$HK33,csv!$L33:$HD33))</f>
        <v>0</v>
      </c>
      <c r="JE33" s="5">
        <f>IF(ISERROR(LOOKUP(JE$1,$S33:$HK33,csv!$L33:$HD33)),NA(),LOOKUP(JE$1,$S33:$HK33,csv!$L33:$HD33))</f>
        <v>0</v>
      </c>
      <c r="JF33" s="5">
        <f>IF(ISERROR(LOOKUP(JF$1,$S33:$HK33,csv!$L33:$HD33)),NA(),LOOKUP(JF$1,$S33:$HK33,csv!$L33:$HD33))</f>
        <v>0</v>
      </c>
      <c r="JG33" s="5">
        <f>IF(ISERROR(LOOKUP(JG$1,$S33:$HK33,csv!$L33:$HD33)),NA(),LOOKUP(JG$1,$S33:$HK33,csv!$L33:$HD33))</f>
        <v>0</v>
      </c>
      <c r="JH33" s="5">
        <f>IF(ISERROR(LOOKUP(JH$1,$S33:$HK33,csv!$L33:$HD33)),NA(),LOOKUP(JH$1,$S33:$HK33,csv!$L33:$HD33))</f>
        <v>0</v>
      </c>
      <c r="JI33" s="5">
        <f>IF(ISERROR(LOOKUP(JI$1,$S33:$HK33,csv!$L33:$HD33)),NA(),LOOKUP(JI$1,$S33:$HK33,csv!$L33:$HD33))</f>
        <v>0</v>
      </c>
      <c r="JJ33" s="5">
        <f>IF(ISERROR(LOOKUP(JJ$1,$S33:$HK33,csv!$L33:$HD33)),NA(),LOOKUP(JJ$1,$S33:$HK33,csv!$L33:$HD33))</f>
        <v>0</v>
      </c>
      <c r="JK33" s="5">
        <f>IF(ISERROR(LOOKUP(JK$1,$S33:$HK33,csv!$L33:$HD33)),NA(),LOOKUP(JK$1,$S33:$HK33,csv!$L33:$HD33))</f>
        <v>0</v>
      </c>
      <c r="JL33" s="5">
        <f>IF(ISERROR(LOOKUP(JL$1,$S33:$HK33,csv!$L33:$HD33)),NA(),LOOKUP(JL$1,$S33:$HK33,csv!$L33:$HD33))</f>
        <v>0</v>
      </c>
      <c r="JM33" s="5">
        <f>IF(ISERROR(LOOKUP(JM$1,$S33:$HK33,csv!$L33:$HD33)),NA(),LOOKUP(JM$1,$S33:$HK33,csv!$L33:$HD33))</f>
        <v>0</v>
      </c>
      <c r="JN33" s="5">
        <f>IF(ISERROR(LOOKUP(JN$1,$S33:$HK33,csv!$L33:$HD33)),NA(),LOOKUP(JN$1,$S33:$HK33,csv!$L33:$HD33))</f>
        <v>0</v>
      </c>
      <c r="JO33" s="5">
        <f>IF(ISERROR(LOOKUP(JO$1,$S33:$HK33,csv!$L33:$HD33)),NA(),LOOKUP(JO$1,$S33:$HK33,csv!$L33:$HD33))</f>
        <v>0</v>
      </c>
      <c r="JP33" s="5">
        <f>IF(ISERROR(LOOKUP(JP$1,$S33:$HK33,csv!$L33:$HD33)),NA(),LOOKUP(JP$1,$S33:$HK33,csv!$L33:$HD33))</f>
        <v>0</v>
      </c>
      <c r="JQ33" s="5">
        <f>IF(ISERROR(LOOKUP(JQ$1,$S33:$HK33,csv!$L33:$HD33)),NA(),LOOKUP(JQ$1,$S33:$HK33,csv!$L33:$HD33))</f>
        <v>0</v>
      </c>
      <c r="JR33" s="5">
        <f>IF(ISERROR(LOOKUP(JR$1,$S33:$HK33,csv!$L33:$HD33)),NA(),LOOKUP(JR$1,$S33:$HK33,csv!$L33:$HD33))</f>
        <v>0</v>
      </c>
      <c r="JS33" s="5">
        <f>IF(ISERROR(LOOKUP(JS$1,$S33:$HK33,csv!$L33:$HD33)),NA(),LOOKUP(JS$1,$S33:$HK33,csv!$L33:$HD33))</f>
        <v>0</v>
      </c>
      <c r="JT33" s="5">
        <f>IF(ISERROR(LOOKUP(JT$1,$S33:$HK33,csv!$L33:$HD33)),NA(),LOOKUP(JT$1,$S33:$HK33,csv!$L33:$HD33))</f>
        <v>0</v>
      </c>
      <c r="JU33" s="5">
        <f>IF(ISERROR(LOOKUP(JU$1,$S33:$HK33,csv!$L33:$HD33)),NA(),LOOKUP(JU$1,$S33:$HK33,csv!$L33:$HD33))</f>
        <v>0</v>
      </c>
      <c r="JV33" s="5">
        <f>IF(ISERROR(LOOKUP(JV$1,$S33:$HK33,csv!$L33:$HD33)),NA(),LOOKUP(JV$1,$S33:$HK33,csv!$L33:$HD33))</f>
        <v>0</v>
      </c>
      <c r="JW33" s="5">
        <f>IF(ISERROR(LOOKUP(JW$1,$S33:$HK33,csv!$L33:$HD33)),NA(),LOOKUP(JW$1,$S33:$HK33,csv!$L33:$HD33))</f>
        <v>0</v>
      </c>
      <c r="JX33" s="5">
        <f>IF(ISERROR(LOOKUP(JX$1,$S33:$HK33,csv!$L33:$HD33)),NA(),LOOKUP(JX$1,$S33:$HK33,csv!$L33:$HD33))</f>
        <v>0</v>
      </c>
      <c r="JY33" s="5">
        <f>IF(ISERROR(LOOKUP(JY$1,$S33:$HK33,csv!$L33:$HD33)),NA(),LOOKUP(JY$1,$S33:$HK33,csv!$L33:$HD33))</f>
        <v>0</v>
      </c>
      <c r="JZ33" s="5">
        <f>IF(ISERROR(LOOKUP(JZ$1,$S33:$HK33,csv!$L33:$HD33)),NA(),LOOKUP(JZ$1,$S33:$HK33,csv!$L33:$HD33))</f>
        <v>0</v>
      </c>
      <c r="KA33" s="5">
        <f>IF(ISERROR(LOOKUP(KA$1,$S33:$HK33,csv!$L33:$HD33)),NA(),LOOKUP(KA$1,$S33:$HK33,csv!$L33:$HD33))</f>
        <v>0</v>
      </c>
      <c r="KB33" s="5">
        <f>IF(ISERROR(LOOKUP(KB$1,$S33:$HK33,csv!$L33:$HD33)),NA(),LOOKUP(KB$1,$S33:$HK33,csv!$L33:$HD33))</f>
        <v>0</v>
      </c>
      <c r="KC33" s="5">
        <f>IF(ISERROR(LOOKUP(KC$1,$S33:$HK33,csv!$L33:$HD33)),NA(),LOOKUP(KC$1,$S33:$HK33,csv!$L33:$HD33))</f>
        <v>0</v>
      </c>
      <c r="KD33" s="5">
        <f>IF(ISERROR(LOOKUP(KD$1,$S33:$HK33,csv!$L33:$HD33)),NA(),LOOKUP(KD$1,$S33:$HK33,csv!$L33:$HD33))</f>
        <v>0</v>
      </c>
      <c r="KE33" s="5">
        <f>IF(ISERROR(LOOKUP(KE$1,$S33:$HK33,csv!$L33:$HD33)),NA(),LOOKUP(KE$1,$S33:$HK33,csv!$L33:$HD33))</f>
        <v>0</v>
      </c>
      <c r="KF33" s="5">
        <f>IF(ISERROR(LOOKUP(KF$1,$S33:$HK33,csv!$L33:$HD33)),NA(),LOOKUP(KF$1,$S33:$HK33,csv!$L33:$HD33))</f>
        <v>0</v>
      </c>
      <c r="KG33" s="5">
        <f>IF(ISERROR(LOOKUP(KG$1,$S33:$HK33,csv!$L33:$HD33)),NA(),LOOKUP(KG$1,$S33:$HK33,csv!$L33:$HD33))</f>
        <v>0</v>
      </c>
      <c r="KH33" s="5">
        <f>IF(ISERROR(LOOKUP(KH$1,$S33:$HK33,csv!$L33:$HD33)),NA(),LOOKUP(KH$1,$S33:$HK33,csv!$L33:$HD33))</f>
        <v>0</v>
      </c>
      <c r="KI33" s="5">
        <f>IF(ISERROR(LOOKUP(KI$1,$S33:$HK33,csv!$L33:$HD33)),NA(),LOOKUP(KI$1,$S33:$HK33,csv!$L33:$HD33))</f>
        <v>0</v>
      </c>
      <c r="KJ33" s="5">
        <f>IF(ISERROR(LOOKUP(KJ$1,$S33:$HK33,csv!$L33:$HD33)),NA(),LOOKUP(KJ$1,$S33:$HK33,csv!$L33:$HD33))</f>
        <v>0</v>
      </c>
      <c r="KK33" s="5">
        <f>IF(ISERROR(LOOKUP(KK$1,$S33:$HK33,csv!$L33:$HD33)),NA(),LOOKUP(KK$1,$S33:$HK33,csv!$L33:$HD33))</f>
        <v>0</v>
      </c>
      <c r="KL33" s="5">
        <f>IF(ISERROR(LOOKUP(KL$1,$S33:$HK33,csv!$L33:$HD33)),NA(),LOOKUP(KL$1,$S33:$HK33,csv!$L33:$HD33))</f>
        <v>0</v>
      </c>
      <c r="KM33" s="5">
        <f>IF(ISERROR(LOOKUP(KM$1,$S33:$HK33,csv!$L33:$HD33)),NA(),LOOKUP(KM$1,$S33:$HK33,csv!$L33:$HD33))</f>
        <v>0</v>
      </c>
      <c r="KN33" s="5">
        <f>IF(ISERROR(LOOKUP(KN$1,$S33:$HK33,csv!$L33:$HD33)),NA(),LOOKUP(KN$1,$S33:$HK33,csv!$L33:$HD33))</f>
        <v>0</v>
      </c>
      <c r="KO33" s="5">
        <f>IF(ISERROR(LOOKUP(KO$1,$S33:$HK33,csv!$L33:$HD33)),NA(),LOOKUP(KO$1,$S33:$HK33,csv!$L33:$HD33))</f>
        <v>0</v>
      </c>
      <c r="KP33" s="5">
        <f>IF(ISERROR(LOOKUP(KP$1,$S33:$HK33,csv!$L33:$HD33)),NA(),LOOKUP(KP$1,$S33:$HK33,csv!$L33:$HD33))</f>
        <v>0</v>
      </c>
      <c r="KQ33" s="5">
        <f>IF(ISERROR(LOOKUP(KQ$1,$S33:$HK33,csv!$L33:$HD33)),NA(),LOOKUP(KQ$1,$S33:$HK33,csv!$L33:$HD33))</f>
        <v>0</v>
      </c>
      <c r="KR33" s="5">
        <f>IF(ISERROR(LOOKUP(KR$1,$S33:$HK33,csv!$L33:$HD33)),NA(),LOOKUP(KR$1,$S33:$HK33,csv!$L33:$HD33))</f>
        <v>0</v>
      </c>
      <c r="KS33" s="5">
        <f>IF(ISERROR(LOOKUP(KS$1,$S33:$HK33,csv!$L33:$HD33)),NA(),LOOKUP(KS$1,$S33:$HK33,csv!$L33:$HD33))</f>
        <v>0</v>
      </c>
      <c r="KT33" s="5">
        <f>IF(ISERROR(LOOKUP(KT$1,$S33:$HK33,csv!$L33:$HD33)),NA(),LOOKUP(KT$1,$S33:$HK33,csv!$L33:$HD33))</f>
        <v>0</v>
      </c>
      <c r="KU33" s="5">
        <f>IF(ISERROR(LOOKUP(KU$1,$S33:$HK33,csv!$L33:$HD33)),NA(),LOOKUP(KU$1,$S33:$HK33,csv!$L33:$HD33))</f>
        <v>0</v>
      </c>
      <c r="KV33" s="5">
        <f>IF(ISERROR(LOOKUP(KV$1,$S33:$HK33,csv!$L33:$HD33)),NA(),LOOKUP(KV$1,$S33:$HK33,csv!$L33:$HD33))</f>
        <v>0</v>
      </c>
      <c r="KW33" s="5">
        <f>IF(ISERROR(LOOKUP(KW$1,$S33:$HK33,csv!$L33:$HD33)),NA(),LOOKUP(KW$1,$S33:$HK33,csv!$L33:$HD33))</f>
        <v>0</v>
      </c>
      <c r="KX33" s="5">
        <f>IF(ISERROR(LOOKUP(KX$1,$S33:$HK33,csv!$L33:$HD33)),NA(),LOOKUP(KX$1,$S33:$HK33,csv!$L33:$HD33))</f>
        <v>0</v>
      </c>
      <c r="KY33" s="5">
        <f>IF(ISERROR(LOOKUP(KY$1,$S33:$HK33,csv!$L33:$HD33)),NA(),LOOKUP(KY$1,$S33:$HK33,csv!$L33:$HD33))</f>
        <v>0</v>
      </c>
      <c r="KZ33" s="5">
        <f>IF(ISERROR(LOOKUP(KZ$1,$S33:$HK33,csv!$L33:$HD33)),NA(),LOOKUP(KZ$1,$S33:$HK33,csv!$L33:$HD33))</f>
        <v>0</v>
      </c>
      <c r="LA33" s="5">
        <f>IF(ISERROR(LOOKUP(LA$1,$S33:$HK33,csv!$L33:$HD33)),NA(),LOOKUP(LA$1,$S33:$HK33,csv!$L33:$HD33))</f>
        <v>0</v>
      </c>
      <c r="LB33" s="5">
        <f>IF(ISERROR(LOOKUP(LB$1,$S33:$HK33,csv!$L33:$HD33)),NA(),LOOKUP(LB$1,$S33:$HK33,csv!$L33:$HD33))</f>
        <v>0</v>
      </c>
      <c r="LC33" s="5">
        <f>IF(ISERROR(LOOKUP(LC$1,$S33:$HK33,csv!$L33:$HD33)),NA(),LOOKUP(LC$1,$S33:$HK33,csv!$L33:$HD33))</f>
        <v>0</v>
      </c>
      <c r="LD33" s="5">
        <f>IF(ISERROR(LOOKUP(LD$1,$S33:$HK33,csv!$L33:$HD33)),NA(),LOOKUP(LD$1,$S33:$HK33,csv!$L33:$HD33))</f>
        <v>0</v>
      </c>
      <c r="LE33" s="5">
        <f>IF(ISERROR(LOOKUP(LE$1,$S33:$HK33,csv!$L33:$HD33)),NA(),LOOKUP(LE$1,$S33:$HK33,csv!$L33:$HD33))</f>
        <v>0</v>
      </c>
      <c r="LF33" s="5">
        <f>IF(ISERROR(LOOKUP(LF$1,$S33:$HK33,csv!$L33:$HD33)),NA(),LOOKUP(LF$1,$S33:$HK33,csv!$L33:$HD33))</f>
        <v>0</v>
      </c>
      <c r="LG33" s="5">
        <f>IF(ISERROR(LOOKUP(LG$1,$S33:$HK33,csv!$L33:$HD33)),NA(),LOOKUP(LG$1,$S33:$HK33,csv!$L33:$HD33))</f>
        <v>0</v>
      </c>
      <c r="LH33" s="5">
        <f>IF(ISERROR(LOOKUP(LH$1,$S33:$HK33,csv!$L33:$HD33)),NA(),LOOKUP(LH$1,$S33:$HK33,csv!$L33:$HD33))</f>
        <v>0</v>
      </c>
      <c r="LI33" s="5">
        <f>IF(ISERROR(LOOKUP(LI$1,$S33:$HK33,csv!$L33:$HD33)),NA(),LOOKUP(LI$1,$S33:$HK33,csv!$L33:$HD33))</f>
        <v>0</v>
      </c>
      <c r="LJ33" s="5">
        <f>IF(ISERROR(LOOKUP(LJ$1,$S33:$HK33,csv!$L33:$HD33)),NA(),LOOKUP(LJ$1,$S33:$HK33,csv!$L33:$HD33))</f>
        <v>0</v>
      </c>
      <c r="LK33" s="5">
        <f>IF(ISERROR(LOOKUP(LK$1,$S33:$HK33,csv!$L33:$HD33)),NA(),LOOKUP(LK$1,$S33:$HK33,csv!$L33:$HD33))</f>
        <v>0</v>
      </c>
      <c r="LL33" s="5">
        <f>IF(ISERROR(LOOKUP(LL$1,$S33:$HK33,csv!$L33:$HD33)),NA(),LOOKUP(LL$1,$S33:$HK33,csv!$L33:$HD33))</f>
        <v>0</v>
      </c>
      <c r="LM33" s="5">
        <f>IF(ISERROR(LOOKUP(LM$1,$S33:$HK33,csv!$L33:$HD33)),NA(),LOOKUP(LM$1,$S33:$HK33,csv!$L33:$HD33))</f>
        <v>0</v>
      </c>
      <c r="LN33" s="5">
        <f>IF(ISERROR(LOOKUP(LN$1,$S33:$HK33,csv!$L33:$HD33)),NA(),LOOKUP(LN$1,$S33:$HK33,csv!$L33:$HD33))</f>
        <v>0</v>
      </c>
      <c r="LO33" s="5">
        <f>IF(ISERROR(LOOKUP(LO$1,$S33:$HK33,csv!$L33:$HD33)),NA(),LOOKUP(LO$1,$S33:$HK33,csv!$L33:$HD33))</f>
        <v>0</v>
      </c>
      <c r="LP33" s="5">
        <f>IF(ISERROR(LOOKUP(LP$1,$S33:$HK33,csv!$L33:$HD33)),NA(),LOOKUP(LP$1,$S33:$HK33,csv!$L33:$HD33))</f>
        <v>0</v>
      </c>
      <c r="LQ33" s="5">
        <f>IF(ISERROR(LOOKUP(LQ$1,$S33:$HK33,csv!$L33:$HD33)),NA(),LOOKUP(LQ$1,$S33:$HK33,csv!$L33:$HD33))</f>
        <v>0</v>
      </c>
      <c r="LR33" s="5">
        <f>IF(ISERROR(LOOKUP(LR$1,$S33:$HK33,csv!$L33:$HD33)),NA(),LOOKUP(LR$1,$S33:$HK33,csv!$L33:$HD33))</f>
        <v>0</v>
      </c>
      <c r="LS33" s="5">
        <f>IF(ISERROR(LOOKUP(LS$1,$S33:$HK33,csv!$L33:$HD33)),NA(),LOOKUP(LS$1,$S33:$HK33,csv!$L33:$HD33))</f>
        <v>0</v>
      </c>
      <c r="LT33" s="5">
        <f>IF(ISERROR(LOOKUP(LT$1,$S33:$HK33,csv!$L33:$HD33)),NA(),LOOKUP(LT$1,$S33:$HK33,csv!$L33:$HD33))</f>
        <v>0</v>
      </c>
      <c r="LU33" s="5">
        <f>IF(ISERROR(LOOKUP(LU$1,$S33:$HK33,csv!$L33:$HD33)),NA(),LOOKUP(LU$1,$S33:$HK33,csv!$L33:$HD33))</f>
        <v>0</v>
      </c>
      <c r="LV33" s="5">
        <f>IF(ISERROR(LOOKUP(LV$1,$S33:$HK33,csv!$L33:$HD33)),NA(),LOOKUP(LV$1,$S33:$HK33,csv!$L33:$HD33))</f>
        <v>0</v>
      </c>
      <c r="LW33" s="5">
        <f>IF(ISERROR(LOOKUP(LW$1,$S33:$HK33,csv!$L33:$HD33)),NA(),LOOKUP(LW$1,$S33:$HK33,csv!$L33:$HD33))</f>
        <v>0</v>
      </c>
      <c r="LX33" s="5">
        <f>IF(ISERROR(LOOKUP(LX$1,$S33:$HK33,csv!$L33:$HD33)),NA(),LOOKUP(LX$1,$S33:$HK33,csv!$L33:$HD33))</f>
        <v>0</v>
      </c>
      <c r="LY33" s="5">
        <f>IF(ISERROR(LOOKUP(LY$1,$S33:$HK33,csv!$L33:$HD33)),NA(),LOOKUP(LY$1,$S33:$HK33,csv!$L33:$HD33))</f>
        <v>0</v>
      </c>
      <c r="LZ33" s="5">
        <f>IF(ISERROR(LOOKUP(LZ$1,$S33:$HK33,csv!$L33:$HD33)),NA(),LOOKUP(LZ$1,$S33:$HK33,csv!$L33:$HD33))</f>
        <v>0</v>
      </c>
      <c r="MA33" s="5">
        <f>IF(ISERROR(LOOKUP(MA$1,$S33:$HK33,csv!$L33:$HD33)),NA(),LOOKUP(MA$1,$S33:$HK33,csv!$L33:$HD33))</f>
        <v>0</v>
      </c>
      <c r="MB33" s="5">
        <f>IF(ISERROR(LOOKUP(MB$1,$S33:$HK33,csv!$L33:$HD33)),NA(),LOOKUP(MB$1,$S33:$HK33,csv!$L33:$HD33))</f>
        <v>0</v>
      </c>
      <c r="MC33" s="5">
        <f>IF(ISERROR(LOOKUP(MC$1,$S33:$HK33,csv!$L33:$HD33)),NA(),LOOKUP(MC$1,$S33:$HK33,csv!$L33:$HD33))</f>
        <v>0</v>
      </c>
      <c r="MD33" s="5">
        <f>IF(ISERROR(LOOKUP(MD$1,$S33:$HK33,csv!$L33:$HD33)),NA(),LOOKUP(MD$1,$S33:$HK33,csv!$L33:$HD33))</f>
        <v>0</v>
      </c>
      <c r="ME33" s="5">
        <f>IF(ISERROR(LOOKUP(ME$1,$S33:$HK33,csv!$L33:$HD33)),NA(),LOOKUP(ME$1,$S33:$HK33,csv!$L33:$HD33))</f>
        <v>0</v>
      </c>
      <c r="MF33" s="5">
        <f>IF(ISERROR(LOOKUP(MF$1,$S33:$HK33,csv!$L33:$HD33)),NA(),LOOKUP(MF$1,$S33:$HK33,csv!$L33:$HD33))</f>
        <v>0</v>
      </c>
      <c r="MG33" s="5">
        <f>IF(ISERROR(LOOKUP(MG$1,$S33:$HK33,csv!$L33:$HD33)),NA(),LOOKUP(MG$1,$S33:$HK33,csv!$L33:$HD33))</f>
        <v>0</v>
      </c>
      <c r="MH33" s="5">
        <f>IF(ISERROR(LOOKUP(MH$1,$S33:$HK33,csv!$L33:$HD33)),NA(),LOOKUP(MH$1,$S33:$HK33,csv!$L33:$HD33))</f>
        <v>0</v>
      </c>
      <c r="MI33" s="5">
        <f>IF(ISERROR(LOOKUP(MI$1,$S33:$HK33,csv!$L33:$HD33)),NA(),LOOKUP(MI$1,$S33:$HK33,csv!$L33:$HD33))</f>
        <v>0</v>
      </c>
      <c r="MJ33" s="5">
        <f>IF(ISERROR(LOOKUP(MJ$1,$S33:$HK33,csv!$L33:$HD33)),NA(),LOOKUP(MJ$1,$S33:$HK33,csv!$L33:$HD33))</f>
        <v>0</v>
      </c>
      <c r="MK33" s="5">
        <f>IF(ISERROR(LOOKUP(MK$1,$S33:$HK33,csv!$L33:$HD33)),NA(),LOOKUP(MK$1,$S33:$HK33,csv!$L33:$HD33))</f>
        <v>0</v>
      </c>
      <c r="ML33" s="5">
        <f>IF(ISERROR(LOOKUP(ML$1,$S33:$HK33,csv!$L33:$HD33)),NA(),LOOKUP(ML$1,$S33:$HK33,csv!$L33:$HD33))</f>
        <v>0</v>
      </c>
      <c r="MM33" s="5">
        <f>IF(ISERROR(LOOKUP(MM$1,$S33:$HK33,csv!$L33:$HD33)),NA(),LOOKUP(MM$1,$S33:$HK33,csv!$L33:$HD33))</f>
        <v>0</v>
      </c>
      <c r="MN33" s="5">
        <f>IF(ISERROR(LOOKUP(MN$1,$S33:$HK33,csv!$L33:$HD33)),NA(),LOOKUP(MN$1,$S33:$HK33,csv!$L33:$HD33))</f>
        <v>0</v>
      </c>
      <c r="MO33" s="5">
        <f>IF(ISERROR(LOOKUP(MO$1,$S33:$HK33,csv!$L33:$HD33)),NA(),LOOKUP(MO$1,$S33:$HK33,csv!$L33:$HD33))</f>
        <v>0</v>
      </c>
      <c r="MP33" s="5">
        <f>IF(ISERROR(LOOKUP(MP$1,$S33:$HK33,csv!$L33:$HD33)),NA(),LOOKUP(MP$1,$S33:$HK33,csv!$L33:$HD33))</f>
        <v>0</v>
      </c>
      <c r="MQ33" s="5">
        <f>IF(ISERROR(LOOKUP(MQ$1,$S33:$HK33,csv!$L33:$HD33)),NA(),LOOKUP(MQ$1,$S33:$HK33,csv!$L33:$HD33))</f>
        <v>0</v>
      </c>
      <c r="MR33" s="5">
        <f>IF(ISERROR(LOOKUP(MR$1,$S33:$HK33,csv!$L33:$HD33)),NA(),LOOKUP(MR$1,$S33:$HK33,csv!$L33:$HD33))</f>
        <v>0</v>
      </c>
      <c r="MS33" s="5">
        <f>IF(ISERROR(LOOKUP(MS$1,$S33:$HK33,csv!$L33:$HD33)),NA(),LOOKUP(MS$1,$S33:$HK33,csv!$L33:$HD33))</f>
        <v>0</v>
      </c>
      <c r="MT33" s="5">
        <f>IF(ISERROR(LOOKUP(MT$1,$S33:$HK33,csv!$L33:$HD33)),NA(),LOOKUP(MT$1,$S33:$HK33,csv!$L33:$HD33))</f>
        <v>0</v>
      </c>
      <c r="MU33" s="5">
        <f>IF(ISERROR(LOOKUP(MU$1,$S33:$HK33,csv!$L33:$HD33)),NA(),LOOKUP(MU$1,$S33:$HK33,csv!$L33:$HD33))</f>
        <v>0</v>
      </c>
      <c r="MV33" s="5">
        <f>IF(ISERROR(LOOKUP(MV$1,$S33:$HK33,csv!$L33:$HD33)),NA(),LOOKUP(MV$1,$S33:$HK33,csv!$L33:$HD33))</f>
        <v>0</v>
      </c>
      <c r="MW33" s="5">
        <f>IF(ISERROR(LOOKUP(MW$1,$S33:$HK33,csv!$L33:$HD33)),NA(),LOOKUP(MW$1,$S33:$HK33,csv!$L33:$HD33))</f>
        <v>0</v>
      </c>
      <c r="MX33" s="5">
        <f>IF(ISERROR(LOOKUP(MX$1,$S33:$HK33,csv!$L33:$HD33)),NA(),LOOKUP(MX$1,$S33:$HK33,csv!$L33:$HD33))</f>
        <v>0</v>
      </c>
      <c r="MY33" s="5">
        <f>IF(ISERROR(LOOKUP(MY$1,$S33:$HK33,csv!$L33:$HD33)),NA(),LOOKUP(MY$1,$S33:$HK33,csv!$L33:$HD33))</f>
        <v>0</v>
      </c>
      <c r="MZ33" s="5">
        <f>IF(ISERROR(LOOKUP(MZ$1,$S33:$HK33,csv!$L33:$HD33)),NA(),LOOKUP(MZ$1,$S33:$HK33,csv!$L33:$HD33))</f>
        <v>0</v>
      </c>
      <c r="NA33" s="5">
        <f>IF(ISERROR(LOOKUP(NA$1,$S33:$HK33,csv!$L33:$HD33)),NA(),LOOKUP(NA$1,$S33:$HK33,csv!$L33:$HD33))</f>
        <v>0</v>
      </c>
      <c r="NB33" s="5">
        <f>IF(ISERROR(LOOKUP(NB$1,$S33:$HK33,csv!$L33:$HD33)),NA(),LOOKUP(NB$1,$S33:$HK33,csv!$L33:$HD33))</f>
        <v>0</v>
      </c>
      <c r="NC33" s="5">
        <f>IF(ISERROR(LOOKUP(NC$1,$S33:$HK33,csv!$L33:$HD33)),NA(),LOOKUP(NC$1,$S33:$HK33,csv!$L33:$HD33))</f>
        <v>0</v>
      </c>
      <c r="ND33" s="5">
        <f>IF(ISERROR(LOOKUP(ND$1,$S33:$HK33,csv!$L33:$HD33)),NA(),LOOKUP(ND$1,$S33:$HK33,csv!$L33:$HD33))</f>
        <v>0</v>
      </c>
      <c r="NE33" s="5">
        <f>IF(ISERROR(LOOKUP(NE$1,$S33:$HK33,csv!$L33:$HD33)),NA(),LOOKUP(NE$1,$S33:$HK33,csv!$L33:$HD33))</f>
        <v>0</v>
      </c>
      <c r="NF33" s="5">
        <f>IF(ISERROR(LOOKUP(NF$1,$S33:$HK33,csv!$L33:$HD33)),NA(),LOOKUP(NF$1,$S33:$HK33,csv!$L33:$HD33))</f>
        <v>0</v>
      </c>
      <c r="NG33" s="5">
        <f>IF(ISERROR(LOOKUP(NG$1,$S33:$HK33,csv!$L33:$HD33)),NA(),LOOKUP(NG$1,$S33:$HK33,csv!$L33:$HD33))</f>
        <v>0</v>
      </c>
      <c r="NH33" s="5">
        <f>IF(ISERROR(LOOKUP(NH$1,$S33:$HK33,csv!$L33:$HD33)),NA(),LOOKUP(NH$1,$S33:$HK33,csv!$L33:$HD33))</f>
        <v>0</v>
      </c>
      <c r="NI33" s="5">
        <f>IF(ISERROR(LOOKUP(NI$1,$S33:$HK33,csv!$L33:$HD33)),NA(),LOOKUP(NI$1,$S33:$HK33,csv!$L33:$HD33))</f>
        <v>0</v>
      </c>
      <c r="NJ33" s="5">
        <f>IF(ISERROR(LOOKUP(NJ$1,$S33:$HK33,csv!$L33:$HD33)),NA(),LOOKUP(NJ$1,$S33:$HK33,csv!$L33:$HD33))</f>
        <v>0</v>
      </c>
      <c r="NK33" s="5">
        <f>IF(ISERROR(LOOKUP(NK$1,$S33:$HK33,csv!$L33:$HD33)),NA(),LOOKUP(NK$1,$S33:$HK33,csv!$L33:$HD33))</f>
        <v>0</v>
      </c>
      <c r="NL33" s="5">
        <f>IF(ISERROR(LOOKUP(NL$1,$S33:$HK33,csv!$L33:$HD33)),NA(),LOOKUP(NL$1,$S33:$HK33,csv!$L33:$HD33))</f>
        <v>0</v>
      </c>
      <c r="NM33" s="5">
        <f>IF(ISERROR(LOOKUP(NM$1,$S33:$HK33,csv!$L33:$HD33)),NA(),LOOKUP(NM$1,$S33:$HK33,csv!$L33:$HD33))</f>
        <v>0</v>
      </c>
      <c r="NN33" s="5">
        <f>IF(ISERROR(LOOKUP(NN$1,$S33:$HK33,csv!$L33:$HD33)),NA(),LOOKUP(NN$1,$S33:$HK33,csv!$L33:$HD33))</f>
        <v>0</v>
      </c>
      <c r="NO33" s="5">
        <f>IF(ISERROR(LOOKUP(NO$1,$S33:$HK33,csv!$L33:$HD33)),NA(),LOOKUP(NO$1,$S33:$HK33,csv!$L33:$HD33))</f>
        <v>0</v>
      </c>
      <c r="NP33" s="5">
        <f>IF(ISERROR(LOOKUP(NP$1,$S33:$HK33,csv!$L33:$HD33)),NA(),LOOKUP(NP$1,$S33:$HK33,csv!$L33:$HD33))</f>
        <v>0</v>
      </c>
      <c r="NQ33" s="5">
        <f>IF(ISERROR(LOOKUP(NQ$1,$S33:$HK33,csv!$L33:$HD33)),NA(),LOOKUP(NQ$1,$S33:$HK33,csv!$L33:$HD33))</f>
        <v>0</v>
      </c>
      <c r="NR33" s="5">
        <f>IF(ISERROR(LOOKUP(NR$1,$S33:$HK33,csv!$L33:$HD33)),NA(),LOOKUP(NR$1,$S33:$HK33,csv!$L33:$HD33))</f>
        <v>0</v>
      </c>
      <c r="NS33" s="5">
        <f>IF(ISERROR(LOOKUP(NS$1,$S33:$HK33,csv!$L33:$HD33)),NA(),LOOKUP(NS$1,$S33:$HK33,csv!$L33:$HD33))</f>
        <v>0</v>
      </c>
      <c r="NT33" s="5">
        <f>IF(ISERROR(LOOKUP(NT$1,$S33:$HK33,csv!$L33:$HD33)),NA(),LOOKUP(NT$1,$S33:$HK33,csv!$L33:$HD33))</f>
        <v>0</v>
      </c>
      <c r="NU33" s="5">
        <f>IF(ISERROR(LOOKUP(NU$1,$S33:$HK33,csv!$L33:$HD33)),NA(),LOOKUP(NU$1,$S33:$HK33,csv!$L33:$HD33))</f>
        <v>0</v>
      </c>
      <c r="NV33" s="5">
        <f>IF(ISERROR(LOOKUP(NV$1,$S33:$HK33,csv!$L33:$HD33)),NA(),LOOKUP(NV$1,$S33:$HK33,csv!$L33:$HD33))</f>
        <v>0</v>
      </c>
      <c r="NW33" s="5">
        <f>IF(ISERROR(LOOKUP(NW$1,$S33:$HK33,csv!$L33:$HD33)),NA(),LOOKUP(NW$1,$S33:$HK33,csv!$L33:$HD33))</f>
        <v>0</v>
      </c>
      <c r="NX33" s="5">
        <f>IF(ISERROR(LOOKUP(NX$1,$S33:$HK33,csv!$L33:$HD33)),NA(),LOOKUP(NX$1,$S33:$HK33,csv!$L33:$HD33))</f>
        <v>0</v>
      </c>
      <c r="NY33" s="5">
        <f>IF(ISERROR(LOOKUP(NY$1,$S33:$HK33,csv!$L33:$HD33)),NA(),LOOKUP(NY$1,$S33:$HK33,csv!$L33:$HD33))</f>
        <v>0</v>
      </c>
      <c r="NZ33" s="5">
        <f>IF(ISERROR(LOOKUP(NZ$1,$S33:$HK33,csv!$L33:$HD33)),NA(),LOOKUP(NZ$1,$S33:$HK33,csv!$L33:$HD33))</f>
        <v>0</v>
      </c>
      <c r="OA33" s="5">
        <f>IF(ISERROR(LOOKUP(OA$1,$S33:$HK33,csv!$L33:$HD33)),NA(),LOOKUP(OA$1,$S33:$HK33,csv!$L33:$HD33))</f>
        <v>0</v>
      </c>
      <c r="OB33" s="5">
        <f>IF(ISERROR(LOOKUP(OB$1,$S33:$HK33,csv!$L33:$HD33)),NA(),LOOKUP(OB$1,$S33:$HK33,csv!$L33:$HD33))</f>
        <v>0</v>
      </c>
      <c r="OC33" s="5">
        <f>IF(ISERROR(LOOKUP(OC$1,$S33:$HK33,csv!$L33:$HD33)),NA(),LOOKUP(OC$1,$S33:$HK33,csv!$L33:$HD33))</f>
        <v>0</v>
      </c>
      <c r="OD33" s="5">
        <f>IF(ISERROR(LOOKUP(OD$1,$S33:$HK33,csv!$L33:$HD33)),NA(),LOOKUP(OD$1,$S33:$HK33,csv!$L33:$HD33))</f>
        <v>0</v>
      </c>
      <c r="OE33" s="5">
        <f>IF(ISERROR(LOOKUP(OE$1,$S33:$HK33,csv!$L33:$HD33)),NA(),LOOKUP(OE$1,$S33:$HK33,csv!$L33:$HD33))</f>
        <v>0</v>
      </c>
      <c r="OF33" s="5">
        <f>IF(ISERROR(LOOKUP(OF$1,$S33:$HK33,csv!$L33:$HD33)),NA(),LOOKUP(OF$1,$S33:$HK33,csv!$L33:$HD33))</f>
        <v>0</v>
      </c>
      <c r="OG33" s="5">
        <f>IF(ISERROR(LOOKUP(OG$1,$S33:$HK33,csv!$L33:$HD33)),NA(),LOOKUP(OG$1,$S33:$HK33,csv!$L33:$HD33))</f>
        <v>0</v>
      </c>
      <c r="OH33" s="5">
        <f>IF(ISERROR(LOOKUP(OH$1,$S33:$HK33,csv!$L33:$HD33)),NA(),LOOKUP(OH$1,$S33:$HK33,csv!$L33:$HD33))</f>
        <v>0</v>
      </c>
      <c r="OI33" s="5">
        <f>IF(ISERROR(LOOKUP(OI$1,$S33:$HK33,csv!$L33:$HD33)),NA(),LOOKUP(OI$1,$S33:$HK33,csv!$L33:$HD33))</f>
        <v>0</v>
      </c>
      <c r="OJ33" s="5">
        <f>IF(ISERROR(LOOKUP(OJ$1,$S33:$HK33,csv!$L33:$HD33)),NA(),LOOKUP(OJ$1,$S33:$HK33,csv!$L33:$HD33))</f>
        <v>0</v>
      </c>
      <c r="OK33" s="5">
        <f>IF(ISERROR(LOOKUP(OK$1,$S33:$HK33,csv!$L33:$HD33)),NA(),LOOKUP(OK$1,$S33:$HK33,csv!$L33:$HD33))</f>
        <v>0</v>
      </c>
      <c r="OL33" s="5">
        <f>IF(ISERROR(LOOKUP(OL$1,$S33:$HK33,csv!$L33:$HD33)),NA(),LOOKUP(OL$1,$S33:$HK33,csv!$L33:$HD33))</f>
        <v>0</v>
      </c>
      <c r="OM33" s="5">
        <f>IF(ISERROR(LOOKUP(OM$1,$S33:$HK33,csv!$L33:$HD33)),NA(),LOOKUP(OM$1,$S33:$HK33,csv!$L33:$HD33))</f>
        <v>0</v>
      </c>
      <c r="ON33" s="5">
        <f>IF(ISERROR(LOOKUP(ON$1,$S33:$HK33,csv!$L33:$HD33)),NA(),LOOKUP(ON$1,$S33:$HK33,csv!$L33:$HD33))</f>
        <v>0</v>
      </c>
      <c r="OO33" s="5">
        <f>IF(ISERROR(LOOKUP(OO$1,$S33:$HK33,csv!$L33:$HD33)),NA(),LOOKUP(OO$1,$S33:$HK33,csv!$L33:$HD33))</f>
        <v>0</v>
      </c>
      <c r="OP33" s="5">
        <f>IF(ISERROR(LOOKUP(OP$1,$S33:$HK33,csv!$L33:$HD33)),NA(),LOOKUP(OP$1,$S33:$HK33,csv!$L33:$HD33))</f>
        <v>0</v>
      </c>
      <c r="OQ33" s="5">
        <f>IF(ISERROR(LOOKUP(OQ$1,$S33:$HK33,csv!$L33:$HD33)),NA(),LOOKUP(OQ$1,$S33:$HK33,csv!$L33:$HD33))</f>
        <v>0</v>
      </c>
      <c r="OR33" s="5">
        <f>IF(ISERROR(LOOKUP(OR$1,$S33:$HK33,csv!$L33:$HD33)),NA(),LOOKUP(OR$1,$S33:$HK33,csv!$L33:$HD33))</f>
        <v>0</v>
      </c>
      <c r="OS33" s="5">
        <f>IF(ISERROR(LOOKUP(OS$1,$S33:$HK33,csv!$L33:$HD33)),NA(),LOOKUP(OS$1,$S33:$HK33,csv!$L33:$HD33))</f>
        <v>0</v>
      </c>
      <c r="OT33" s="5">
        <f>IF(ISERROR(LOOKUP(OT$1,$S33:$HK33,csv!$L33:$HD33)),NA(),LOOKUP(OT$1,$S33:$HK33,csv!$L33:$HD33))</f>
        <v>0</v>
      </c>
      <c r="OU33" s="5">
        <f>IF(ISERROR(LOOKUP(OU$1,$S33:$HK33,csv!$L33:$HD33)),NA(),LOOKUP(OU$1,$S33:$HK33,csv!$L33:$HD33))</f>
        <v>0</v>
      </c>
      <c r="OV33" s="5">
        <f>IF(ISERROR(LOOKUP(OV$1,$S33:$HK33,csv!$L33:$HD33)),NA(),LOOKUP(OV$1,$S33:$HK33,csv!$L33:$HD33))</f>
        <v>0</v>
      </c>
      <c r="OW33" s="5">
        <f>IF(ISERROR(LOOKUP(OW$1,$S33:$HK33,csv!$L33:$HD33)),NA(),LOOKUP(OW$1,$S33:$HK33,csv!$L33:$HD33))</f>
        <v>0</v>
      </c>
      <c r="OX33" s="5">
        <f>IF(ISERROR(LOOKUP(OX$1,$S33:$HK33,csv!$L33:$HD33)),NA(),LOOKUP(OX$1,$S33:$HK33,csv!$L33:$HD33))</f>
        <v>0</v>
      </c>
      <c r="OY33" s="5">
        <f>IF(ISERROR(LOOKUP(OY$1,$S33:$HK33,csv!$L33:$HD33)),NA(),LOOKUP(OY$1,$S33:$HK33,csv!$L33:$HD33))</f>
        <v>0</v>
      </c>
      <c r="OZ33" s="5">
        <f>IF(ISERROR(LOOKUP(OZ$1,$S33:$HK33,csv!$L33:$HD33)),NA(),LOOKUP(OZ$1,$S33:$HK33,csv!$L33:$HD33))</f>
        <v>0</v>
      </c>
      <c r="PA33" s="5">
        <f>IF(ISERROR(LOOKUP(PA$1,$S33:$HK33,csv!$L33:$HD33)),NA(),LOOKUP(PA$1,$S33:$HK33,csv!$L33:$HD33))</f>
        <v>0</v>
      </c>
      <c r="PB33" s="5">
        <f>IF(ISERROR(LOOKUP(PB$1,$S33:$HK33,csv!$L33:$HD33)),NA(),LOOKUP(PB$1,$S33:$HK33,csv!$L33:$HD33))</f>
        <v>0</v>
      </c>
      <c r="PC33" s="5">
        <f>IF(ISERROR(LOOKUP(PC$1,$S33:$HK33,csv!$L33:$HD33)),NA(),LOOKUP(PC$1,$S33:$HK33,csv!$L33:$HD33))</f>
        <v>0</v>
      </c>
      <c r="PD33" s="5">
        <f>IF(ISERROR(LOOKUP(PD$1,$S33:$HK33,csv!$L33:$HD33)),NA(),LOOKUP(PD$1,$S33:$HK33,csv!$L33:$HD33))</f>
        <v>0</v>
      </c>
      <c r="PE33" s="5">
        <f>IF(ISERROR(LOOKUP(PE$1,$S33:$HK33,csv!$L33:$HD33)),NA(),LOOKUP(PE$1,$S33:$HK33,csv!$L33:$HD33))</f>
        <v>0</v>
      </c>
      <c r="PF33" s="5">
        <f>IF(ISERROR(LOOKUP(PF$1,$S33:$HK33,csv!$L33:$HD33)),NA(),LOOKUP(PF$1,$S33:$HK33,csv!$L33:$HD33))</f>
        <v>0</v>
      </c>
      <c r="PG33" s="5">
        <f>IF(ISERROR(LOOKUP(PG$1,$S33:$HK33,csv!$L33:$HD33)),NA(),LOOKUP(PG$1,$S33:$HK33,csv!$L33:$HD33))</f>
        <v>0</v>
      </c>
      <c r="PH33" s="5">
        <f>IF(ISERROR(LOOKUP(PH$1,$S33:$HK33,csv!$L33:$HD33)),NA(),LOOKUP(PH$1,$S33:$HK33,csv!$L33:$HD33))</f>
        <v>0</v>
      </c>
      <c r="PI33" s="5">
        <f>IF(ISERROR(LOOKUP(PI$1,$S33:$HK33,csv!$L33:$HD33)),NA(),LOOKUP(PI$1,$S33:$HK33,csv!$L33:$HD33))</f>
        <v>0</v>
      </c>
      <c r="PJ33" s="5">
        <f>IF(ISERROR(LOOKUP(PJ$1,$S33:$HK33,csv!$L33:$HD33)),NA(),LOOKUP(PJ$1,$S33:$HK33,csv!$L33:$HD33))</f>
        <v>0</v>
      </c>
      <c r="PK33" s="5">
        <f>IF(ISERROR(LOOKUP(PK$1,$S33:$HK33,csv!$L33:$HD33)),NA(),LOOKUP(PK$1,$S33:$HK33,csv!$L33:$HD33))</f>
        <v>0</v>
      </c>
      <c r="PL33" s="5">
        <f>IF(ISERROR(LOOKUP(PL$1,$S33:$HK33,csv!$L33:$HD33)),NA(),LOOKUP(PL$1,$S33:$HK33,csv!$L33:$HD33))</f>
        <v>0</v>
      </c>
      <c r="PM33" s="5">
        <f>IF(ISERROR(LOOKUP(PM$1,$S33:$HK33,csv!$L33:$HD33)),NA(),LOOKUP(PM$1,$S33:$HK33,csv!$L33:$HD33))</f>
        <v>0</v>
      </c>
      <c r="PN33" s="5">
        <f>IF(ISERROR(LOOKUP(PN$1,$S33:$HK33,csv!$L33:$HD33)),NA(),LOOKUP(PN$1,$S33:$HK33,csv!$L33:$HD33))</f>
        <v>0</v>
      </c>
      <c r="PO33" s="5">
        <f>IF(ISERROR(LOOKUP(PO$1,$S33:$HK33,csv!$L33:$HD33)),NA(),LOOKUP(PO$1,$S33:$HK33,csv!$L33:$HD33))</f>
        <v>0</v>
      </c>
      <c r="PP33" s="5">
        <f>IF(ISERROR(LOOKUP(PP$1,$S33:$HK33,csv!$L33:$HD33)),NA(),LOOKUP(PP$1,$S33:$HK33,csv!$L33:$HD33))</f>
        <v>0</v>
      </c>
      <c r="PQ33" s="5">
        <f>IF(ISERROR(LOOKUP(PQ$1,$S33:$HK33,csv!$L33:$HD33)),NA(),LOOKUP(PQ$1,$S33:$HK33,csv!$L33:$HD33))</f>
        <v>0</v>
      </c>
      <c r="PR33" s="5">
        <f>IF(ISERROR(LOOKUP(PR$1,$S33:$HK33,csv!$L33:$HD33)),NA(),LOOKUP(PR$1,$S33:$HK33,csv!$L33:$HD33))</f>
        <v>0</v>
      </c>
      <c r="PS33" s="5">
        <f>IF(ISERROR(LOOKUP(PS$1,$S33:$HK33,csv!$L33:$HD33)),NA(),LOOKUP(PS$1,$S33:$HK33,csv!$L33:$HD33))</f>
        <v>0</v>
      </c>
      <c r="PT33" s="5">
        <f>IF(ISERROR(LOOKUP(PT$1,$S33:$HK33,csv!$L33:$HD33)),NA(),LOOKUP(PT$1,$S33:$HK33,csv!$L33:$HD33))</f>
        <v>0</v>
      </c>
      <c r="PU33" s="5">
        <f>IF(ISERROR(LOOKUP(PU$1,$S33:$HK33,csv!$L33:$HD33)),NA(),LOOKUP(PU$1,$S33:$HK33,csv!$L33:$HD33))</f>
        <v>0</v>
      </c>
      <c r="PV33" s="5">
        <f>IF(ISERROR(LOOKUP(PV$1,$S33:$HK33,csv!$L33:$HD33)),NA(),LOOKUP(PV$1,$S33:$HK33,csv!$L33:$HD33))</f>
        <v>0</v>
      </c>
      <c r="PW33" s="5">
        <f>IF(ISERROR(LOOKUP(PW$1,$S33:$HK33,csv!$L33:$HD33)),NA(),LOOKUP(PW$1,$S33:$HK33,csv!$L33:$HD33))</f>
        <v>0</v>
      </c>
      <c r="PX33" s="5">
        <f>IF(ISERROR(LOOKUP(PX$1,$S33:$HK33,csv!$L33:$HD33)),NA(),LOOKUP(PX$1,$S33:$HK33,csv!$L33:$HD33))</f>
        <v>0</v>
      </c>
      <c r="PY33" s="5">
        <f>IF(ISERROR(LOOKUP(PY$1,$S33:$HK33,csv!$L33:$HD33)),NA(),LOOKUP(PY$1,$S33:$HK33,csv!$L33:$HD33))</f>
        <v>0</v>
      </c>
      <c r="PZ33" s="5">
        <f>IF(ISERROR(LOOKUP(PZ$1,$S33:$HK33,csv!$L33:$HD33)),NA(),LOOKUP(PZ$1,$S33:$HK33,csv!$L33:$HD33))</f>
        <v>0</v>
      </c>
      <c r="QA33" s="5">
        <f>IF(ISERROR(LOOKUP(QA$1,$S33:$HK33,csv!$L33:$HD33)),NA(),LOOKUP(QA$1,$S33:$HK33,csv!$L33:$HD33))</f>
        <v>0</v>
      </c>
      <c r="QB33" s="5">
        <f>IF(ISERROR(LOOKUP(QB$1,$S33:$HK33,csv!$L33:$HD33)),NA(),LOOKUP(QB$1,$S33:$HK33,csv!$L33:$HD33))</f>
        <v>0</v>
      </c>
      <c r="QC33" s="5">
        <f>IF(ISERROR(LOOKUP(QC$1,$S33:$HK33,csv!$L33:$HD33)),NA(),LOOKUP(QC$1,$S33:$HK33,csv!$L33:$HD33))</f>
        <v>0</v>
      </c>
      <c r="QD33" s="5">
        <f>IF(ISERROR(LOOKUP(QD$1,$S33:$HK33,csv!$L33:$HD33)),NA(),LOOKUP(QD$1,$S33:$HK33,csv!$L33:$HD33))</f>
        <v>0</v>
      </c>
      <c r="QE33" s="5">
        <f>IF(ISERROR(LOOKUP(QE$1,$S33:$HK33,csv!$L33:$HD33)),NA(),LOOKUP(QE$1,$S33:$HK33,csv!$L33:$HD33))</f>
        <v>0</v>
      </c>
      <c r="QF33" s="5">
        <f>IF(ISERROR(LOOKUP(QF$1,$S33:$HK33,csv!$L33:$HD33)),NA(),LOOKUP(QF$1,$S33:$HK33,csv!$L33:$HD33))</f>
        <v>0</v>
      </c>
      <c r="QG33" s="5">
        <f>IF(ISERROR(LOOKUP(QG$1,$S33:$HK33,csv!$L33:$HD33)),NA(),LOOKUP(QG$1,$S33:$HK33,csv!$L33:$HD33))</f>
        <v>0</v>
      </c>
      <c r="QH33" s="5">
        <f>IF(ISERROR(LOOKUP(QH$1,$S33:$HK33,csv!$L33:$HD33)),NA(),LOOKUP(QH$1,$S33:$HK33,csv!$L33:$HD33))</f>
        <v>0</v>
      </c>
      <c r="QI33" s="5">
        <f>IF(ISERROR(LOOKUP(QI$1,$S33:$HK33,csv!$L33:$HD33)),NA(),LOOKUP(QI$1,$S33:$HK33,csv!$L33:$HD33))</f>
        <v>0</v>
      </c>
      <c r="QJ33" s="5">
        <f>IF(ISERROR(LOOKUP(QJ$1,$S33:$HK33,csv!$L33:$HD33)),NA(),LOOKUP(QJ$1,$S33:$HK33,csv!$L33:$HD33))</f>
        <v>0</v>
      </c>
      <c r="QK33" s="5">
        <f>IF(ISERROR(LOOKUP(QK$1,$S33:$HK33,csv!$L33:$HD33)),NA(),LOOKUP(QK$1,$S33:$HK33,csv!$L33:$HD33))</f>
        <v>0</v>
      </c>
      <c r="QL33" s="5">
        <f>IF(ISERROR(LOOKUP(QL$1,$S33:$HK33,csv!$L33:$HD33)),NA(),LOOKUP(QL$1,$S33:$HK33,csv!$L33:$HD33))</f>
        <v>0</v>
      </c>
      <c r="QM33" s="5">
        <f>IF(ISERROR(LOOKUP(QM$1,$S33:$HK33,csv!$L33:$HD33)),NA(),LOOKUP(QM$1,$S33:$HK33,csv!$L33:$HD33))</f>
        <v>0</v>
      </c>
      <c r="QN33" s="5">
        <f>IF(ISERROR(LOOKUP(QN$1,$S33:$HK33,csv!$L33:$HD33)),NA(),LOOKUP(QN$1,$S33:$HK33,csv!$L33:$HD33))</f>
        <v>0</v>
      </c>
      <c r="QO33" s="5">
        <f>IF(ISERROR(LOOKUP(QO$1,$S33:$HK33,csv!$L33:$HD33)),NA(),LOOKUP(QO$1,$S33:$HK33,csv!$L33:$HD33))</f>
        <v>0</v>
      </c>
      <c r="QP33" s="5">
        <f>IF(ISERROR(LOOKUP(QP$1,$S33:$HK33,csv!$L33:$HD33)),NA(),LOOKUP(QP$1,$S33:$HK33,csv!$L33:$HD33))</f>
        <v>0</v>
      </c>
      <c r="QQ33" s="5">
        <f>IF(ISERROR(LOOKUP(QQ$1,$S33:$HK33,csv!$L33:$HD33)),NA(),LOOKUP(QQ$1,$S33:$HK33,csv!$L33:$HD33))</f>
        <v>0</v>
      </c>
      <c r="QR33" s="5">
        <f>IF(ISERROR(LOOKUP(QR$1,$S33:$HK33,csv!$L33:$HD33)),NA(),LOOKUP(QR$1,$S33:$HK33,csv!$L33:$HD33))</f>
        <v>0</v>
      </c>
      <c r="QS33" s="5">
        <f>IF(ISERROR(LOOKUP(QS$1,$S33:$HK33,csv!$L33:$HD33)),NA(),LOOKUP(QS$1,$S33:$HK33,csv!$L33:$HD33))</f>
        <v>0</v>
      </c>
      <c r="QT33" s="5">
        <f>IF(ISERROR(LOOKUP(QT$1,$S33:$HK33,csv!$L33:$HD33)),NA(),LOOKUP(QT$1,$S33:$HK33,csv!$L33:$HD33))</f>
        <v>0</v>
      </c>
      <c r="QU33" s="5">
        <f>IF(ISERROR(LOOKUP(QU$1,$S33:$HK33,csv!$L33:$HD33)),NA(),LOOKUP(QU$1,$S33:$HK33,csv!$L33:$HD33))</f>
        <v>0</v>
      </c>
      <c r="QV33" s="5">
        <f>IF(ISERROR(LOOKUP(QV$1,$S33:$HK33,csv!$L33:$HD33)),NA(),LOOKUP(QV$1,$S33:$HK33,csv!$L33:$HD33))</f>
        <v>0</v>
      </c>
      <c r="QW33" s="5">
        <f>IF(ISERROR(LOOKUP(QW$1,$S33:$HK33,csv!$L33:$HD33)),NA(),LOOKUP(QW$1,$S33:$HK33,csv!$L33:$HD33))</f>
        <v>0</v>
      </c>
      <c r="QX33" s="5">
        <f>IF(ISERROR(LOOKUP(QX$1,$S33:$HK33,csv!$L33:$HD33)),NA(),LOOKUP(QX$1,$S33:$HK33,csv!$L33:$HD33))</f>
        <v>0</v>
      </c>
      <c r="QY33" s="5">
        <f>IF(ISERROR(LOOKUP(QY$1,$S33:$HK33,csv!$L33:$HD33)),NA(),LOOKUP(QY$1,$S33:$HK33,csv!$L33:$HD33))</f>
        <v>0</v>
      </c>
      <c r="QZ33" s="5">
        <f>IF(ISERROR(LOOKUP(QZ$1,$S33:$HK33,csv!$L33:$HD33)),NA(),LOOKUP(QZ$1,$S33:$HK33,csv!$L33:$HD33))</f>
        <v>0</v>
      </c>
      <c r="RA33" s="5">
        <f>IF(ISERROR(LOOKUP(RA$1,$S33:$HK33,csv!$L33:$HD33)),NA(),LOOKUP(RA$1,$S33:$HK33,csv!$L33:$HD33))</f>
        <v>0</v>
      </c>
      <c r="RB33" s="5">
        <f>IF(ISERROR(LOOKUP(RB$1,$S33:$HK33,csv!$L33:$HD33)),NA(),LOOKUP(RB$1,$S33:$HK33,csv!$L33:$HD33))</f>
        <v>0</v>
      </c>
      <c r="RC33" s="5">
        <f>IF(ISERROR(LOOKUP(RC$1,$S33:$HK33,csv!$L33:$HD33)),NA(),LOOKUP(RC$1,$S33:$HK33,csv!$L33:$HD33))</f>
        <v>0</v>
      </c>
      <c r="RD33" s="5">
        <f>IF(ISERROR(LOOKUP(RD$1,$S33:$HK33,csv!$L33:$HD33)),NA(),LOOKUP(RD$1,$S33:$HK33,csv!$L33:$HD33))</f>
        <v>0</v>
      </c>
      <c r="RE33" s="5">
        <f>IF(ISERROR(LOOKUP(RE$1,$S33:$HK33,csv!$L33:$HD33)),NA(),LOOKUP(RE$1,$S33:$HK33,csv!$L33:$HD33))</f>
        <v>0</v>
      </c>
      <c r="RF33" s="5">
        <f>IF(ISERROR(LOOKUP(RF$1,$S33:$HK33,csv!$L33:$HD33)),NA(),LOOKUP(RF$1,$S33:$HK33,csv!$L33:$HD33))</f>
        <v>0</v>
      </c>
      <c r="RG33" s="5">
        <f>IF(ISERROR(LOOKUP(RG$1,$S33:$HK33,csv!$L33:$HD33)),NA(),LOOKUP(RG$1,$S33:$HK33,csv!$L33:$HD33))</f>
        <v>0</v>
      </c>
      <c r="RH33" s="5">
        <f>IF(ISERROR(LOOKUP(RH$1,$S33:$HK33,csv!$L33:$HD33)),NA(),LOOKUP(RH$1,$S33:$HK33,csv!$L33:$HD33))</f>
        <v>0</v>
      </c>
      <c r="RI33" s="5">
        <f>IF(ISERROR(LOOKUP(RI$1,$S33:$HK33,csv!$L33:$HD33)),NA(),LOOKUP(RI$1,$S33:$HK33,csv!$L33:$HD33))</f>
        <v>0</v>
      </c>
      <c r="RJ33" s="5">
        <f>IF(ISERROR(LOOKUP(RJ$1,$S33:$HK33,csv!$L33:$HD33)),NA(),LOOKUP(RJ$1,$S33:$HK33,csv!$L33:$HD33))</f>
        <v>0</v>
      </c>
      <c r="RK33" s="5">
        <f>IF(ISERROR(LOOKUP(RK$1,$S33:$HK33,csv!$L33:$HD33)),NA(),LOOKUP(RK$1,$S33:$HK33,csv!$L33:$HD33))</f>
        <v>0</v>
      </c>
      <c r="RL33" s="5">
        <f>IF(ISERROR(LOOKUP(RL$1,$S33:$HK33,csv!$L33:$HD33)),NA(),LOOKUP(RL$1,$S33:$HK33,csv!$L33:$HD33))</f>
        <v>0</v>
      </c>
      <c r="RM33" s="5">
        <f>IF(ISERROR(LOOKUP(RM$1,$S33:$HK33,csv!$L33:$HD33)),NA(),LOOKUP(RM$1,$S33:$HK33,csv!$L33:$HD33))</f>
        <v>0</v>
      </c>
      <c r="RN33" s="5">
        <f>IF(ISERROR(LOOKUP(RN$1,$S33:$HK33,csv!$L33:$HD33)),NA(),LOOKUP(RN$1,$S33:$HK33,csv!$L33:$HD33))</f>
        <v>0</v>
      </c>
      <c r="RO33" s="5">
        <f>IF(ISERROR(LOOKUP(RO$1,$S33:$HK33,csv!$L33:$HD33)),NA(),LOOKUP(RO$1,$S33:$HK33,csv!$L33:$HD33))</f>
        <v>0</v>
      </c>
      <c r="RP33" s="5">
        <f>IF(ISERROR(LOOKUP(RP$1,$S33:$HK33,csv!$L33:$HD33)),NA(),LOOKUP(RP$1,$S33:$HK33,csv!$L33:$HD33))</f>
        <v>0</v>
      </c>
      <c r="RQ33" s="5">
        <f>IF(ISERROR(LOOKUP(RQ$1,$S33:$HK33,csv!$L33:$HD33)),NA(),LOOKUP(RQ$1,$S33:$HK33,csv!$L33:$HD33))</f>
        <v>0</v>
      </c>
      <c r="RR33" s="5">
        <f>IF(ISERROR(LOOKUP(RR$1,$S33:$HK33,csv!$L33:$HD33)),NA(),LOOKUP(RR$1,$S33:$HK33,csv!$L33:$HD33))</f>
        <v>0</v>
      </c>
      <c r="RS33" s="5">
        <f>IF(ISERROR(LOOKUP(RS$1,$S33:$HK33,csv!$L33:$HD33)),NA(),LOOKUP(RS$1,$S33:$HK33,csv!$L33:$HD33))</f>
        <v>0</v>
      </c>
      <c r="RT33" s="5">
        <f>IF(ISERROR(LOOKUP(RT$1,$S33:$HK33,csv!$L33:$HD33)),NA(),LOOKUP(RT$1,$S33:$HK33,csv!$L33:$HD33))</f>
        <v>0</v>
      </c>
      <c r="RU33" s="5">
        <f>IF(ISERROR(LOOKUP(RU$1,$S33:$HK33,csv!$L33:$HD33)),NA(),LOOKUP(RU$1,$S33:$HK33,csv!$L33:$HD33))</f>
        <v>0</v>
      </c>
      <c r="RV33" s="5">
        <f>IF(ISERROR(LOOKUP(RV$1,$S33:$HK33,csv!$L33:$HD33)),NA(),LOOKUP(RV$1,$S33:$HK33,csv!$L33:$HD33))</f>
        <v>0</v>
      </c>
      <c r="RW33" s="5">
        <f>IF(ISERROR(LOOKUP(RW$1,$S33:$HK33,csv!$L33:$HD33)),NA(),LOOKUP(RW$1,$S33:$HK33,csv!$L33:$HD33))</f>
        <v>0</v>
      </c>
      <c r="RX33" s="5">
        <f>IF(ISERROR(LOOKUP(RX$1,$S33:$HK33,csv!$L33:$HD33)),NA(),LOOKUP(RX$1,$S33:$HK33,csv!$L33:$HD33))</f>
        <v>0</v>
      </c>
      <c r="RY33" s="5">
        <f>IF(ISERROR(LOOKUP(RY$1,$S33:$HK33,csv!$L33:$HD33)),NA(),LOOKUP(RY$1,$S33:$HK33,csv!$L33:$HD33))</f>
        <v>0</v>
      </c>
      <c r="RZ33" s="5">
        <f>IF(ISERROR(LOOKUP(RZ$1,$S33:$HK33,csv!$L33:$HD33)),NA(),LOOKUP(RZ$1,$S33:$HK33,csv!$L33:$HD33))</f>
        <v>0</v>
      </c>
      <c r="SA33" s="5">
        <f>IF(ISERROR(LOOKUP(SA$1,$S33:$HK33,csv!$L33:$HD33)),NA(),LOOKUP(SA$1,$S33:$HK33,csv!$L33:$HD33))</f>
        <v>0</v>
      </c>
      <c r="SB33" s="5">
        <f>IF(ISERROR(LOOKUP(SB$1,$S33:$HK33,csv!$L33:$HD33)),NA(),LOOKUP(SB$1,$S33:$HK33,csv!$L33:$HD33))</f>
        <v>0</v>
      </c>
      <c r="SC33" s="5">
        <f>IF(ISERROR(LOOKUP(SC$1,$S33:$HK33,csv!$L33:$HD33)),NA(),LOOKUP(SC$1,$S33:$HK33,csv!$L33:$HD33))</f>
        <v>0</v>
      </c>
      <c r="SD33" s="5">
        <f>IF(ISERROR(LOOKUP(SD$1,$S33:$HK33,csv!$L33:$HD33)),NA(),LOOKUP(SD$1,$S33:$HK33,csv!$L33:$HD33))</f>
        <v>0</v>
      </c>
      <c r="SE33" s="5">
        <f>IF(ISERROR(LOOKUP(SE$1,$S33:$HK33,csv!$L33:$HD33)),NA(),LOOKUP(SE$1,$S33:$HK33,csv!$L33:$HD33))</f>
        <v>0</v>
      </c>
      <c r="SF33" s="5">
        <f>IF(ISERROR(LOOKUP(SF$1,$S33:$HK33,csv!$L33:$HD33)),NA(),LOOKUP(SF$1,$S33:$HK33,csv!$L33:$HD33))</f>
        <v>0</v>
      </c>
      <c r="SG33" s="5">
        <f>IF(ISERROR(LOOKUP(SG$1,$S33:$HK33,csv!$L33:$HD33)),NA(),LOOKUP(SG$1,$S33:$HK33,csv!$L33:$HD33))</f>
        <v>0</v>
      </c>
      <c r="SH33" s="5">
        <f>IF(ISERROR(LOOKUP(SH$1,$S33:$HK33,csv!$L33:$HD33)),NA(),LOOKUP(SH$1,$S33:$HK33,csv!$L33:$HD33))</f>
        <v>0</v>
      </c>
      <c r="SI33" s="5">
        <f>IF(ISERROR(LOOKUP(SI$1,$S33:$HK33,csv!$L33:$HD33)),NA(),LOOKUP(SI$1,$S33:$HK33,csv!$L33:$HD33))</f>
        <v>0</v>
      </c>
      <c r="SJ33" s="5">
        <f>IF(ISERROR(LOOKUP(SJ$1,$S33:$HK33,csv!$L33:$HD33)),NA(),LOOKUP(SJ$1,$S33:$HK33,csv!$L33:$HD33))</f>
        <v>0</v>
      </c>
      <c r="SK33" s="5">
        <f>IF(ISERROR(LOOKUP(SK$1,$S33:$HK33,csv!$L33:$HD33)),NA(),LOOKUP(SK$1,$S33:$HK33,csv!$L33:$HD33))</f>
        <v>0</v>
      </c>
      <c r="SL33" s="5">
        <f>IF(ISERROR(LOOKUP(SL$1,$S33:$HK33,csv!$L33:$HD33)),NA(),LOOKUP(SL$1,$S33:$HK33,csv!$L33:$HD33))</f>
        <v>0</v>
      </c>
      <c r="SM33" s="5">
        <f>IF(ISERROR(LOOKUP(SM$1,$S33:$HK33,csv!$L33:$HD33)),NA(),LOOKUP(SM$1,$S33:$HK33,csv!$L33:$HD33))</f>
        <v>0</v>
      </c>
      <c r="SN33" s="5">
        <f>IF(ISERROR(LOOKUP(SN$1,$S33:$HK33,csv!$L33:$HD33)),NA(),LOOKUP(SN$1,$S33:$HK33,csv!$L33:$HD33))</f>
        <v>0</v>
      </c>
      <c r="SO33" s="5">
        <f>IF(ISERROR(LOOKUP(SO$1,$S33:$HK33,csv!$L33:$HD33)),NA(),LOOKUP(SO$1,$S33:$HK33,csv!$L33:$HD33))</f>
        <v>0</v>
      </c>
      <c r="SP33" s="5">
        <f>IF(ISERROR(LOOKUP(SP$1,$S33:$HK33,csv!$L33:$HD33)),NA(),LOOKUP(SP$1,$S33:$HK33,csv!$L33:$HD33))</f>
        <v>0</v>
      </c>
      <c r="SQ33" s="5">
        <f>IF(ISERROR(LOOKUP(SQ$1,$S33:$HK33,csv!$L33:$HD33)),NA(),LOOKUP(SQ$1,$S33:$HK33,csv!$L33:$HD33))</f>
        <v>0</v>
      </c>
      <c r="SR33" s="5">
        <f>IF(ISERROR(LOOKUP(SR$1,$S33:$HK33,csv!$L33:$HD33)),NA(),LOOKUP(SR$1,$S33:$HK33,csv!$L33:$HD33))</f>
        <v>0</v>
      </c>
      <c r="SS33" s="5">
        <f>IF(ISERROR(LOOKUP(SS$1,$S33:$HK33,csv!$L33:$HD33)),NA(),LOOKUP(SS$1,$S33:$HK33,csv!$L33:$HD33))</f>
        <v>0</v>
      </c>
      <c r="ST33" s="5">
        <f>IF(ISERROR(LOOKUP(ST$1,$S33:$HK33,csv!$L33:$HD33)),NA(),LOOKUP(ST$1,$S33:$HK33,csv!$L33:$HD33))</f>
        <v>0</v>
      </c>
      <c r="SU33" s="5">
        <f>IF(ISERROR(LOOKUP(SU$1,$S33:$HK33,csv!$L33:$HD33)),NA(),LOOKUP(SU$1,$S33:$HK33,csv!$L33:$HD33))</f>
        <v>0</v>
      </c>
      <c r="SV33" s="5">
        <f>IF(ISERROR(LOOKUP(SV$1,$S33:$HK33,csv!$L33:$HD33)),NA(),LOOKUP(SV$1,$S33:$HK33,csv!$L33:$HD33))</f>
        <v>0</v>
      </c>
      <c r="SW33" s="5">
        <f>IF(ISERROR(LOOKUP(SW$1,$S33:$HK33,csv!$L33:$HD33)),NA(),LOOKUP(SW$1,$S33:$HK33,csv!$L33:$HD33))</f>
        <v>0</v>
      </c>
      <c r="SX33" s="5">
        <f>IF(ISERROR(LOOKUP(SX$1,$S33:$HK33,csv!$L33:$HD33)),NA(),LOOKUP(SX$1,$S33:$HK33,csv!$L33:$HD33))</f>
        <v>0</v>
      </c>
      <c r="SY33" s="5">
        <f>IF(ISERROR(LOOKUP(SY$1,$S33:$HK33,csv!$L33:$HD33)),NA(),LOOKUP(SY$1,$S33:$HK33,csv!$L33:$HD33))</f>
        <v>0</v>
      </c>
      <c r="SZ33" s="5">
        <f>IF(ISERROR(LOOKUP(SZ$1,$S33:$HK33,csv!$L33:$HD33)),NA(),LOOKUP(SZ$1,$S33:$HK33,csv!$L33:$HD33))</f>
        <v>0</v>
      </c>
      <c r="TA33" s="5">
        <f>IF(ISERROR(LOOKUP(TA$1,$S33:$HK33,csv!$L33:$HD33)),NA(),LOOKUP(TA$1,$S33:$HK33,csv!$L33:$HD33))</f>
        <v>0</v>
      </c>
      <c r="TB33" s="5">
        <f>IF(ISERROR(LOOKUP(TB$1,$S33:$HK33,csv!$L33:$HD33)),NA(),LOOKUP(TB$1,$S33:$HK33,csv!$L33:$HD33))</f>
        <v>0</v>
      </c>
      <c r="TD33">
        <f>csv!HG33/10</f>
        <v>0</v>
      </c>
    </row>
    <row r="34" spans="19:525" x14ac:dyDescent="0.15">
      <c r="S34" s="4">
        <f>ROUND((csv!$HG34/10+calc!S$1),1)</f>
        <v>-10</v>
      </c>
      <c r="T34" s="4">
        <f>ROUND((csv!$HG34/10+calc!T$1),1)</f>
        <v>-9.9</v>
      </c>
      <c r="U34" s="4">
        <f>ROUND((csv!$HG34/10+calc!U$1),1)</f>
        <v>-9.8000000000000007</v>
      </c>
      <c r="V34" s="4">
        <f>ROUND((csv!$HG34/10+calc!V$1),1)</f>
        <v>-9.6999999999999993</v>
      </c>
      <c r="W34" s="4">
        <f>ROUND((csv!$HG34/10+calc!W$1),1)</f>
        <v>-9.6</v>
      </c>
      <c r="X34" s="4">
        <f>ROUND((csv!$HG34/10+calc!X$1),1)</f>
        <v>-9.5</v>
      </c>
      <c r="Y34" s="4">
        <f>ROUND((csv!$HG34/10+calc!Y$1),1)</f>
        <v>-9.4</v>
      </c>
      <c r="Z34" s="4">
        <f>ROUND((csv!$HG34/10+calc!Z$1),1)</f>
        <v>-9.3000000000000007</v>
      </c>
      <c r="AA34" s="4">
        <f>ROUND((csv!$HG34/10+calc!AA$1),1)</f>
        <v>-9.1999999999999993</v>
      </c>
      <c r="AB34" s="4">
        <f>ROUND((csv!$HG34/10+calc!AB$1),1)</f>
        <v>-9.1</v>
      </c>
      <c r="AC34" s="4">
        <f>ROUND((csv!$HG34/10+calc!AC$1),1)</f>
        <v>-9</v>
      </c>
      <c r="AD34" s="4">
        <f>ROUND((csv!$HG34/10+calc!AD$1),1)</f>
        <v>-8.9</v>
      </c>
      <c r="AE34" s="4">
        <f>ROUND((csv!$HG34/10+calc!AE$1),1)</f>
        <v>-8.8000000000000007</v>
      </c>
      <c r="AF34" s="4">
        <f>ROUND((csv!$HG34/10+calc!AF$1),1)</f>
        <v>-8.6999999999999993</v>
      </c>
      <c r="AG34" s="4">
        <f>ROUND((csv!$HG34/10+calc!AG$1),1)</f>
        <v>-8.6</v>
      </c>
      <c r="AH34" s="4">
        <f>ROUND((csv!$HG34/10+calc!AH$1),1)</f>
        <v>-8.5</v>
      </c>
      <c r="AI34" s="4">
        <f>ROUND((csv!$HG34/10+calc!AI$1),1)</f>
        <v>-8.4</v>
      </c>
      <c r="AJ34" s="4">
        <f>ROUND((csv!$HG34/10+calc!AJ$1),1)</f>
        <v>-8.3000000000000007</v>
      </c>
      <c r="AK34" s="4">
        <f>ROUND((csv!$HG34/10+calc!AK$1),1)</f>
        <v>-8.1999999999999993</v>
      </c>
      <c r="AL34" s="4">
        <f>ROUND((csv!$HG34/10+calc!AL$1),1)</f>
        <v>-8.1</v>
      </c>
      <c r="AM34" s="4">
        <f>ROUND((csv!$HG34/10+calc!AM$1),1)</f>
        <v>-8</v>
      </c>
      <c r="AN34" s="4">
        <f>ROUND((csv!$HG34/10+calc!AN$1),1)</f>
        <v>-7.9</v>
      </c>
      <c r="AO34" s="4">
        <f>ROUND((csv!$HG34/10+calc!AO$1),1)</f>
        <v>-7.8</v>
      </c>
      <c r="AP34" s="4">
        <f>ROUND((csv!$HG34/10+calc!AP$1),1)</f>
        <v>-7.7</v>
      </c>
      <c r="AQ34" s="4">
        <f>ROUND((csv!$HG34/10+calc!AQ$1),1)</f>
        <v>-7.6</v>
      </c>
      <c r="AR34" s="4">
        <f>ROUND((csv!$HG34/10+calc!AR$1),1)</f>
        <v>-7.5</v>
      </c>
      <c r="AS34" s="4">
        <f>ROUND((csv!$HG34/10+calc!AS$1),1)</f>
        <v>-7.4</v>
      </c>
      <c r="AT34" s="4">
        <f>ROUND((csv!$HG34/10+calc!AT$1),1)</f>
        <v>-7.3</v>
      </c>
      <c r="AU34" s="4">
        <f>ROUND((csv!$HG34/10+calc!AU$1),1)</f>
        <v>-7.2</v>
      </c>
      <c r="AV34" s="4">
        <f>ROUND((csv!$HG34/10+calc!AV$1),1)</f>
        <v>-7.1</v>
      </c>
      <c r="AW34" s="4">
        <f>ROUND((csv!$HG34/10+calc!AW$1),1)</f>
        <v>-7</v>
      </c>
      <c r="AX34" s="4">
        <f>ROUND((csv!$HG34/10+calc!AX$1),1)</f>
        <v>-6.9</v>
      </c>
      <c r="AY34" s="4">
        <f>ROUND((csv!$HG34/10+calc!AY$1),1)</f>
        <v>-6.8</v>
      </c>
      <c r="AZ34" s="4">
        <f>ROUND((csv!$HG34/10+calc!AZ$1),1)</f>
        <v>-6.7</v>
      </c>
      <c r="BA34" s="4">
        <f>ROUND((csv!$HG34/10+calc!BA$1),1)</f>
        <v>-6.6</v>
      </c>
      <c r="BB34" s="4">
        <f>ROUND((csv!$HG34/10+calc!BB$1),1)</f>
        <v>-6.5</v>
      </c>
      <c r="BC34" s="4">
        <f>ROUND((csv!$HG34/10+calc!BC$1),1)</f>
        <v>-6.4</v>
      </c>
      <c r="BD34" s="4">
        <f>ROUND((csv!$HG34/10+calc!BD$1),1)</f>
        <v>-6.3</v>
      </c>
      <c r="BE34" s="4">
        <f>ROUND((csv!$HG34/10+calc!BE$1),1)</f>
        <v>-6.2</v>
      </c>
      <c r="BF34" s="4">
        <f>ROUND((csv!$HG34/10+calc!BF$1),1)</f>
        <v>-6.1</v>
      </c>
      <c r="BG34" s="4">
        <f>ROUND((csv!$HG34/10+calc!BG$1),1)</f>
        <v>-6</v>
      </c>
      <c r="BH34" s="4">
        <f>ROUND((csv!$HG34/10+calc!BH$1),1)</f>
        <v>-5.9</v>
      </c>
      <c r="BI34" s="4">
        <f>ROUND((csv!$HG34/10+calc!BI$1),1)</f>
        <v>-5.8</v>
      </c>
      <c r="BJ34" s="4">
        <f>ROUND((csv!$HG34/10+calc!BJ$1),1)</f>
        <v>-5.7</v>
      </c>
      <c r="BK34" s="4">
        <f>ROUND((csv!$HG34/10+calc!BK$1),1)</f>
        <v>-5.6</v>
      </c>
      <c r="BL34" s="4">
        <f>ROUND((csv!$HG34/10+calc!BL$1),1)</f>
        <v>-5.5</v>
      </c>
      <c r="BM34" s="4">
        <f>ROUND((csv!$HG34/10+calc!BM$1),1)</f>
        <v>-5.4</v>
      </c>
      <c r="BN34" s="4">
        <f>ROUND((csv!$HG34/10+calc!BN$1),1)</f>
        <v>-5.3</v>
      </c>
      <c r="BO34" s="4">
        <f>ROUND((csv!$HG34/10+calc!BO$1),1)</f>
        <v>-5.2</v>
      </c>
      <c r="BP34" s="4">
        <f>ROUND((csv!$HG34/10+calc!BP$1),1)</f>
        <v>-5.0999999999999996</v>
      </c>
      <c r="BQ34" s="4">
        <f>ROUND((csv!$HG34/10+calc!BQ$1),1)</f>
        <v>-5</v>
      </c>
      <c r="BR34" s="4">
        <f>ROUND((csv!$HG34/10+calc!BR$1),1)</f>
        <v>-4.9000000000000004</v>
      </c>
      <c r="BS34" s="4">
        <f>ROUND((csv!$HG34/10+calc!BS$1),1)</f>
        <v>-4.8</v>
      </c>
      <c r="BT34" s="4">
        <f>ROUND((csv!$HG34/10+calc!BT$1),1)</f>
        <v>-4.7</v>
      </c>
      <c r="BU34" s="4">
        <f>ROUND((csv!$HG34/10+calc!BU$1),1)</f>
        <v>-4.5999999999999996</v>
      </c>
      <c r="BV34" s="4">
        <f>ROUND((csv!$HG34/10+calc!BV$1),1)</f>
        <v>-4.5</v>
      </c>
      <c r="BW34" s="4">
        <f>ROUND((csv!$HG34/10+calc!BW$1),1)</f>
        <v>-4.4000000000000004</v>
      </c>
      <c r="BX34" s="4">
        <f>ROUND((csv!$HG34/10+calc!BX$1),1)</f>
        <v>-4.3</v>
      </c>
      <c r="BY34" s="4">
        <f>ROUND((csv!$HG34/10+calc!BY$1),1)</f>
        <v>-4.2</v>
      </c>
      <c r="BZ34" s="4">
        <f>ROUND((csv!$HG34/10+calc!BZ$1),1)</f>
        <v>-4.0999999999999996</v>
      </c>
      <c r="CA34" s="4">
        <f>ROUND((csv!$HG34/10+calc!CA$1),1)</f>
        <v>-4</v>
      </c>
      <c r="CB34" s="4">
        <f>ROUND((csv!$HG34/10+calc!CB$1),1)</f>
        <v>-3.9</v>
      </c>
      <c r="CC34" s="4">
        <f>ROUND((csv!$HG34/10+calc!CC$1),1)</f>
        <v>-3.8</v>
      </c>
      <c r="CD34" s="4">
        <f>ROUND((csv!$HG34/10+calc!CD$1),1)</f>
        <v>-3.7</v>
      </c>
      <c r="CE34" s="4">
        <f>ROUND((csv!$HG34/10+calc!CE$1),1)</f>
        <v>-3.6</v>
      </c>
      <c r="CF34" s="4">
        <f>ROUND((csv!$HG34/10+calc!CF$1),1)</f>
        <v>-3.5</v>
      </c>
      <c r="CG34" s="4">
        <f>ROUND((csv!$HG34/10+calc!CG$1),1)</f>
        <v>-3.4</v>
      </c>
      <c r="CH34" s="4">
        <f>ROUND((csv!$HG34/10+calc!CH$1),1)</f>
        <v>-3.3</v>
      </c>
      <c r="CI34" s="4">
        <f>ROUND((csv!$HG34/10+calc!CI$1),1)</f>
        <v>-3.2</v>
      </c>
      <c r="CJ34" s="4">
        <f>ROUND((csv!$HG34/10+calc!CJ$1),1)</f>
        <v>-3.1</v>
      </c>
      <c r="CK34" s="4">
        <f>ROUND((csv!$HG34/10+calc!CK$1),1)</f>
        <v>-3</v>
      </c>
      <c r="CL34" s="4">
        <f>ROUND((csv!$HG34/10+calc!CL$1),1)</f>
        <v>-2.9</v>
      </c>
      <c r="CM34" s="4">
        <f>ROUND((csv!$HG34/10+calc!CM$1),1)</f>
        <v>-2.8</v>
      </c>
      <c r="CN34" s="4">
        <f>ROUND((csv!$HG34/10+calc!CN$1),1)</f>
        <v>-2.7</v>
      </c>
      <c r="CO34" s="4">
        <f>ROUND((csv!$HG34/10+calc!CO$1),1)</f>
        <v>-2.6</v>
      </c>
      <c r="CP34" s="4">
        <f>ROUND((csv!$HG34/10+calc!CP$1),1)</f>
        <v>-2.5</v>
      </c>
      <c r="CQ34" s="4">
        <f>ROUND((csv!$HG34/10+calc!CQ$1),1)</f>
        <v>-2.4</v>
      </c>
      <c r="CR34" s="4">
        <f>ROUND((csv!$HG34/10+calc!CR$1),1)</f>
        <v>-2.2999999999999998</v>
      </c>
      <c r="CS34" s="4">
        <f>ROUND((csv!$HG34/10+calc!CS$1),1)</f>
        <v>-2.2000000000000002</v>
      </c>
      <c r="CT34" s="4">
        <f>ROUND((csv!$HG34/10+calc!CT$1),1)</f>
        <v>-2.1</v>
      </c>
      <c r="CU34" s="4">
        <f>ROUND((csv!$HG34/10+calc!CU$1),1)</f>
        <v>-2</v>
      </c>
      <c r="CV34" s="4">
        <f>ROUND((csv!$HG34/10+calc!CV$1),1)</f>
        <v>-1.9</v>
      </c>
      <c r="CW34" s="4">
        <f>ROUND((csv!$HG34/10+calc!CW$1),1)</f>
        <v>-1.8</v>
      </c>
      <c r="CX34" s="4">
        <f>ROUND((csv!$HG34/10+calc!CX$1),1)</f>
        <v>-1.7</v>
      </c>
      <c r="CY34" s="4">
        <f>ROUND((csv!$HG34/10+calc!CY$1),1)</f>
        <v>-1.6</v>
      </c>
      <c r="CZ34" s="4">
        <f>ROUND((csv!$HG34/10+calc!CZ$1),1)</f>
        <v>-1.5</v>
      </c>
      <c r="DA34" s="4">
        <f>ROUND((csv!$HG34/10+calc!DA$1),1)</f>
        <v>-1.4</v>
      </c>
      <c r="DB34" s="4">
        <f>ROUND((csv!$HG34/10+calc!DB$1),1)</f>
        <v>-1.3</v>
      </c>
      <c r="DC34" s="4">
        <f>ROUND((csv!$HG34/10+calc!DC$1),1)</f>
        <v>-1.2</v>
      </c>
      <c r="DD34" s="4">
        <f>ROUND((csv!$HG34/10+calc!DD$1),1)</f>
        <v>-1.1000000000000001</v>
      </c>
      <c r="DE34" s="4">
        <f>ROUND((csv!$HG34/10+calc!DE$1),1)</f>
        <v>-1</v>
      </c>
      <c r="DF34" s="4">
        <f>ROUND((csv!$HG34/10+calc!DF$1),1)</f>
        <v>-0.9</v>
      </c>
      <c r="DG34" s="4">
        <f>ROUND((csv!$HG34/10+calc!DG$1),1)</f>
        <v>-0.8</v>
      </c>
      <c r="DH34" s="4">
        <f>ROUND((csv!$HG34/10+calc!DH$1),1)</f>
        <v>-0.7</v>
      </c>
      <c r="DI34" s="4">
        <f>ROUND((csv!$HG34/10+calc!DI$1),1)</f>
        <v>-0.6</v>
      </c>
      <c r="DJ34" s="4">
        <f>ROUND((csv!$HG34/10+calc!DJ$1),1)</f>
        <v>-0.5</v>
      </c>
      <c r="DK34" s="4">
        <f>ROUND((csv!$HG34/10+calc!DK$1),1)</f>
        <v>-0.4</v>
      </c>
      <c r="DL34" s="4">
        <f>ROUND((csv!$HG34/10+calc!DL$1),1)</f>
        <v>-0.3</v>
      </c>
      <c r="DM34" s="4">
        <f>ROUND((csv!$HG34/10+calc!DM$1),1)</f>
        <v>-0.2</v>
      </c>
      <c r="DN34" s="4">
        <f>ROUND((csv!$HG34/10+calc!DN$1),1)</f>
        <v>-0.1</v>
      </c>
      <c r="DO34" s="4">
        <f>ROUND((csv!$HG34/10+calc!DO$1),1)</f>
        <v>0</v>
      </c>
      <c r="DP34" s="4">
        <f>ROUND((csv!$HG34/10+calc!DP$1),1)</f>
        <v>0.1</v>
      </c>
      <c r="DQ34" s="4">
        <f>ROUND((csv!$HG34/10+calc!DQ$1),1)</f>
        <v>0.2</v>
      </c>
      <c r="DR34" s="4">
        <f>ROUND((csv!$HG34/10+calc!DR$1),1)</f>
        <v>0.3</v>
      </c>
      <c r="DS34" s="4">
        <f>ROUND((csv!$HG34/10+calc!DS$1),1)</f>
        <v>0.4</v>
      </c>
      <c r="DT34" s="4">
        <f>ROUND((csv!$HG34/10+calc!DT$1),1)</f>
        <v>0.5</v>
      </c>
      <c r="DU34" s="4">
        <f>ROUND((csv!$HG34/10+calc!DU$1),1)</f>
        <v>0.6</v>
      </c>
      <c r="DV34" s="4">
        <f>ROUND((csv!$HG34/10+calc!DV$1),1)</f>
        <v>0.7</v>
      </c>
      <c r="DW34" s="4">
        <f>ROUND((csv!$HG34/10+calc!DW$1),1)</f>
        <v>0.8</v>
      </c>
      <c r="DX34" s="4">
        <f>ROUND((csv!$HG34/10+calc!DX$1),1)</f>
        <v>0.9</v>
      </c>
      <c r="DY34" s="4">
        <f>ROUND((csv!$HG34/10+calc!DY$1),1)</f>
        <v>1</v>
      </c>
      <c r="DZ34" s="4">
        <f>ROUND((csv!$HG34/10+calc!DZ$1),1)</f>
        <v>1.1000000000000001</v>
      </c>
      <c r="EA34" s="4">
        <f>ROUND((csv!$HG34/10+calc!EA$1),1)</f>
        <v>1.2</v>
      </c>
      <c r="EB34" s="4">
        <f>ROUND((csv!$HG34/10+calc!EB$1),1)</f>
        <v>1.3</v>
      </c>
      <c r="EC34" s="4">
        <f>ROUND((csv!$HG34/10+calc!EC$1),1)</f>
        <v>1.4</v>
      </c>
      <c r="ED34" s="4">
        <f>ROUND((csv!$HG34/10+calc!ED$1),1)</f>
        <v>1.5</v>
      </c>
      <c r="EE34" s="4">
        <f>ROUND((csv!$HG34/10+calc!EE$1),1)</f>
        <v>1.6</v>
      </c>
      <c r="EF34" s="4">
        <f>ROUND((csv!$HG34/10+calc!EF$1),1)</f>
        <v>1.7</v>
      </c>
      <c r="EG34" s="4">
        <f>ROUND((csv!$HG34/10+calc!EG$1),1)</f>
        <v>1.8</v>
      </c>
      <c r="EH34" s="4">
        <f>ROUND((csv!$HG34/10+calc!EH$1),1)</f>
        <v>1.9</v>
      </c>
      <c r="EI34" s="4">
        <f>ROUND((csv!$HG34/10+calc!EI$1),1)</f>
        <v>2</v>
      </c>
      <c r="EJ34" s="4">
        <f>ROUND((csv!$HG34/10+calc!EJ$1),1)</f>
        <v>2.1</v>
      </c>
      <c r="EK34" s="4">
        <f>ROUND((csv!$HG34/10+calc!EK$1),1)</f>
        <v>2.2000000000000002</v>
      </c>
      <c r="EL34" s="4">
        <f>ROUND((csv!$HG34/10+calc!EL$1),1)</f>
        <v>2.2999999999999998</v>
      </c>
      <c r="EM34" s="4">
        <f>ROUND((csv!$HG34/10+calc!EM$1),1)</f>
        <v>2.4</v>
      </c>
      <c r="EN34" s="4">
        <f>ROUND((csv!$HG34/10+calc!EN$1),1)</f>
        <v>2.5</v>
      </c>
      <c r="EO34" s="4">
        <f>ROUND((csv!$HG34/10+calc!EO$1),1)</f>
        <v>2.6</v>
      </c>
      <c r="EP34" s="4">
        <f>ROUND((csv!$HG34/10+calc!EP$1),1)</f>
        <v>2.7</v>
      </c>
      <c r="EQ34" s="4">
        <f>ROUND((csv!$HG34/10+calc!EQ$1),1)</f>
        <v>2.8</v>
      </c>
      <c r="ER34" s="4">
        <f>ROUND((csv!$HG34/10+calc!ER$1),1)</f>
        <v>2.9</v>
      </c>
      <c r="ES34" s="4">
        <f>ROUND((csv!$HG34/10+calc!ES$1),1)</f>
        <v>3</v>
      </c>
      <c r="ET34" s="4">
        <f>ROUND((csv!$HG34/10+calc!ET$1),1)</f>
        <v>3.1</v>
      </c>
      <c r="EU34" s="4">
        <f>ROUND((csv!$HG34/10+calc!EU$1),1)</f>
        <v>3.2</v>
      </c>
      <c r="EV34" s="4">
        <f>ROUND((csv!$HG34/10+calc!EV$1),1)</f>
        <v>3.3</v>
      </c>
      <c r="EW34" s="4">
        <f>ROUND((csv!$HG34/10+calc!EW$1),1)</f>
        <v>3.4</v>
      </c>
      <c r="EX34" s="4">
        <f>ROUND((csv!$HG34/10+calc!EX$1),1)</f>
        <v>3.5</v>
      </c>
      <c r="EY34" s="4">
        <f>ROUND((csv!$HG34/10+calc!EY$1),1)</f>
        <v>3.6</v>
      </c>
      <c r="EZ34" s="4">
        <f>ROUND((csv!$HG34/10+calc!EZ$1),1)</f>
        <v>3.7</v>
      </c>
      <c r="FA34" s="4">
        <f>ROUND((csv!$HG34/10+calc!FA$1),1)</f>
        <v>3.8</v>
      </c>
      <c r="FB34" s="4">
        <f>ROUND((csv!$HG34/10+calc!FB$1),1)</f>
        <v>3.9</v>
      </c>
      <c r="FC34" s="4">
        <f>ROUND((csv!$HG34/10+calc!FC$1),1)</f>
        <v>4</v>
      </c>
      <c r="FD34" s="4">
        <f>ROUND((csv!$HG34/10+calc!FD$1),1)</f>
        <v>4.0999999999999996</v>
      </c>
      <c r="FE34" s="4">
        <f>ROUND((csv!$HG34/10+calc!FE$1),1)</f>
        <v>4.2</v>
      </c>
      <c r="FF34" s="4">
        <f>ROUND((csv!$HG34/10+calc!FF$1),1)</f>
        <v>4.3</v>
      </c>
      <c r="FG34" s="4">
        <f>ROUND((csv!$HG34/10+calc!FG$1),1)</f>
        <v>4.4000000000000004</v>
      </c>
      <c r="FH34" s="4">
        <f>ROUND((csv!$HG34/10+calc!FH$1),1)</f>
        <v>4.5</v>
      </c>
      <c r="FI34" s="4">
        <f>ROUND((csv!$HG34/10+calc!FI$1),1)</f>
        <v>4.5999999999999996</v>
      </c>
      <c r="FJ34" s="4">
        <f>ROUND((csv!$HG34/10+calc!FJ$1),1)</f>
        <v>4.7</v>
      </c>
      <c r="FK34" s="4">
        <f>ROUND((csv!$HG34/10+calc!FK$1),1)</f>
        <v>4.8</v>
      </c>
      <c r="FL34" s="4">
        <f>ROUND((csv!$HG34/10+calc!FL$1),1)</f>
        <v>4.9000000000000004</v>
      </c>
      <c r="FM34" s="4">
        <f>ROUND((csv!$HG34/10+calc!FM$1),1)</f>
        <v>5</v>
      </c>
      <c r="FN34" s="4">
        <f>ROUND((csv!$HG34/10+calc!FN$1),1)</f>
        <v>5.0999999999999996</v>
      </c>
      <c r="FO34" s="4">
        <f>ROUND((csv!$HG34/10+calc!FO$1),1)</f>
        <v>5.2</v>
      </c>
      <c r="FP34" s="4">
        <f>ROUND((csv!$HG34/10+calc!FP$1),1)</f>
        <v>5.3</v>
      </c>
      <c r="FQ34" s="4">
        <f>ROUND((csv!$HG34/10+calc!FQ$1),1)</f>
        <v>5.4</v>
      </c>
      <c r="FR34" s="4">
        <f>ROUND((csv!$HG34/10+calc!FR$1),1)</f>
        <v>5.5</v>
      </c>
      <c r="FS34" s="4">
        <f>ROUND((csv!$HG34/10+calc!FS$1),1)</f>
        <v>5.6</v>
      </c>
      <c r="FT34" s="4">
        <f>ROUND((csv!$HG34/10+calc!FT$1),1)</f>
        <v>5.7</v>
      </c>
      <c r="FU34" s="4">
        <f>ROUND((csv!$HG34/10+calc!FU$1),1)</f>
        <v>5.8</v>
      </c>
      <c r="FV34" s="4">
        <f>ROUND((csv!$HG34/10+calc!FV$1),1)</f>
        <v>5.9</v>
      </c>
      <c r="FW34" s="4">
        <f>ROUND((csv!$HG34/10+calc!FW$1),1)</f>
        <v>6</v>
      </c>
      <c r="FX34" s="4">
        <f>ROUND((csv!$HG34/10+calc!FX$1),1)</f>
        <v>6.1</v>
      </c>
      <c r="FY34" s="4">
        <f>ROUND((csv!$HG34/10+calc!FY$1),1)</f>
        <v>6.2</v>
      </c>
      <c r="FZ34" s="4">
        <f>ROUND((csv!$HG34/10+calc!FZ$1),1)</f>
        <v>6.3</v>
      </c>
      <c r="GA34" s="4">
        <f>ROUND((csv!$HG34/10+calc!GA$1),1)</f>
        <v>6.4</v>
      </c>
      <c r="GB34" s="4">
        <f>ROUND((csv!$HG34/10+calc!GB$1),1)</f>
        <v>6.5</v>
      </c>
      <c r="GC34" s="4">
        <f>ROUND((csv!$HG34/10+calc!GC$1),1)</f>
        <v>6.6</v>
      </c>
      <c r="GD34" s="4">
        <f>ROUND((csv!$HG34/10+calc!GD$1),1)</f>
        <v>6.7</v>
      </c>
      <c r="GE34" s="4">
        <f>ROUND((csv!$HG34/10+calc!GE$1),1)</f>
        <v>6.8</v>
      </c>
      <c r="GF34" s="4">
        <f>ROUND((csv!$HG34/10+calc!GF$1),1)</f>
        <v>6.9</v>
      </c>
      <c r="GG34" s="4">
        <f>ROUND((csv!$HG34/10+calc!GG$1),1)</f>
        <v>7</v>
      </c>
      <c r="GH34" s="4">
        <f>ROUND((csv!$HG34/10+calc!GH$1),1)</f>
        <v>7.1</v>
      </c>
      <c r="GI34" s="4">
        <f>ROUND((csv!$HG34/10+calc!GI$1),1)</f>
        <v>7.2</v>
      </c>
      <c r="GJ34" s="4">
        <f>ROUND((csv!$HG34/10+calc!GJ$1),1)</f>
        <v>7.3</v>
      </c>
      <c r="GK34" s="4">
        <f>ROUND((csv!$HG34/10+calc!GK$1),1)</f>
        <v>7.4</v>
      </c>
      <c r="GL34" s="4">
        <f>ROUND((csv!$HG34/10+calc!GL$1),1)</f>
        <v>7.5</v>
      </c>
      <c r="GM34" s="4">
        <f>ROUND((csv!$HG34/10+calc!GM$1),1)</f>
        <v>7.6</v>
      </c>
      <c r="GN34" s="4">
        <f>ROUND((csv!$HG34/10+calc!GN$1),1)</f>
        <v>7.7</v>
      </c>
      <c r="GO34" s="4">
        <f>ROUND((csv!$HG34/10+calc!GO$1),1)</f>
        <v>7.8</v>
      </c>
      <c r="GP34" s="4">
        <f>ROUND((csv!$HG34/10+calc!GP$1),1)</f>
        <v>7.9</v>
      </c>
      <c r="GQ34" s="4">
        <f>ROUND((csv!$HG34/10+calc!GQ$1),1)</f>
        <v>8</v>
      </c>
      <c r="GR34" s="4">
        <f>ROUND((csv!$HG34/10+calc!GR$1),1)</f>
        <v>8.1</v>
      </c>
      <c r="GS34" s="4">
        <f>ROUND((csv!$HG34/10+calc!GS$1),1)</f>
        <v>8.1999999999999993</v>
      </c>
      <c r="GT34" s="4">
        <f>ROUND((csv!$HG34/10+calc!GT$1),1)</f>
        <v>8.3000000000000007</v>
      </c>
      <c r="GU34" s="4">
        <f>ROUND((csv!$HG34/10+calc!GU$1),1)</f>
        <v>8.4</v>
      </c>
      <c r="GV34" s="4">
        <f>ROUND((csv!$HG34/10+calc!GV$1),1)</f>
        <v>8.5</v>
      </c>
      <c r="GW34" s="4">
        <f>ROUND((csv!$HG34/10+calc!GW$1),1)</f>
        <v>8.6</v>
      </c>
      <c r="GX34" s="4">
        <f>ROUND((csv!$HG34/10+calc!GX$1),1)</f>
        <v>8.6999999999999993</v>
      </c>
      <c r="GY34" s="4">
        <f>ROUND((csv!$HG34/10+calc!GY$1),1)</f>
        <v>8.8000000000000007</v>
      </c>
      <c r="GZ34" s="4">
        <f>ROUND((csv!$HG34/10+calc!GZ$1),1)</f>
        <v>8.9</v>
      </c>
      <c r="HA34" s="4">
        <f>ROUND((csv!$HG34/10+calc!HA$1),1)</f>
        <v>9</v>
      </c>
      <c r="HB34" s="4">
        <f>ROUND((csv!$HG34/10+calc!HB$1),1)</f>
        <v>9.1</v>
      </c>
      <c r="HC34" s="4">
        <f>ROUND((csv!$HG34/10+calc!HC$1),1)</f>
        <v>9.1999999999999993</v>
      </c>
      <c r="HD34" s="4">
        <f>ROUND((csv!$HG34/10+calc!HD$1),1)</f>
        <v>9.3000000000000007</v>
      </c>
      <c r="HE34" s="4">
        <f>ROUND((csv!$HG34/10+calc!HE$1),1)</f>
        <v>9.4</v>
      </c>
      <c r="HF34" s="4">
        <f>ROUND((csv!$HG34/10+calc!HF$1),1)</f>
        <v>9.5</v>
      </c>
      <c r="HG34" s="4">
        <f>ROUND((csv!$HG34/10+calc!HG$1),1)</f>
        <v>9.6</v>
      </c>
      <c r="HH34" s="4">
        <f>ROUND((csv!$HG34/10+calc!HH$1),1)</f>
        <v>9.6999999999999993</v>
      </c>
      <c r="HI34" s="4">
        <f>ROUND((csv!$HG34/10+calc!HI$1),1)</f>
        <v>9.8000000000000007</v>
      </c>
      <c r="HJ34" s="4">
        <f>ROUND((csv!$HG34/10+calc!HJ$1),1)</f>
        <v>9.9</v>
      </c>
      <c r="HK34" s="4">
        <f>ROUND((csv!$HG34/10+calc!HK$1),1)</f>
        <v>10</v>
      </c>
      <c r="HM34" s="2">
        <f>csv!A34*10000+csv!B34*100+csv!C34</f>
        <v>0</v>
      </c>
      <c r="HN34" s="5">
        <f>IF(ISERROR(LOOKUP(HN$1,$S34:$HK34,csv!$L34:$HD34)),NA(),LOOKUP(HN$1,$S34:$HK34,csv!$L34:$HD34))</f>
        <v>0</v>
      </c>
      <c r="HO34" s="5">
        <f>IF(ISERROR(LOOKUP(HO$1,$S34:$HK34,csv!$L34:$HD34)),NA(),LOOKUP(HO$1,$S34:$HK34,csv!$L34:$HD34))</f>
        <v>0</v>
      </c>
      <c r="HP34" s="5">
        <f>IF(ISERROR(LOOKUP(HP$1,$S34:$HK34,csv!$L34:$HD34)),NA(),LOOKUP(HP$1,$S34:$HK34,csv!$L34:$HD34))</f>
        <v>0</v>
      </c>
      <c r="HQ34" s="5">
        <f>IF(ISERROR(LOOKUP(HQ$1,$S34:$HK34,csv!$L34:$HD34)),NA(),LOOKUP(HQ$1,$S34:$HK34,csv!$L34:$HD34))</f>
        <v>0</v>
      </c>
      <c r="HR34" s="5">
        <f>IF(ISERROR(LOOKUP(HR$1,$S34:$HK34,csv!$L34:$HD34)),NA(),LOOKUP(HR$1,$S34:$HK34,csv!$L34:$HD34))</f>
        <v>0</v>
      </c>
      <c r="HS34" s="5">
        <f>IF(ISERROR(LOOKUP(HS$1,$S34:$HK34,csv!$L34:$HD34)),NA(),LOOKUP(HS$1,$S34:$HK34,csv!$L34:$HD34))</f>
        <v>0</v>
      </c>
      <c r="HT34" s="5">
        <f>IF(ISERROR(LOOKUP(HT$1,$S34:$HK34,csv!$L34:$HD34)),NA(),LOOKUP(HT$1,$S34:$HK34,csv!$L34:$HD34))</f>
        <v>0</v>
      </c>
      <c r="HU34" s="5">
        <f>IF(ISERROR(LOOKUP(HU$1,$S34:$HK34,csv!$L34:$HD34)),NA(),LOOKUP(HU$1,$S34:$HK34,csv!$L34:$HD34))</f>
        <v>0</v>
      </c>
      <c r="HV34" s="5">
        <f>IF(ISERROR(LOOKUP(HV$1,$S34:$HK34,csv!$L34:$HD34)),NA(),LOOKUP(HV$1,$S34:$HK34,csv!$L34:$HD34))</f>
        <v>0</v>
      </c>
      <c r="HW34" s="5">
        <f>IF(ISERROR(LOOKUP(HW$1,$S34:$HK34,csv!$L34:$HD34)),NA(),LOOKUP(HW$1,$S34:$HK34,csv!$L34:$HD34))</f>
        <v>0</v>
      </c>
      <c r="HX34" s="5">
        <f>IF(ISERROR(LOOKUP(HX$1,$S34:$HK34,csv!$L34:$HD34)),NA(),LOOKUP(HX$1,$S34:$HK34,csv!$L34:$HD34))</f>
        <v>0</v>
      </c>
      <c r="HY34" s="5">
        <f>IF(ISERROR(LOOKUP(HY$1,$S34:$HK34,csv!$L34:$HD34)),NA(),LOOKUP(HY$1,$S34:$HK34,csv!$L34:$HD34))</f>
        <v>0</v>
      </c>
      <c r="HZ34" s="5">
        <f>IF(ISERROR(LOOKUP(HZ$1,$S34:$HK34,csv!$L34:$HD34)),NA(),LOOKUP(HZ$1,$S34:$HK34,csv!$L34:$HD34))</f>
        <v>0</v>
      </c>
      <c r="IA34" s="5">
        <f>IF(ISERROR(LOOKUP(IA$1,$S34:$HK34,csv!$L34:$HD34)),NA(),LOOKUP(IA$1,$S34:$HK34,csv!$L34:$HD34))</f>
        <v>0</v>
      </c>
      <c r="IB34" s="5">
        <f>IF(ISERROR(LOOKUP(IB$1,$S34:$HK34,csv!$L34:$HD34)),NA(),LOOKUP(IB$1,$S34:$HK34,csv!$L34:$HD34))</f>
        <v>0</v>
      </c>
      <c r="IC34" s="5">
        <f>IF(ISERROR(LOOKUP(IC$1,$S34:$HK34,csv!$L34:$HD34)),NA(),LOOKUP(IC$1,$S34:$HK34,csv!$L34:$HD34))</f>
        <v>0</v>
      </c>
      <c r="ID34" s="5">
        <f>IF(ISERROR(LOOKUP(ID$1,$S34:$HK34,csv!$L34:$HD34)),NA(),LOOKUP(ID$1,$S34:$HK34,csv!$L34:$HD34))</f>
        <v>0</v>
      </c>
      <c r="IE34" s="5">
        <f>IF(ISERROR(LOOKUP(IE$1,$S34:$HK34,csv!$L34:$HD34)),NA(),LOOKUP(IE$1,$S34:$HK34,csv!$L34:$HD34))</f>
        <v>0</v>
      </c>
      <c r="IF34" s="5">
        <f>IF(ISERROR(LOOKUP(IF$1,$S34:$HK34,csv!$L34:$HD34)),NA(),LOOKUP(IF$1,$S34:$HK34,csv!$L34:$HD34))</f>
        <v>0</v>
      </c>
      <c r="IG34" s="5">
        <f>IF(ISERROR(LOOKUP(IG$1,$S34:$HK34,csv!$L34:$HD34)),NA(),LOOKUP(IG$1,$S34:$HK34,csv!$L34:$HD34))</f>
        <v>0</v>
      </c>
      <c r="IH34" s="5">
        <f>IF(ISERROR(LOOKUP(IH$1,$S34:$HK34,csv!$L34:$HD34)),NA(),LOOKUP(IH$1,$S34:$HK34,csv!$L34:$HD34))</f>
        <v>0</v>
      </c>
      <c r="II34" s="5">
        <f>IF(ISERROR(LOOKUP(II$1,$S34:$HK34,csv!$L34:$HD34)),NA(),LOOKUP(II$1,$S34:$HK34,csv!$L34:$HD34))</f>
        <v>0</v>
      </c>
      <c r="IJ34" s="5">
        <f>IF(ISERROR(LOOKUP(IJ$1,$S34:$HK34,csv!$L34:$HD34)),NA(),LOOKUP(IJ$1,$S34:$HK34,csv!$L34:$HD34))</f>
        <v>0</v>
      </c>
      <c r="IK34" s="5">
        <f>IF(ISERROR(LOOKUP(IK$1,$S34:$HK34,csv!$L34:$HD34)),NA(),LOOKUP(IK$1,$S34:$HK34,csv!$L34:$HD34))</f>
        <v>0</v>
      </c>
      <c r="IL34" s="5">
        <f>IF(ISERROR(LOOKUP(IL$1,$S34:$HK34,csv!$L34:$HD34)),NA(),LOOKUP(IL$1,$S34:$HK34,csv!$L34:$HD34))</f>
        <v>0</v>
      </c>
      <c r="IM34" s="5">
        <f>IF(ISERROR(LOOKUP(IM$1,$S34:$HK34,csv!$L34:$HD34)),NA(),LOOKUP(IM$1,$S34:$HK34,csv!$L34:$HD34))</f>
        <v>0</v>
      </c>
      <c r="IN34" s="5">
        <f>IF(ISERROR(LOOKUP(IN$1,$S34:$HK34,csv!$L34:$HD34)),NA(),LOOKUP(IN$1,$S34:$HK34,csv!$L34:$HD34))</f>
        <v>0</v>
      </c>
      <c r="IO34" s="5">
        <f>IF(ISERROR(LOOKUP(IO$1,$S34:$HK34,csv!$L34:$HD34)),NA(),LOOKUP(IO$1,$S34:$HK34,csv!$L34:$HD34))</f>
        <v>0</v>
      </c>
      <c r="IP34" s="5">
        <f>IF(ISERROR(LOOKUP(IP$1,$S34:$HK34,csv!$L34:$HD34)),NA(),LOOKUP(IP$1,$S34:$HK34,csv!$L34:$HD34))</f>
        <v>0</v>
      </c>
      <c r="IQ34" s="5">
        <f>IF(ISERROR(LOOKUP(IQ$1,$S34:$HK34,csv!$L34:$HD34)),NA(),LOOKUP(IQ$1,$S34:$HK34,csv!$L34:$HD34))</f>
        <v>0</v>
      </c>
      <c r="IR34" s="5">
        <f>IF(ISERROR(LOOKUP(IR$1,$S34:$HK34,csv!$L34:$HD34)),NA(),LOOKUP(IR$1,$S34:$HK34,csv!$L34:$HD34))</f>
        <v>0</v>
      </c>
      <c r="IS34" s="5">
        <f>IF(ISERROR(LOOKUP(IS$1,$S34:$HK34,csv!$L34:$HD34)),NA(),LOOKUP(IS$1,$S34:$HK34,csv!$L34:$HD34))</f>
        <v>0</v>
      </c>
      <c r="IT34" s="5">
        <f>IF(ISERROR(LOOKUP(IT$1,$S34:$HK34,csv!$L34:$HD34)),NA(),LOOKUP(IT$1,$S34:$HK34,csv!$L34:$HD34))</f>
        <v>0</v>
      </c>
      <c r="IU34" s="5">
        <f>IF(ISERROR(LOOKUP(IU$1,$S34:$HK34,csv!$L34:$HD34)),NA(),LOOKUP(IU$1,$S34:$HK34,csv!$L34:$HD34))</f>
        <v>0</v>
      </c>
      <c r="IV34" s="5">
        <f>IF(ISERROR(LOOKUP(IV$1,$S34:$HK34,csv!$L34:$HD34)),NA(),LOOKUP(IV$1,$S34:$HK34,csv!$L34:$HD34))</f>
        <v>0</v>
      </c>
      <c r="IW34" s="5">
        <f>IF(ISERROR(LOOKUP(IW$1,$S34:$HK34,csv!$L34:$HD34)),NA(),LOOKUP(IW$1,$S34:$HK34,csv!$L34:$HD34))</f>
        <v>0</v>
      </c>
      <c r="IX34" s="5">
        <f>IF(ISERROR(LOOKUP(IX$1,$S34:$HK34,csv!$L34:$HD34)),NA(),LOOKUP(IX$1,$S34:$HK34,csv!$L34:$HD34))</f>
        <v>0</v>
      </c>
      <c r="IY34" s="5">
        <f>IF(ISERROR(LOOKUP(IY$1,$S34:$HK34,csv!$L34:$HD34)),NA(),LOOKUP(IY$1,$S34:$HK34,csv!$L34:$HD34))</f>
        <v>0</v>
      </c>
      <c r="IZ34" s="5">
        <f>IF(ISERROR(LOOKUP(IZ$1,$S34:$HK34,csv!$L34:$HD34)),NA(),LOOKUP(IZ$1,$S34:$HK34,csv!$L34:$HD34))</f>
        <v>0</v>
      </c>
      <c r="JA34" s="5">
        <f>IF(ISERROR(LOOKUP(JA$1,$S34:$HK34,csv!$L34:$HD34)),NA(),LOOKUP(JA$1,$S34:$HK34,csv!$L34:$HD34))</f>
        <v>0</v>
      </c>
      <c r="JB34" s="5">
        <f>IF(ISERROR(LOOKUP(JB$1,$S34:$HK34,csv!$L34:$HD34)),NA(),LOOKUP(JB$1,$S34:$HK34,csv!$L34:$HD34))</f>
        <v>0</v>
      </c>
      <c r="JC34" s="5">
        <f>IF(ISERROR(LOOKUP(JC$1,$S34:$HK34,csv!$L34:$HD34)),NA(),LOOKUP(JC$1,$S34:$HK34,csv!$L34:$HD34))</f>
        <v>0</v>
      </c>
      <c r="JD34" s="5">
        <f>IF(ISERROR(LOOKUP(JD$1,$S34:$HK34,csv!$L34:$HD34)),NA(),LOOKUP(JD$1,$S34:$HK34,csv!$L34:$HD34))</f>
        <v>0</v>
      </c>
      <c r="JE34" s="5">
        <f>IF(ISERROR(LOOKUP(JE$1,$S34:$HK34,csv!$L34:$HD34)),NA(),LOOKUP(JE$1,$S34:$HK34,csv!$L34:$HD34))</f>
        <v>0</v>
      </c>
      <c r="JF34" s="5">
        <f>IF(ISERROR(LOOKUP(JF$1,$S34:$HK34,csv!$L34:$HD34)),NA(),LOOKUP(JF$1,$S34:$HK34,csv!$L34:$HD34))</f>
        <v>0</v>
      </c>
      <c r="JG34" s="5">
        <f>IF(ISERROR(LOOKUP(JG$1,$S34:$HK34,csv!$L34:$HD34)),NA(),LOOKUP(JG$1,$S34:$HK34,csv!$L34:$HD34))</f>
        <v>0</v>
      </c>
      <c r="JH34" s="5">
        <f>IF(ISERROR(LOOKUP(JH$1,$S34:$HK34,csv!$L34:$HD34)),NA(),LOOKUP(JH$1,$S34:$HK34,csv!$L34:$HD34))</f>
        <v>0</v>
      </c>
      <c r="JI34" s="5">
        <f>IF(ISERROR(LOOKUP(JI$1,$S34:$HK34,csv!$L34:$HD34)),NA(),LOOKUP(JI$1,$S34:$HK34,csv!$L34:$HD34))</f>
        <v>0</v>
      </c>
      <c r="JJ34" s="5">
        <f>IF(ISERROR(LOOKUP(JJ$1,$S34:$HK34,csv!$L34:$HD34)),NA(),LOOKUP(JJ$1,$S34:$HK34,csv!$L34:$HD34))</f>
        <v>0</v>
      </c>
      <c r="JK34" s="5">
        <f>IF(ISERROR(LOOKUP(JK$1,$S34:$HK34,csv!$L34:$HD34)),NA(),LOOKUP(JK$1,$S34:$HK34,csv!$L34:$HD34))</f>
        <v>0</v>
      </c>
      <c r="JL34" s="5">
        <f>IF(ISERROR(LOOKUP(JL$1,$S34:$HK34,csv!$L34:$HD34)),NA(),LOOKUP(JL$1,$S34:$HK34,csv!$L34:$HD34))</f>
        <v>0</v>
      </c>
      <c r="JM34" s="5">
        <f>IF(ISERROR(LOOKUP(JM$1,$S34:$HK34,csv!$L34:$HD34)),NA(),LOOKUP(JM$1,$S34:$HK34,csv!$L34:$HD34))</f>
        <v>0</v>
      </c>
      <c r="JN34" s="5">
        <f>IF(ISERROR(LOOKUP(JN$1,$S34:$HK34,csv!$L34:$HD34)),NA(),LOOKUP(JN$1,$S34:$HK34,csv!$L34:$HD34))</f>
        <v>0</v>
      </c>
      <c r="JO34" s="5">
        <f>IF(ISERROR(LOOKUP(JO$1,$S34:$HK34,csv!$L34:$HD34)),NA(),LOOKUP(JO$1,$S34:$HK34,csv!$L34:$HD34))</f>
        <v>0</v>
      </c>
      <c r="JP34" s="5">
        <f>IF(ISERROR(LOOKUP(JP$1,$S34:$HK34,csv!$L34:$HD34)),NA(),LOOKUP(JP$1,$S34:$HK34,csv!$L34:$HD34))</f>
        <v>0</v>
      </c>
      <c r="JQ34" s="5">
        <f>IF(ISERROR(LOOKUP(JQ$1,$S34:$HK34,csv!$L34:$HD34)),NA(),LOOKUP(JQ$1,$S34:$HK34,csv!$L34:$HD34))</f>
        <v>0</v>
      </c>
      <c r="JR34" s="5">
        <f>IF(ISERROR(LOOKUP(JR$1,$S34:$HK34,csv!$L34:$HD34)),NA(),LOOKUP(JR$1,$S34:$HK34,csv!$L34:$HD34))</f>
        <v>0</v>
      </c>
      <c r="JS34" s="5">
        <f>IF(ISERROR(LOOKUP(JS$1,$S34:$HK34,csv!$L34:$HD34)),NA(),LOOKUP(JS$1,$S34:$HK34,csv!$L34:$HD34))</f>
        <v>0</v>
      </c>
      <c r="JT34" s="5">
        <f>IF(ISERROR(LOOKUP(JT$1,$S34:$HK34,csv!$L34:$HD34)),NA(),LOOKUP(JT$1,$S34:$HK34,csv!$L34:$HD34))</f>
        <v>0</v>
      </c>
      <c r="JU34" s="5">
        <f>IF(ISERROR(LOOKUP(JU$1,$S34:$HK34,csv!$L34:$HD34)),NA(),LOOKUP(JU$1,$S34:$HK34,csv!$L34:$HD34))</f>
        <v>0</v>
      </c>
      <c r="JV34" s="5">
        <f>IF(ISERROR(LOOKUP(JV$1,$S34:$HK34,csv!$L34:$HD34)),NA(),LOOKUP(JV$1,$S34:$HK34,csv!$L34:$HD34))</f>
        <v>0</v>
      </c>
      <c r="JW34" s="5">
        <f>IF(ISERROR(LOOKUP(JW$1,$S34:$HK34,csv!$L34:$HD34)),NA(),LOOKUP(JW$1,$S34:$HK34,csv!$L34:$HD34))</f>
        <v>0</v>
      </c>
      <c r="JX34" s="5">
        <f>IF(ISERROR(LOOKUP(JX$1,$S34:$HK34,csv!$L34:$HD34)),NA(),LOOKUP(JX$1,$S34:$HK34,csv!$L34:$HD34))</f>
        <v>0</v>
      </c>
      <c r="JY34" s="5">
        <f>IF(ISERROR(LOOKUP(JY$1,$S34:$HK34,csv!$L34:$HD34)),NA(),LOOKUP(JY$1,$S34:$HK34,csv!$L34:$HD34))</f>
        <v>0</v>
      </c>
      <c r="JZ34" s="5">
        <f>IF(ISERROR(LOOKUP(JZ$1,$S34:$HK34,csv!$L34:$HD34)),NA(),LOOKUP(JZ$1,$S34:$HK34,csv!$L34:$HD34))</f>
        <v>0</v>
      </c>
      <c r="KA34" s="5">
        <f>IF(ISERROR(LOOKUP(KA$1,$S34:$HK34,csv!$L34:$HD34)),NA(),LOOKUP(KA$1,$S34:$HK34,csv!$L34:$HD34))</f>
        <v>0</v>
      </c>
      <c r="KB34" s="5">
        <f>IF(ISERROR(LOOKUP(KB$1,$S34:$HK34,csv!$L34:$HD34)),NA(),LOOKUP(KB$1,$S34:$HK34,csv!$L34:$HD34))</f>
        <v>0</v>
      </c>
      <c r="KC34" s="5">
        <f>IF(ISERROR(LOOKUP(KC$1,$S34:$HK34,csv!$L34:$HD34)),NA(),LOOKUP(KC$1,$S34:$HK34,csv!$L34:$HD34))</f>
        <v>0</v>
      </c>
      <c r="KD34" s="5">
        <f>IF(ISERROR(LOOKUP(KD$1,$S34:$HK34,csv!$L34:$HD34)),NA(),LOOKUP(KD$1,$S34:$HK34,csv!$L34:$HD34))</f>
        <v>0</v>
      </c>
      <c r="KE34" s="5">
        <f>IF(ISERROR(LOOKUP(KE$1,$S34:$HK34,csv!$L34:$HD34)),NA(),LOOKUP(KE$1,$S34:$HK34,csv!$L34:$HD34))</f>
        <v>0</v>
      </c>
      <c r="KF34" s="5">
        <f>IF(ISERROR(LOOKUP(KF$1,$S34:$HK34,csv!$L34:$HD34)),NA(),LOOKUP(KF$1,$S34:$HK34,csv!$L34:$HD34))</f>
        <v>0</v>
      </c>
      <c r="KG34" s="5">
        <f>IF(ISERROR(LOOKUP(KG$1,$S34:$HK34,csv!$L34:$HD34)),NA(),LOOKUP(KG$1,$S34:$HK34,csv!$L34:$HD34))</f>
        <v>0</v>
      </c>
      <c r="KH34" s="5">
        <f>IF(ISERROR(LOOKUP(KH$1,$S34:$HK34,csv!$L34:$HD34)),NA(),LOOKUP(KH$1,$S34:$HK34,csv!$L34:$HD34))</f>
        <v>0</v>
      </c>
      <c r="KI34" s="5">
        <f>IF(ISERROR(LOOKUP(KI$1,$S34:$HK34,csv!$L34:$HD34)),NA(),LOOKUP(KI$1,$S34:$HK34,csv!$L34:$HD34))</f>
        <v>0</v>
      </c>
      <c r="KJ34" s="5">
        <f>IF(ISERROR(LOOKUP(KJ$1,$S34:$HK34,csv!$L34:$HD34)),NA(),LOOKUP(KJ$1,$S34:$HK34,csv!$L34:$HD34))</f>
        <v>0</v>
      </c>
      <c r="KK34" s="5">
        <f>IF(ISERROR(LOOKUP(KK$1,$S34:$HK34,csv!$L34:$HD34)),NA(),LOOKUP(KK$1,$S34:$HK34,csv!$L34:$HD34))</f>
        <v>0</v>
      </c>
      <c r="KL34" s="5">
        <f>IF(ISERROR(LOOKUP(KL$1,$S34:$HK34,csv!$L34:$HD34)),NA(),LOOKUP(KL$1,$S34:$HK34,csv!$L34:$HD34))</f>
        <v>0</v>
      </c>
      <c r="KM34" s="5">
        <f>IF(ISERROR(LOOKUP(KM$1,$S34:$HK34,csv!$L34:$HD34)),NA(),LOOKUP(KM$1,$S34:$HK34,csv!$L34:$HD34))</f>
        <v>0</v>
      </c>
      <c r="KN34" s="5">
        <f>IF(ISERROR(LOOKUP(KN$1,$S34:$HK34,csv!$L34:$HD34)),NA(),LOOKUP(KN$1,$S34:$HK34,csv!$L34:$HD34))</f>
        <v>0</v>
      </c>
      <c r="KO34" s="5">
        <f>IF(ISERROR(LOOKUP(KO$1,$S34:$HK34,csv!$L34:$HD34)),NA(),LOOKUP(KO$1,$S34:$HK34,csv!$L34:$HD34))</f>
        <v>0</v>
      </c>
      <c r="KP34" s="5">
        <f>IF(ISERROR(LOOKUP(KP$1,$S34:$HK34,csv!$L34:$HD34)),NA(),LOOKUP(KP$1,$S34:$HK34,csv!$L34:$HD34))</f>
        <v>0</v>
      </c>
      <c r="KQ34" s="5">
        <f>IF(ISERROR(LOOKUP(KQ$1,$S34:$HK34,csv!$L34:$HD34)),NA(),LOOKUP(KQ$1,$S34:$HK34,csv!$L34:$HD34))</f>
        <v>0</v>
      </c>
      <c r="KR34" s="5">
        <f>IF(ISERROR(LOOKUP(KR$1,$S34:$HK34,csv!$L34:$HD34)),NA(),LOOKUP(KR$1,$S34:$HK34,csv!$L34:$HD34))</f>
        <v>0</v>
      </c>
      <c r="KS34" s="5">
        <f>IF(ISERROR(LOOKUP(KS$1,$S34:$HK34,csv!$L34:$HD34)),NA(),LOOKUP(KS$1,$S34:$HK34,csv!$L34:$HD34))</f>
        <v>0</v>
      </c>
      <c r="KT34" s="5">
        <f>IF(ISERROR(LOOKUP(KT$1,$S34:$HK34,csv!$L34:$HD34)),NA(),LOOKUP(KT$1,$S34:$HK34,csv!$L34:$HD34))</f>
        <v>0</v>
      </c>
      <c r="KU34" s="5">
        <f>IF(ISERROR(LOOKUP(KU$1,$S34:$HK34,csv!$L34:$HD34)),NA(),LOOKUP(KU$1,$S34:$HK34,csv!$L34:$HD34))</f>
        <v>0</v>
      </c>
      <c r="KV34" s="5">
        <f>IF(ISERROR(LOOKUP(KV$1,$S34:$HK34,csv!$L34:$HD34)),NA(),LOOKUP(KV$1,$S34:$HK34,csv!$L34:$HD34))</f>
        <v>0</v>
      </c>
      <c r="KW34" s="5">
        <f>IF(ISERROR(LOOKUP(KW$1,$S34:$HK34,csv!$L34:$HD34)),NA(),LOOKUP(KW$1,$S34:$HK34,csv!$L34:$HD34))</f>
        <v>0</v>
      </c>
      <c r="KX34" s="5">
        <f>IF(ISERROR(LOOKUP(KX$1,$S34:$HK34,csv!$L34:$HD34)),NA(),LOOKUP(KX$1,$S34:$HK34,csv!$L34:$HD34))</f>
        <v>0</v>
      </c>
      <c r="KY34" s="5">
        <f>IF(ISERROR(LOOKUP(KY$1,$S34:$HK34,csv!$L34:$HD34)),NA(),LOOKUP(KY$1,$S34:$HK34,csv!$L34:$HD34))</f>
        <v>0</v>
      </c>
      <c r="KZ34" s="5">
        <f>IF(ISERROR(LOOKUP(KZ$1,$S34:$HK34,csv!$L34:$HD34)),NA(),LOOKUP(KZ$1,$S34:$HK34,csv!$L34:$HD34))</f>
        <v>0</v>
      </c>
      <c r="LA34" s="5">
        <f>IF(ISERROR(LOOKUP(LA$1,$S34:$HK34,csv!$L34:$HD34)),NA(),LOOKUP(LA$1,$S34:$HK34,csv!$L34:$HD34))</f>
        <v>0</v>
      </c>
      <c r="LB34" s="5">
        <f>IF(ISERROR(LOOKUP(LB$1,$S34:$HK34,csv!$L34:$HD34)),NA(),LOOKUP(LB$1,$S34:$HK34,csv!$L34:$HD34))</f>
        <v>0</v>
      </c>
      <c r="LC34" s="5">
        <f>IF(ISERROR(LOOKUP(LC$1,$S34:$HK34,csv!$L34:$HD34)),NA(),LOOKUP(LC$1,$S34:$HK34,csv!$L34:$HD34))</f>
        <v>0</v>
      </c>
      <c r="LD34" s="5">
        <f>IF(ISERROR(LOOKUP(LD$1,$S34:$HK34,csv!$L34:$HD34)),NA(),LOOKUP(LD$1,$S34:$HK34,csv!$L34:$HD34))</f>
        <v>0</v>
      </c>
      <c r="LE34" s="5">
        <f>IF(ISERROR(LOOKUP(LE$1,$S34:$HK34,csv!$L34:$HD34)),NA(),LOOKUP(LE$1,$S34:$HK34,csv!$L34:$HD34))</f>
        <v>0</v>
      </c>
      <c r="LF34" s="5">
        <f>IF(ISERROR(LOOKUP(LF$1,$S34:$HK34,csv!$L34:$HD34)),NA(),LOOKUP(LF$1,$S34:$HK34,csv!$L34:$HD34))</f>
        <v>0</v>
      </c>
      <c r="LG34" s="5">
        <f>IF(ISERROR(LOOKUP(LG$1,$S34:$HK34,csv!$L34:$HD34)),NA(),LOOKUP(LG$1,$S34:$HK34,csv!$L34:$HD34))</f>
        <v>0</v>
      </c>
      <c r="LH34" s="5">
        <f>IF(ISERROR(LOOKUP(LH$1,$S34:$HK34,csv!$L34:$HD34)),NA(),LOOKUP(LH$1,$S34:$HK34,csv!$L34:$HD34))</f>
        <v>0</v>
      </c>
      <c r="LI34" s="5">
        <f>IF(ISERROR(LOOKUP(LI$1,$S34:$HK34,csv!$L34:$HD34)),NA(),LOOKUP(LI$1,$S34:$HK34,csv!$L34:$HD34))</f>
        <v>0</v>
      </c>
      <c r="LJ34" s="5">
        <f>IF(ISERROR(LOOKUP(LJ$1,$S34:$HK34,csv!$L34:$HD34)),NA(),LOOKUP(LJ$1,$S34:$HK34,csv!$L34:$HD34))</f>
        <v>0</v>
      </c>
      <c r="LK34" s="5">
        <f>IF(ISERROR(LOOKUP(LK$1,$S34:$HK34,csv!$L34:$HD34)),NA(),LOOKUP(LK$1,$S34:$HK34,csv!$L34:$HD34))</f>
        <v>0</v>
      </c>
      <c r="LL34" s="5">
        <f>IF(ISERROR(LOOKUP(LL$1,$S34:$HK34,csv!$L34:$HD34)),NA(),LOOKUP(LL$1,$S34:$HK34,csv!$L34:$HD34))</f>
        <v>0</v>
      </c>
      <c r="LM34" s="5">
        <f>IF(ISERROR(LOOKUP(LM$1,$S34:$HK34,csv!$L34:$HD34)),NA(),LOOKUP(LM$1,$S34:$HK34,csv!$L34:$HD34))</f>
        <v>0</v>
      </c>
      <c r="LN34" s="5">
        <f>IF(ISERROR(LOOKUP(LN$1,$S34:$HK34,csv!$L34:$HD34)),NA(),LOOKUP(LN$1,$S34:$HK34,csv!$L34:$HD34))</f>
        <v>0</v>
      </c>
      <c r="LO34" s="5">
        <f>IF(ISERROR(LOOKUP(LO$1,$S34:$HK34,csv!$L34:$HD34)),NA(),LOOKUP(LO$1,$S34:$HK34,csv!$L34:$HD34))</f>
        <v>0</v>
      </c>
      <c r="LP34" s="5">
        <f>IF(ISERROR(LOOKUP(LP$1,$S34:$HK34,csv!$L34:$HD34)),NA(),LOOKUP(LP$1,$S34:$HK34,csv!$L34:$HD34))</f>
        <v>0</v>
      </c>
      <c r="LQ34" s="5">
        <f>IF(ISERROR(LOOKUP(LQ$1,$S34:$HK34,csv!$L34:$HD34)),NA(),LOOKUP(LQ$1,$S34:$HK34,csv!$L34:$HD34))</f>
        <v>0</v>
      </c>
      <c r="LR34" s="5">
        <f>IF(ISERROR(LOOKUP(LR$1,$S34:$HK34,csv!$L34:$HD34)),NA(),LOOKUP(LR$1,$S34:$HK34,csv!$L34:$HD34))</f>
        <v>0</v>
      </c>
      <c r="LS34" s="5">
        <f>IF(ISERROR(LOOKUP(LS$1,$S34:$HK34,csv!$L34:$HD34)),NA(),LOOKUP(LS$1,$S34:$HK34,csv!$L34:$HD34))</f>
        <v>0</v>
      </c>
      <c r="LT34" s="5">
        <f>IF(ISERROR(LOOKUP(LT$1,$S34:$HK34,csv!$L34:$HD34)),NA(),LOOKUP(LT$1,$S34:$HK34,csv!$L34:$HD34))</f>
        <v>0</v>
      </c>
      <c r="LU34" s="5">
        <f>IF(ISERROR(LOOKUP(LU$1,$S34:$HK34,csv!$L34:$HD34)),NA(),LOOKUP(LU$1,$S34:$HK34,csv!$L34:$HD34))</f>
        <v>0</v>
      </c>
      <c r="LV34" s="5">
        <f>IF(ISERROR(LOOKUP(LV$1,$S34:$HK34,csv!$L34:$HD34)),NA(),LOOKUP(LV$1,$S34:$HK34,csv!$L34:$HD34))</f>
        <v>0</v>
      </c>
      <c r="LW34" s="5">
        <f>IF(ISERROR(LOOKUP(LW$1,$S34:$HK34,csv!$L34:$HD34)),NA(),LOOKUP(LW$1,$S34:$HK34,csv!$L34:$HD34))</f>
        <v>0</v>
      </c>
      <c r="LX34" s="5">
        <f>IF(ISERROR(LOOKUP(LX$1,$S34:$HK34,csv!$L34:$HD34)),NA(),LOOKUP(LX$1,$S34:$HK34,csv!$L34:$HD34))</f>
        <v>0</v>
      </c>
      <c r="LY34" s="5">
        <f>IF(ISERROR(LOOKUP(LY$1,$S34:$HK34,csv!$L34:$HD34)),NA(),LOOKUP(LY$1,$S34:$HK34,csv!$L34:$HD34))</f>
        <v>0</v>
      </c>
      <c r="LZ34" s="5">
        <f>IF(ISERROR(LOOKUP(LZ$1,$S34:$HK34,csv!$L34:$HD34)),NA(),LOOKUP(LZ$1,$S34:$HK34,csv!$L34:$HD34))</f>
        <v>0</v>
      </c>
      <c r="MA34" s="5">
        <f>IF(ISERROR(LOOKUP(MA$1,$S34:$HK34,csv!$L34:$HD34)),NA(),LOOKUP(MA$1,$S34:$HK34,csv!$L34:$HD34))</f>
        <v>0</v>
      </c>
      <c r="MB34" s="5">
        <f>IF(ISERROR(LOOKUP(MB$1,$S34:$HK34,csv!$L34:$HD34)),NA(),LOOKUP(MB$1,$S34:$HK34,csv!$L34:$HD34))</f>
        <v>0</v>
      </c>
      <c r="MC34" s="5">
        <f>IF(ISERROR(LOOKUP(MC$1,$S34:$HK34,csv!$L34:$HD34)),NA(),LOOKUP(MC$1,$S34:$HK34,csv!$L34:$HD34))</f>
        <v>0</v>
      </c>
      <c r="MD34" s="5">
        <f>IF(ISERROR(LOOKUP(MD$1,$S34:$HK34,csv!$L34:$HD34)),NA(),LOOKUP(MD$1,$S34:$HK34,csv!$L34:$HD34))</f>
        <v>0</v>
      </c>
      <c r="ME34" s="5">
        <f>IF(ISERROR(LOOKUP(ME$1,$S34:$HK34,csv!$L34:$HD34)),NA(),LOOKUP(ME$1,$S34:$HK34,csv!$L34:$HD34))</f>
        <v>0</v>
      </c>
      <c r="MF34" s="5">
        <f>IF(ISERROR(LOOKUP(MF$1,$S34:$HK34,csv!$L34:$HD34)),NA(),LOOKUP(MF$1,$S34:$HK34,csv!$L34:$HD34))</f>
        <v>0</v>
      </c>
      <c r="MG34" s="5">
        <f>IF(ISERROR(LOOKUP(MG$1,$S34:$HK34,csv!$L34:$HD34)),NA(),LOOKUP(MG$1,$S34:$HK34,csv!$L34:$HD34))</f>
        <v>0</v>
      </c>
      <c r="MH34" s="5">
        <f>IF(ISERROR(LOOKUP(MH$1,$S34:$HK34,csv!$L34:$HD34)),NA(),LOOKUP(MH$1,$S34:$HK34,csv!$L34:$HD34))</f>
        <v>0</v>
      </c>
      <c r="MI34" s="5">
        <f>IF(ISERROR(LOOKUP(MI$1,$S34:$HK34,csv!$L34:$HD34)),NA(),LOOKUP(MI$1,$S34:$HK34,csv!$L34:$HD34))</f>
        <v>0</v>
      </c>
      <c r="MJ34" s="5">
        <f>IF(ISERROR(LOOKUP(MJ$1,$S34:$HK34,csv!$L34:$HD34)),NA(),LOOKUP(MJ$1,$S34:$HK34,csv!$L34:$HD34))</f>
        <v>0</v>
      </c>
      <c r="MK34" s="5">
        <f>IF(ISERROR(LOOKUP(MK$1,$S34:$HK34,csv!$L34:$HD34)),NA(),LOOKUP(MK$1,$S34:$HK34,csv!$L34:$HD34))</f>
        <v>0</v>
      </c>
      <c r="ML34" s="5">
        <f>IF(ISERROR(LOOKUP(ML$1,$S34:$HK34,csv!$L34:$HD34)),NA(),LOOKUP(ML$1,$S34:$HK34,csv!$L34:$HD34))</f>
        <v>0</v>
      </c>
      <c r="MM34" s="5">
        <f>IF(ISERROR(LOOKUP(MM$1,$S34:$HK34,csv!$L34:$HD34)),NA(),LOOKUP(MM$1,$S34:$HK34,csv!$L34:$HD34))</f>
        <v>0</v>
      </c>
      <c r="MN34" s="5">
        <f>IF(ISERROR(LOOKUP(MN$1,$S34:$HK34,csv!$L34:$HD34)),NA(),LOOKUP(MN$1,$S34:$HK34,csv!$L34:$HD34))</f>
        <v>0</v>
      </c>
      <c r="MO34" s="5">
        <f>IF(ISERROR(LOOKUP(MO$1,$S34:$HK34,csv!$L34:$HD34)),NA(),LOOKUP(MO$1,$S34:$HK34,csv!$L34:$HD34))</f>
        <v>0</v>
      </c>
      <c r="MP34" s="5">
        <f>IF(ISERROR(LOOKUP(MP$1,$S34:$HK34,csv!$L34:$HD34)),NA(),LOOKUP(MP$1,$S34:$HK34,csv!$L34:$HD34))</f>
        <v>0</v>
      </c>
      <c r="MQ34" s="5">
        <f>IF(ISERROR(LOOKUP(MQ$1,$S34:$HK34,csv!$L34:$HD34)),NA(),LOOKUP(MQ$1,$S34:$HK34,csv!$L34:$HD34))</f>
        <v>0</v>
      </c>
      <c r="MR34" s="5">
        <f>IF(ISERROR(LOOKUP(MR$1,$S34:$HK34,csv!$L34:$HD34)),NA(),LOOKUP(MR$1,$S34:$HK34,csv!$L34:$HD34))</f>
        <v>0</v>
      </c>
      <c r="MS34" s="5">
        <f>IF(ISERROR(LOOKUP(MS$1,$S34:$HK34,csv!$L34:$HD34)),NA(),LOOKUP(MS$1,$S34:$HK34,csv!$L34:$HD34))</f>
        <v>0</v>
      </c>
      <c r="MT34" s="5">
        <f>IF(ISERROR(LOOKUP(MT$1,$S34:$HK34,csv!$L34:$HD34)),NA(),LOOKUP(MT$1,$S34:$HK34,csv!$L34:$HD34))</f>
        <v>0</v>
      </c>
      <c r="MU34" s="5">
        <f>IF(ISERROR(LOOKUP(MU$1,$S34:$HK34,csv!$L34:$HD34)),NA(),LOOKUP(MU$1,$S34:$HK34,csv!$L34:$HD34))</f>
        <v>0</v>
      </c>
      <c r="MV34" s="5">
        <f>IF(ISERROR(LOOKUP(MV$1,$S34:$HK34,csv!$L34:$HD34)),NA(),LOOKUP(MV$1,$S34:$HK34,csv!$L34:$HD34))</f>
        <v>0</v>
      </c>
      <c r="MW34" s="5">
        <f>IF(ISERROR(LOOKUP(MW$1,$S34:$HK34,csv!$L34:$HD34)),NA(),LOOKUP(MW$1,$S34:$HK34,csv!$L34:$HD34))</f>
        <v>0</v>
      </c>
      <c r="MX34" s="5">
        <f>IF(ISERROR(LOOKUP(MX$1,$S34:$HK34,csv!$L34:$HD34)),NA(),LOOKUP(MX$1,$S34:$HK34,csv!$L34:$HD34))</f>
        <v>0</v>
      </c>
      <c r="MY34" s="5">
        <f>IF(ISERROR(LOOKUP(MY$1,$S34:$HK34,csv!$L34:$HD34)),NA(),LOOKUP(MY$1,$S34:$HK34,csv!$L34:$HD34))</f>
        <v>0</v>
      </c>
      <c r="MZ34" s="5">
        <f>IF(ISERROR(LOOKUP(MZ$1,$S34:$HK34,csv!$L34:$HD34)),NA(),LOOKUP(MZ$1,$S34:$HK34,csv!$L34:$HD34))</f>
        <v>0</v>
      </c>
      <c r="NA34" s="5">
        <f>IF(ISERROR(LOOKUP(NA$1,$S34:$HK34,csv!$L34:$HD34)),NA(),LOOKUP(NA$1,$S34:$HK34,csv!$L34:$HD34))</f>
        <v>0</v>
      </c>
      <c r="NB34" s="5">
        <f>IF(ISERROR(LOOKUP(NB$1,$S34:$HK34,csv!$L34:$HD34)),NA(),LOOKUP(NB$1,$S34:$HK34,csv!$L34:$HD34))</f>
        <v>0</v>
      </c>
      <c r="NC34" s="5">
        <f>IF(ISERROR(LOOKUP(NC$1,$S34:$HK34,csv!$L34:$HD34)),NA(),LOOKUP(NC$1,$S34:$HK34,csv!$L34:$HD34))</f>
        <v>0</v>
      </c>
      <c r="ND34" s="5">
        <f>IF(ISERROR(LOOKUP(ND$1,$S34:$HK34,csv!$L34:$HD34)),NA(),LOOKUP(ND$1,$S34:$HK34,csv!$L34:$HD34))</f>
        <v>0</v>
      </c>
      <c r="NE34" s="5">
        <f>IF(ISERROR(LOOKUP(NE$1,$S34:$HK34,csv!$L34:$HD34)),NA(),LOOKUP(NE$1,$S34:$HK34,csv!$L34:$HD34))</f>
        <v>0</v>
      </c>
      <c r="NF34" s="5">
        <f>IF(ISERROR(LOOKUP(NF$1,$S34:$HK34,csv!$L34:$HD34)),NA(),LOOKUP(NF$1,$S34:$HK34,csv!$L34:$HD34))</f>
        <v>0</v>
      </c>
      <c r="NG34" s="5">
        <f>IF(ISERROR(LOOKUP(NG$1,$S34:$HK34,csv!$L34:$HD34)),NA(),LOOKUP(NG$1,$S34:$HK34,csv!$L34:$HD34))</f>
        <v>0</v>
      </c>
      <c r="NH34" s="5">
        <f>IF(ISERROR(LOOKUP(NH$1,$S34:$HK34,csv!$L34:$HD34)),NA(),LOOKUP(NH$1,$S34:$HK34,csv!$L34:$HD34))</f>
        <v>0</v>
      </c>
      <c r="NI34" s="5">
        <f>IF(ISERROR(LOOKUP(NI$1,$S34:$HK34,csv!$L34:$HD34)),NA(),LOOKUP(NI$1,$S34:$HK34,csv!$L34:$HD34))</f>
        <v>0</v>
      </c>
      <c r="NJ34" s="5">
        <f>IF(ISERROR(LOOKUP(NJ$1,$S34:$HK34,csv!$L34:$HD34)),NA(),LOOKUP(NJ$1,$S34:$HK34,csv!$L34:$HD34))</f>
        <v>0</v>
      </c>
      <c r="NK34" s="5">
        <f>IF(ISERROR(LOOKUP(NK$1,$S34:$HK34,csv!$L34:$HD34)),NA(),LOOKUP(NK$1,$S34:$HK34,csv!$L34:$HD34))</f>
        <v>0</v>
      </c>
      <c r="NL34" s="5">
        <f>IF(ISERROR(LOOKUP(NL$1,$S34:$HK34,csv!$L34:$HD34)),NA(),LOOKUP(NL$1,$S34:$HK34,csv!$L34:$HD34))</f>
        <v>0</v>
      </c>
      <c r="NM34" s="5">
        <f>IF(ISERROR(LOOKUP(NM$1,$S34:$HK34,csv!$L34:$HD34)),NA(),LOOKUP(NM$1,$S34:$HK34,csv!$L34:$HD34))</f>
        <v>0</v>
      </c>
      <c r="NN34" s="5">
        <f>IF(ISERROR(LOOKUP(NN$1,$S34:$HK34,csv!$L34:$HD34)),NA(),LOOKUP(NN$1,$S34:$HK34,csv!$L34:$HD34))</f>
        <v>0</v>
      </c>
      <c r="NO34" s="5">
        <f>IF(ISERROR(LOOKUP(NO$1,$S34:$HK34,csv!$L34:$HD34)),NA(),LOOKUP(NO$1,$S34:$HK34,csv!$L34:$HD34))</f>
        <v>0</v>
      </c>
      <c r="NP34" s="5">
        <f>IF(ISERROR(LOOKUP(NP$1,$S34:$HK34,csv!$L34:$HD34)),NA(),LOOKUP(NP$1,$S34:$HK34,csv!$L34:$HD34))</f>
        <v>0</v>
      </c>
      <c r="NQ34" s="5">
        <f>IF(ISERROR(LOOKUP(NQ$1,$S34:$HK34,csv!$L34:$HD34)),NA(),LOOKUP(NQ$1,$S34:$HK34,csv!$L34:$HD34))</f>
        <v>0</v>
      </c>
      <c r="NR34" s="5">
        <f>IF(ISERROR(LOOKUP(NR$1,$S34:$HK34,csv!$L34:$HD34)),NA(),LOOKUP(NR$1,$S34:$HK34,csv!$L34:$HD34))</f>
        <v>0</v>
      </c>
      <c r="NS34" s="5">
        <f>IF(ISERROR(LOOKUP(NS$1,$S34:$HK34,csv!$L34:$HD34)),NA(),LOOKUP(NS$1,$S34:$HK34,csv!$L34:$HD34))</f>
        <v>0</v>
      </c>
      <c r="NT34" s="5">
        <f>IF(ISERROR(LOOKUP(NT$1,$S34:$HK34,csv!$L34:$HD34)),NA(),LOOKUP(NT$1,$S34:$HK34,csv!$L34:$HD34))</f>
        <v>0</v>
      </c>
      <c r="NU34" s="5">
        <f>IF(ISERROR(LOOKUP(NU$1,$S34:$HK34,csv!$L34:$HD34)),NA(),LOOKUP(NU$1,$S34:$HK34,csv!$L34:$HD34))</f>
        <v>0</v>
      </c>
      <c r="NV34" s="5">
        <f>IF(ISERROR(LOOKUP(NV$1,$S34:$HK34,csv!$L34:$HD34)),NA(),LOOKUP(NV$1,$S34:$HK34,csv!$L34:$HD34))</f>
        <v>0</v>
      </c>
      <c r="NW34" s="5">
        <f>IF(ISERROR(LOOKUP(NW$1,$S34:$HK34,csv!$L34:$HD34)),NA(),LOOKUP(NW$1,$S34:$HK34,csv!$L34:$HD34))</f>
        <v>0</v>
      </c>
      <c r="NX34" s="5">
        <f>IF(ISERROR(LOOKUP(NX$1,$S34:$HK34,csv!$L34:$HD34)),NA(),LOOKUP(NX$1,$S34:$HK34,csv!$L34:$HD34))</f>
        <v>0</v>
      </c>
      <c r="NY34" s="5">
        <f>IF(ISERROR(LOOKUP(NY$1,$S34:$HK34,csv!$L34:$HD34)),NA(),LOOKUP(NY$1,$S34:$HK34,csv!$L34:$HD34))</f>
        <v>0</v>
      </c>
      <c r="NZ34" s="5">
        <f>IF(ISERROR(LOOKUP(NZ$1,$S34:$HK34,csv!$L34:$HD34)),NA(),LOOKUP(NZ$1,$S34:$HK34,csv!$L34:$HD34))</f>
        <v>0</v>
      </c>
      <c r="OA34" s="5">
        <f>IF(ISERROR(LOOKUP(OA$1,$S34:$HK34,csv!$L34:$HD34)),NA(),LOOKUP(OA$1,$S34:$HK34,csv!$L34:$HD34))</f>
        <v>0</v>
      </c>
      <c r="OB34" s="5">
        <f>IF(ISERROR(LOOKUP(OB$1,$S34:$HK34,csv!$L34:$HD34)),NA(),LOOKUP(OB$1,$S34:$HK34,csv!$L34:$HD34))</f>
        <v>0</v>
      </c>
      <c r="OC34" s="5">
        <f>IF(ISERROR(LOOKUP(OC$1,$S34:$HK34,csv!$L34:$HD34)),NA(),LOOKUP(OC$1,$S34:$HK34,csv!$L34:$HD34))</f>
        <v>0</v>
      </c>
      <c r="OD34" s="5">
        <f>IF(ISERROR(LOOKUP(OD$1,$S34:$HK34,csv!$L34:$HD34)),NA(),LOOKUP(OD$1,$S34:$HK34,csv!$L34:$HD34))</f>
        <v>0</v>
      </c>
      <c r="OE34" s="5">
        <f>IF(ISERROR(LOOKUP(OE$1,$S34:$HK34,csv!$L34:$HD34)),NA(),LOOKUP(OE$1,$S34:$HK34,csv!$L34:$HD34))</f>
        <v>0</v>
      </c>
      <c r="OF34" s="5">
        <f>IF(ISERROR(LOOKUP(OF$1,$S34:$HK34,csv!$L34:$HD34)),NA(),LOOKUP(OF$1,$S34:$HK34,csv!$L34:$HD34))</f>
        <v>0</v>
      </c>
      <c r="OG34" s="5">
        <f>IF(ISERROR(LOOKUP(OG$1,$S34:$HK34,csv!$L34:$HD34)),NA(),LOOKUP(OG$1,$S34:$HK34,csv!$L34:$HD34))</f>
        <v>0</v>
      </c>
      <c r="OH34" s="5">
        <f>IF(ISERROR(LOOKUP(OH$1,$S34:$HK34,csv!$L34:$HD34)),NA(),LOOKUP(OH$1,$S34:$HK34,csv!$L34:$HD34))</f>
        <v>0</v>
      </c>
      <c r="OI34" s="5">
        <f>IF(ISERROR(LOOKUP(OI$1,$S34:$HK34,csv!$L34:$HD34)),NA(),LOOKUP(OI$1,$S34:$HK34,csv!$L34:$HD34))</f>
        <v>0</v>
      </c>
      <c r="OJ34" s="5">
        <f>IF(ISERROR(LOOKUP(OJ$1,$S34:$HK34,csv!$L34:$HD34)),NA(),LOOKUP(OJ$1,$S34:$HK34,csv!$L34:$HD34))</f>
        <v>0</v>
      </c>
      <c r="OK34" s="5">
        <f>IF(ISERROR(LOOKUP(OK$1,$S34:$HK34,csv!$L34:$HD34)),NA(),LOOKUP(OK$1,$S34:$HK34,csv!$L34:$HD34))</f>
        <v>0</v>
      </c>
      <c r="OL34" s="5">
        <f>IF(ISERROR(LOOKUP(OL$1,$S34:$HK34,csv!$L34:$HD34)),NA(),LOOKUP(OL$1,$S34:$HK34,csv!$L34:$HD34))</f>
        <v>0</v>
      </c>
      <c r="OM34" s="5">
        <f>IF(ISERROR(LOOKUP(OM$1,$S34:$HK34,csv!$L34:$HD34)),NA(),LOOKUP(OM$1,$S34:$HK34,csv!$L34:$HD34))</f>
        <v>0</v>
      </c>
      <c r="ON34" s="5">
        <f>IF(ISERROR(LOOKUP(ON$1,$S34:$HK34,csv!$L34:$HD34)),NA(),LOOKUP(ON$1,$S34:$HK34,csv!$L34:$HD34))</f>
        <v>0</v>
      </c>
      <c r="OO34" s="5">
        <f>IF(ISERROR(LOOKUP(OO$1,$S34:$HK34,csv!$L34:$HD34)),NA(),LOOKUP(OO$1,$S34:$HK34,csv!$L34:$HD34))</f>
        <v>0</v>
      </c>
      <c r="OP34" s="5">
        <f>IF(ISERROR(LOOKUP(OP$1,$S34:$HK34,csv!$L34:$HD34)),NA(),LOOKUP(OP$1,$S34:$HK34,csv!$L34:$HD34))</f>
        <v>0</v>
      </c>
      <c r="OQ34" s="5">
        <f>IF(ISERROR(LOOKUP(OQ$1,$S34:$HK34,csv!$L34:$HD34)),NA(),LOOKUP(OQ$1,$S34:$HK34,csv!$L34:$HD34))</f>
        <v>0</v>
      </c>
      <c r="OR34" s="5">
        <f>IF(ISERROR(LOOKUP(OR$1,$S34:$HK34,csv!$L34:$HD34)),NA(),LOOKUP(OR$1,$S34:$HK34,csv!$L34:$HD34))</f>
        <v>0</v>
      </c>
      <c r="OS34" s="5">
        <f>IF(ISERROR(LOOKUP(OS$1,$S34:$HK34,csv!$L34:$HD34)),NA(),LOOKUP(OS$1,$S34:$HK34,csv!$L34:$HD34))</f>
        <v>0</v>
      </c>
      <c r="OT34" s="5">
        <f>IF(ISERROR(LOOKUP(OT$1,$S34:$HK34,csv!$L34:$HD34)),NA(),LOOKUP(OT$1,$S34:$HK34,csv!$L34:$HD34))</f>
        <v>0</v>
      </c>
      <c r="OU34" s="5">
        <f>IF(ISERROR(LOOKUP(OU$1,$S34:$HK34,csv!$L34:$HD34)),NA(),LOOKUP(OU$1,$S34:$HK34,csv!$L34:$HD34))</f>
        <v>0</v>
      </c>
      <c r="OV34" s="5">
        <f>IF(ISERROR(LOOKUP(OV$1,$S34:$HK34,csv!$L34:$HD34)),NA(),LOOKUP(OV$1,$S34:$HK34,csv!$L34:$HD34))</f>
        <v>0</v>
      </c>
      <c r="OW34" s="5">
        <f>IF(ISERROR(LOOKUP(OW$1,$S34:$HK34,csv!$L34:$HD34)),NA(),LOOKUP(OW$1,$S34:$HK34,csv!$L34:$HD34))</f>
        <v>0</v>
      </c>
      <c r="OX34" s="5">
        <f>IF(ISERROR(LOOKUP(OX$1,$S34:$HK34,csv!$L34:$HD34)),NA(),LOOKUP(OX$1,$S34:$HK34,csv!$L34:$HD34))</f>
        <v>0</v>
      </c>
      <c r="OY34" s="5">
        <f>IF(ISERROR(LOOKUP(OY$1,$S34:$HK34,csv!$L34:$HD34)),NA(),LOOKUP(OY$1,$S34:$HK34,csv!$L34:$HD34))</f>
        <v>0</v>
      </c>
      <c r="OZ34" s="5">
        <f>IF(ISERROR(LOOKUP(OZ$1,$S34:$HK34,csv!$L34:$HD34)),NA(),LOOKUP(OZ$1,$S34:$HK34,csv!$L34:$HD34))</f>
        <v>0</v>
      </c>
      <c r="PA34" s="5">
        <f>IF(ISERROR(LOOKUP(PA$1,$S34:$HK34,csv!$L34:$HD34)),NA(),LOOKUP(PA$1,$S34:$HK34,csv!$L34:$HD34))</f>
        <v>0</v>
      </c>
      <c r="PB34" s="5">
        <f>IF(ISERROR(LOOKUP(PB$1,$S34:$HK34,csv!$L34:$HD34)),NA(),LOOKUP(PB$1,$S34:$HK34,csv!$L34:$HD34))</f>
        <v>0</v>
      </c>
      <c r="PC34" s="5">
        <f>IF(ISERROR(LOOKUP(PC$1,$S34:$HK34,csv!$L34:$HD34)),NA(),LOOKUP(PC$1,$S34:$HK34,csv!$L34:$HD34))</f>
        <v>0</v>
      </c>
      <c r="PD34" s="5">
        <f>IF(ISERROR(LOOKUP(PD$1,$S34:$HK34,csv!$L34:$HD34)),NA(),LOOKUP(PD$1,$S34:$HK34,csv!$L34:$HD34))</f>
        <v>0</v>
      </c>
      <c r="PE34" s="5">
        <f>IF(ISERROR(LOOKUP(PE$1,$S34:$HK34,csv!$L34:$HD34)),NA(),LOOKUP(PE$1,$S34:$HK34,csv!$L34:$HD34))</f>
        <v>0</v>
      </c>
      <c r="PF34" s="5">
        <f>IF(ISERROR(LOOKUP(PF$1,$S34:$HK34,csv!$L34:$HD34)),NA(),LOOKUP(PF$1,$S34:$HK34,csv!$L34:$HD34))</f>
        <v>0</v>
      </c>
      <c r="PG34" s="5">
        <f>IF(ISERROR(LOOKUP(PG$1,$S34:$HK34,csv!$L34:$HD34)),NA(),LOOKUP(PG$1,$S34:$HK34,csv!$L34:$HD34))</f>
        <v>0</v>
      </c>
      <c r="PH34" s="5">
        <f>IF(ISERROR(LOOKUP(PH$1,$S34:$HK34,csv!$L34:$HD34)),NA(),LOOKUP(PH$1,$S34:$HK34,csv!$L34:$HD34))</f>
        <v>0</v>
      </c>
      <c r="PI34" s="5">
        <f>IF(ISERROR(LOOKUP(PI$1,$S34:$HK34,csv!$L34:$HD34)),NA(),LOOKUP(PI$1,$S34:$HK34,csv!$L34:$HD34))</f>
        <v>0</v>
      </c>
      <c r="PJ34" s="5">
        <f>IF(ISERROR(LOOKUP(PJ$1,$S34:$HK34,csv!$L34:$HD34)),NA(),LOOKUP(PJ$1,$S34:$HK34,csv!$L34:$HD34))</f>
        <v>0</v>
      </c>
      <c r="PK34" s="5">
        <f>IF(ISERROR(LOOKUP(PK$1,$S34:$HK34,csv!$L34:$HD34)),NA(),LOOKUP(PK$1,$S34:$HK34,csv!$L34:$HD34))</f>
        <v>0</v>
      </c>
      <c r="PL34" s="5">
        <f>IF(ISERROR(LOOKUP(PL$1,$S34:$HK34,csv!$L34:$HD34)),NA(),LOOKUP(PL$1,$S34:$HK34,csv!$L34:$HD34))</f>
        <v>0</v>
      </c>
      <c r="PM34" s="5">
        <f>IF(ISERROR(LOOKUP(PM$1,$S34:$HK34,csv!$L34:$HD34)),NA(),LOOKUP(PM$1,$S34:$HK34,csv!$L34:$HD34))</f>
        <v>0</v>
      </c>
      <c r="PN34" s="5">
        <f>IF(ISERROR(LOOKUP(PN$1,$S34:$HK34,csv!$L34:$HD34)),NA(),LOOKUP(PN$1,$S34:$HK34,csv!$L34:$HD34))</f>
        <v>0</v>
      </c>
      <c r="PO34" s="5">
        <f>IF(ISERROR(LOOKUP(PO$1,$S34:$HK34,csv!$L34:$HD34)),NA(),LOOKUP(PO$1,$S34:$HK34,csv!$L34:$HD34))</f>
        <v>0</v>
      </c>
      <c r="PP34" s="5">
        <f>IF(ISERROR(LOOKUP(PP$1,$S34:$HK34,csv!$L34:$HD34)),NA(),LOOKUP(PP$1,$S34:$HK34,csv!$L34:$HD34))</f>
        <v>0</v>
      </c>
      <c r="PQ34" s="5">
        <f>IF(ISERROR(LOOKUP(PQ$1,$S34:$HK34,csv!$L34:$HD34)),NA(),LOOKUP(PQ$1,$S34:$HK34,csv!$L34:$HD34))</f>
        <v>0</v>
      </c>
      <c r="PR34" s="5">
        <f>IF(ISERROR(LOOKUP(PR$1,$S34:$HK34,csv!$L34:$HD34)),NA(),LOOKUP(PR$1,$S34:$HK34,csv!$L34:$HD34))</f>
        <v>0</v>
      </c>
      <c r="PS34" s="5">
        <f>IF(ISERROR(LOOKUP(PS$1,$S34:$HK34,csv!$L34:$HD34)),NA(),LOOKUP(PS$1,$S34:$HK34,csv!$L34:$HD34))</f>
        <v>0</v>
      </c>
      <c r="PT34" s="5">
        <f>IF(ISERROR(LOOKUP(PT$1,$S34:$HK34,csv!$L34:$HD34)),NA(),LOOKUP(PT$1,$S34:$HK34,csv!$L34:$HD34))</f>
        <v>0</v>
      </c>
      <c r="PU34" s="5">
        <f>IF(ISERROR(LOOKUP(PU$1,$S34:$HK34,csv!$L34:$HD34)),NA(),LOOKUP(PU$1,$S34:$HK34,csv!$L34:$HD34))</f>
        <v>0</v>
      </c>
      <c r="PV34" s="5">
        <f>IF(ISERROR(LOOKUP(PV$1,$S34:$HK34,csv!$L34:$HD34)),NA(),LOOKUP(PV$1,$S34:$HK34,csv!$L34:$HD34))</f>
        <v>0</v>
      </c>
      <c r="PW34" s="5">
        <f>IF(ISERROR(LOOKUP(PW$1,$S34:$HK34,csv!$L34:$HD34)),NA(),LOOKUP(PW$1,$S34:$HK34,csv!$L34:$HD34))</f>
        <v>0</v>
      </c>
      <c r="PX34" s="5">
        <f>IF(ISERROR(LOOKUP(PX$1,$S34:$HK34,csv!$L34:$HD34)),NA(),LOOKUP(PX$1,$S34:$HK34,csv!$L34:$HD34))</f>
        <v>0</v>
      </c>
      <c r="PY34" s="5">
        <f>IF(ISERROR(LOOKUP(PY$1,$S34:$HK34,csv!$L34:$HD34)),NA(),LOOKUP(PY$1,$S34:$HK34,csv!$L34:$HD34))</f>
        <v>0</v>
      </c>
      <c r="PZ34" s="5">
        <f>IF(ISERROR(LOOKUP(PZ$1,$S34:$HK34,csv!$L34:$HD34)),NA(),LOOKUP(PZ$1,$S34:$HK34,csv!$L34:$HD34))</f>
        <v>0</v>
      </c>
      <c r="QA34" s="5">
        <f>IF(ISERROR(LOOKUP(QA$1,$S34:$HK34,csv!$L34:$HD34)),NA(),LOOKUP(QA$1,$S34:$HK34,csv!$L34:$HD34))</f>
        <v>0</v>
      </c>
      <c r="QB34" s="5">
        <f>IF(ISERROR(LOOKUP(QB$1,$S34:$HK34,csv!$L34:$HD34)),NA(),LOOKUP(QB$1,$S34:$HK34,csv!$L34:$HD34))</f>
        <v>0</v>
      </c>
      <c r="QC34" s="5">
        <f>IF(ISERROR(LOOKUP(QC$1,$S34:$HK34,csv!$L34:$HD34)),NA(),LOOKUP(QC$1,$S34:$HK34,csv!$L34:$HD34))</f>
        <v>0</v>
      </c>
      <c r="QD34" s="5">
        <f>IF(ISERROR(LOOKUP(QD$1,$S34:$HK34,csv!$L34:$HD34)),NA(),LOOKUP(QD$1,$S34:$HK34,csv!$L34:$HD34))</f>
        <v>0</v>
      </c>
      <c r="QE34" s="5">
        <f>IF(ISERROR(LOOKUP(QE$1,$S34:$HK34,csv!$L34:$HD34)),NA(),LOOKUP(QE$1,$S34:$HK34,csv!$L34:$HD34))</f>
        <v>0</v>
      </c>
      <c r="QF34" s="5">
        <f>IF(ISERROR(LOOKUP(QF$1,$S34:$HK34,csv!$L34:$HD34)),NA(),LOOKUP(QF$1,$S34:$HK34,csv!$L34:$HD34))</f>
        <v>0</v>
      </c>
      <c r="QG34" s="5">
        <f>IF(ISERROR(LOOKUP(QG$1,$S34:$HK34,csv!$L34:$HD34)),NA(),LOOKUP(QG$1,$S34:$HK34,csv!$L34:$HD34))</f>
        <v>0</v>
      </c>
      <c r="QH34" s="5">
        <f>IF(ISERROR(LOOKUP(QH$1,$S34:$HK34,csv!$L34:$HD34)),NA(),LOOKUP(QH$1,$S34:$HK34,csv!$L34:$HD34))</f>
        <v>0</v>
      </c>
      <c r="QI34" s="5">
        <f>IF(ISERROR(LOOKUP(QI$1,$S34:$HK34,csv!$L34:$HD34)),NA(),LOOKUP(QI$1,$S34:$HK34,csv!$L34:$HD34))</f>
        <v>0</v>
      </c>
      <c r="QJ34" s="5">
        <f>IF(ISERROR(LOOKUP(QJ$1,$S34:$HK34,csv!$L34:$HD34)),NA(),LOOKUP(QJ$1,$S34:$HK34,csv!$L34:$HD34))</f>
        <v>0</v>
      </c>
      <c r="QK34" s="5">
        <f>IF(ISERROR(LOOKUP(QK$1,$S34:$HK34,csv!$L34:$HD34)),NA(),LOOKUP(QK$1,$S34:$HK34,csv!$L34:$HD34))</f>
        <v>0</v>
      </c>
      <c r="QL34" s="5">
        <f>IF(ISERROR(LOOKUP(QL$1,$S34:$HK34,csv!$L34:$HD34)),NA(),LOOKUP(QL$1,$S34:$HK34,csv!$L34:$HD34))</f>
        <v>0</v>
      </c>
      <c r="QM34" s="5">
        <f>IF(ISERROR(LOOKUP(QM$1,$S34:$HK34,csv!$L34:$HD34)),NA(),LOOKUP(QM$1,$S34:$HK34,csv!$L34:$HD34))</f>
        <v>0</v>
      </c>
      <c r="QN34" s="5">
        <f>IF(ISERROR(LOOKUP(QN$1,$S34:$HK34,csv!$L34:$HD34)),NA(),LOOKUP(QN$1,$S34:$HK34,csv!$L34:$HD34))</f>
        <v>0</v>
      </c>
      <c r="QO34" s="5">
        <f>IF(ISERROR(LOOKUP(QO$1,$S34:$HK34,csv!$L34:$HD34)),NA(),LOOKUP(QO$1,$S34:$HK34,csv!$L34:$HD34))</f>
        <v>0</v>
      </c>
      <c r="QP34" s="5">
        <f>IF(ISERROR(LOOKUP(QP$1,$S34:$HK34,csv!$L34:$HD34)),NA(),LOOKUP(QP$1,$S34:$HK34,csv!$L34:$HD34))</f>
        <v>0</v>
      </c>
      <c r="QQ34" s="5">
        <f>IF(ISERROR(LOOKUP(QQ$1,$S34:$HK34,csv!$L34:$HD34)),NA(),LOOKUP(QQ$1,$S34:$HK34,csv!$L34:$HD34))</f>
        <v>0</v>
      </c>
      <c r="QR34" s="5">
        <f>IF(ISERROR(LOOKUP(QR$1,$S34:$HK34,csv!$L34:$HD34)),NA(),LOOKUP(QR$1,$S34:$HK34,csv!$L34:$HD34))</f>
        <v>0</v>
      </c>
      <c r="QS34" s="5">
        <f>IF(ISERROR(LOOKUP(QS$1,$S34:$HK34,csv!$L34:$HD34)),NA(),LOOKUP(QS$1,$S34:$HK34,csv!$L34:$HD34))</f>
        <v>0</v>
      </c>
      <c r="QT34" s="5">
        <f>IF(ISERROR(LOOKUP(QT$1,$S34:$HK34,csv!$L34:$HD34)),NA(),LOOKUP(QT$1,$S34:$HK34,csv!$L34:$HD34))</f>
        <v>0</v>
      </c>
      <c r="QU34" s="5">
        <f>IF(ISERROR(LOOKUP(QU$1,$S34:$HK34,csv!$L34:$HD34)),NA(),LOOKUP(QU$1,$S34:$HK34,csv!$L34:$HD34))</f>
        <v>0</v>
      </c>
      <c r="QV34" s="5">
        <f>IF(ISERROR(LOOKUP(QV$1,$S34:$HK34,csv!$L34:$HD34)),NA(),LOOKUP(QV$1,$S34:$HK34,csv!$L34:$HD34))</f>
        <v>0</v>
      </c>
      <c r="QW34" s="5">
        <f>IF(ISERROR(LOOKUP(QW$1,$S34:$HK34,csv!$L34:$HD34)),NA(),LOOKUP(QW$1,$S34:$HK34,csv!$L34:$HD34))</f>
        <v>0</v>
      </c>
      <c r="QX34" s="5">
        <f>IF(ISERROR(LOOKUP(QX$1,$S34:$HK34,csv!$L34:$HD34)),NA(),LOOKUP(QX$1,$S34:$HK34,csv!$L34:$HD34))</f>
        <v>0</v>
      </c>
      <c r="QY34" s="5">
        <f>IF(ISERROR(LOOKUP(QY$1,$S34:$HK34,csv!$L34:$HD34)),NA(),LOOKUP(QY$1,$S34:$HK34,csv!$L34:$HD34))</f>
        <v>0</v>
      </c>
      <c r="QZ34" s="5">
        <f>IF(ISERROR(LOOKUP(QZ$1,$S34:$HK34,csv!$L34:$HD34)),NA(),LOOKUP(QZ$1,$S34:$HK34,csv!$L34:$HD34))</f>
        <v>0</v>
      </c>
      <c r="RA34" s="5">
        <f>IF(ISERROR(LOOKUP(RA$1,$S34:$HK34,csv!$L34:$HD34)),NA(),LOOKUP(RA$1,$S34:$HK34,csv!$L34:$HD34))</f>
        <v>0</v>
      </c>
      <c r="RB34" s="5">
        <f>IF(ISERROR(LOOKUP(RB$1,$S34:$HK34,csv!$L34:$HD34)),NA(),LOOKUP(RB$1,$S34:$HK34,csv!$L34:$HD34))</f>
        <v>0</v>
      </c>
      <c r="RC34" s="5">
        <f>IF(ISERROR(LOOKUP(RC$1,$S34:$HK34,csv!$L34:$HD34)),NA(),LOOKUP(RC$1,$S34:$HK34,csv!$L34:$HD34))</f>
        <v>0</v>
      </c>
      <c r="RD34" s="5">
        <f>IF(ISERROR(LOOKUP(RD$1,$S34:$HK34,csv!$L34:$HD34)),NA(),LOOKUP(RD$1,$S34:$HK34,csv!$L34:$HD34))</f>
        <v>0</v>
      </c>
      <c r="RE34" s="5">
        <f>IF(ISERROR(LOOKUP(RE$1,$S34:$HK34,csv!$L34:$HD34)),NA(),LOOKUP(RE$1,$S34:$HK34,csv!$L34:$HD34))</f>
        <v>0</v>
      </c>
      <c r="RF34" s="5">
        <f>IF(ISERROR(LOOKUP(RF$1,$S34:$HK34,csv!$L34:$HD34)),NA(),LOOKUP(RF$1,$S34:$HK34,csv!$L34:$HD34))</f>
        <v>0</v>
      </c>
      <c r="RG34" s="5">
        <f>IF(ISERROR(LOOKUP(RG$1,$S34:$HK34,csv!$L34:$HD34)),NA(),LOOKUP(RG$1,$S34:$HK34,csv!$L34:$HD34))</f>
        <v>0</v>
      </c>
      <c r="RH34" s="5">
        <f>IF(ISERROR(LOOKUP(RH$1,$S34:$HK34,csv!$L34:$HD34)),NA(),LOOKUP(RH$1,$S34:$HK34,csv!$L34:$HD34))</f>
        <v>0</v>
      </c>
      <c r="RI34" s="5">
        <f>IF(ISERROR(LOOKUP(RI$1,$S34:$HK34,csv!$L34:$HD34)),NA(),LOOKUP(RI$1,$S34:$HK34,csv!$L34:$HD34))</f>
        <v>0</v>
      </c>
      <c r="RJ34" s="5">
        <f>IF(ISERROR(LOOKUP(RJ$1,$S34:$HK34,csv!$L34:$HD34)),NA(),LOOKUP(RJ$1,$S34:$HK34,csv!$L34:$HD34))</f>
        <v>0</v>
      </c>
      <c r="RK34" s="5">
        <f>IF(ISERROR(LOOKUP(RK$1,$S34:$HK34,csv!$L34:$HD34)),NA(),LOOKUP(RK$1,$S34:$HK34,csv!$L34:$HD34))</f>
        <v>0</v>
      </c>
      <c r="RL34" s="5">
        <f>IF(ISERROR(LOOKUP(RL$1,$S34:$HK34,csv!$L34:$HD34)),NA(),LOOKUP(RL$1,$S34:$HK34,csv!$L34:$HD34))</f>
        <v>0</v>
      </c>
      <c r="RM34" s="5">
        <f>IF(ISERROR(LOOKUP(RM$1,$S34:$HK34,csv!$L34:$HD34)),NA(),LOOKUP(RM$1,$S34:$HK34,csv!$L34:$HD34))</f>
        <v>0</v>
      </c>
      <c r="RN34" s="5">
        <f>IF(ISERROR(LOOKUP(RN$1,$S34:$HK34,csv!$L34:$HD34)),NA(),LOOKUP(RN$1,$S34:$HK34,csv!$L34:$HD34))</f>
        <v>0</v>
      </c>
      <c r="RO34" s="5">
        <f>IF(ISERROR(LOOKUP(RO$1,$S34:$HK34,csv!$L34:$HD34)),NA(),LOOKUP(RO$1,$S34:$HK34,csv!$L34:$HD34))</f>
        <v>0</v>
      </c>
      <c r="RP34" s="5">
        <f>IF(ISERROR(LOOKUP(RP$1,$S34:$HK34,csv!$L34:$HD34)),NA(),LOOKUP(RP$1,$S34:$HK34,csv!$L34:$HD34))</f>
        <v>0</v>
      </c>
      <c r="RQ34" s="5">
        <f>IF(ISERROR(LOOKUP(RQ$1,$S34:$HK34,csv!$L34:$HD34)),NA(),LOOKUP(RQ$1,$S34:$HK34,csv!$L34:$HD34))</f>
        <v>0</v>
      </c>
      <c r="RR34" s="5">
        <f>IF(ISERROR(LOOKUP(RR$1,$S34:$HK34,csv!$L34:$HD34)),NA(),LOOKUP(RR$1,$S34:$HK34,csv!$L34:$HD34))</f>
        <v>0</v>
      </c>
      <c r="RS34" s="5">
        <f>IF(ISERROR(LOOKUP(RS$1,$S34:$HK34,csv!$L34:$HD34)),NA(),LOOKUP(RS$1,$S34:$HK34,csv!$L34:$HD34))</f>
        <v>0</v>
      </c>
      <c r="RT34" s="5">
        <f>IF(ISERROR(LOOKUP(RT$1,$S34:$HK34,csv!$L34:$HD34)),NA(),LOOKUP(RT$1,$S34:$HK34,csv!$L34:$HD34))</f>
        <v>0</v>
      </c>
      <c r="RU34" s="5">
        <f>IF(ISERROR(LOOKUP(RU$1,$S34:$HK34,csv!$L34:$HD34)),NA(),LOOKUP(RU$1,$S34:$HK34,csv!$L34:$HD34))</f>
        <v>0</v>
      </c>
      <c r="RV34" s="5">
        <f>IF(ISERROR(LOOKUP(RV$1,$S34:$HK34,csv!$L34:$HD34)),NA(),LOOKUP(RV$1,$S34:$HK34,csv!$L34:$HD34))</f>
        <v>0</v>
      </c>
      <c r="RW34" s="5">
        <f>IF(ISERROR(LOOKUP(RW$1,$S34:$HK34,csv!$L34:$HD34)),NA(),LOOKUP(RW$1,$S34:$HK34,csv!$L34:$HD34))</f>
        <v>0</v>
      </c>
      <c r="RX34" s="5">
        <f>IF(ISERROR(LOOKUP(RX$1,$S34:$HK34,csv!$L34:$HD34)),NA(),LOOKUP(RX$1,$S34:$HK34,csv!$L34:$HD34))</f>
        <v>0</v>
      </c>
      <c r="RY34" s="5">
        <f>IF(ISERROR(LOOKUP(RY$1,$S34:$HK34,csv!$L34:$HD34)),NA(),LOOKUP(RY$1,$S34:$HK34,csv!$L34:$HD34))</f>
        <v>0</v>
      </c>
      <c r="RZ34" s="5">
        <f>IF(ISERROR(LOOKUP(RZ$1,$S34:$HK34,csv!$L34:$HD34)),NA(),LOOKUP(RZ$1,$S34:$HK34,csv!$L34:$HD34))</f>
        <v>0</v>
      </c>
      <c r="SA34" s="5">
        <f>IF(ISERROR(LOOKUP(SA$1,$S34:$HK34,csv!$L34:$HD34)),NA(),LOOKUP(SA$1,$S34:$HK34,csv!$L34:$HD34))</f>
        <v>0</v>
      </c>
      <c r="SB34" s="5">
        <f>IF(ISERROR(LOOKUP(SB$1,$S34:$HK34,csv!$L34:$HD34)),NA(),LOOKUP(SB$1,$S34:$HK34,csv!$L34:$HD34))</f>
        <v>0</v>
      </c>
      <c r="SC34" s="5">
        <f>IF(ISERROR(LOOKUP(SC$1,$S34:$HK34,csv!$L34:$HD34)),NA(),LOOKUP(SC$1,$S34:$HK34,csv!$L34:$HD34))</f>
        <v>0</v>
      </c>
      <c r="SD34" s="5">
        <f>IF(ISERROR(LOOKUP(SD$1,$S34:$HK34,csv!$L34:$HD34)),NA(),LOOKUP(SD$1,$S34:$HK34,csv!$L34:$HD34))</f>
        <v>0</v>
      </c>
      <c r="SE34" s="5">
        <f>IF(ISERROR(LOOKUP(SE$1,$S34:$HK34,csv!$L34:$HD34)),NA(),LOOKUP(SE$1,$S34:$HK34,csv!$L34:$HD34))</f>
        <v>0</v>
      </c>
      <c r="SF34" s="5">
        <f>IF(ISERROR(LOOKUP(SF$1,$S34:$HK34,csv!$L34:$HD34)),NA(),LOOKUP(SF$1,$S34:$HK34,csv!$L34:$HD34))</f>
        <v>0</v>
      </c>
      <c r="SG34" s="5">
        <f>IF(ISERROR(LOOKUP(SG$1,$S34:$HK34,csv!$L34:$HD34)),NA(),LOOKUP(SG$1,$S34:$HK34,csv!$L34:$HD34))</f>
        <v>0</v>
      </c>
      <c r="SH34" s="5">
        <f>IF(ISERROR(LOOKUP(SH$1,$S34:$HK34,csv!$L34:$HD34)),NA(),LOOKUP(SH$1,$S34:$HK34,csv!$L34:$HD34))</f>
        <v>0</v>
      </c>
      <c r="SI34" s="5">
        <f>IF(ISERROR(LOOKUP(SI$1,$S34:$HK34,csv!$L34:$HD34)),NA(),LOOKUP(SI$1,$S34:$HK34,csv!$L34:$HD34))</f>
        <v>0</v>
      </c>
      <c r="SJ34" s="5">
        <f>IF(ISERROR(LOOKUP(SJ$1,$S34:$HK34,csv!$L34:$HD34)),NA(),LOOKUP(SJ$1,$S34:$HK34,csv!$L34:$HD34))</f>
        <v>0</v>
      </c>
      <c r="SK34" s="5">
        <f>IF(ISERROR(LOOKUP(SK$1,$S34:$HK34,csv!$L34:$HD34)),NA(),LOOKUP(SK$1,$S34:$HK34,csv!$L34:$HD34))</f>
        <v>0</v>
      </c>
      <c r="SL34" s="5">
        <f>IF(ISERROR(LOOKUP(SL$1,$S34:$HK34,csv!$L34:$HD34)),NA(),LOOKUP(SL$1,$S34:$HK34,csv!$L34:$HD34))</f>
        <v>0</v>
      </c>
      <c r="SM34" s="5">
        <f>IF(ISERROR(LOOKUP(SM$1,$S34:$HK34,csv!$L34:$HD34)),NA(),LOOKUP(SM$1,$S34:$HK34,csv!$L34:$HD34))</f>
        <v>0</v>
      </c>
      <c r="SN34" s="5">
        <f>IF(ISERROR(LOOKUP(SN$1,$S34:$HK34,csv!$L34:$HD34)),NA(),LOOKUP(SN$1,$S34:$HK34,csv!$L34:$HD34))</f>
        <v>0</v>
      </c>
      <c r="SO34" s="5">
        <f>IF(ISERROR(LOOKUP(SO$1,$S34:$HK34,csv!$L34:$HD34)),NA(),LOOKUP(SO$1,$S34:$HK34,csv!$L34:$HD34))</f>
        <v>0</v>
      </c>
      <c r="SP34" s="5">
        <f>IF(ISERROR(LOOKUP(SP$1,$S34:$HK34,csv!$L34:$HD34)),NA(),LOOKUP(SP$1,$S34:$HK34,csv!$L34:$HD34))</f>
        <v>0</v>
      </c>
      <c r="SQ34" s="5">
        <f>IF(ISERROR(LOOKUP(SQ$1,$S34:$HK34,csv!$L34:$HD34)),NA(),LOOKUP(SQ$1,$S34:$HK34,csv!$L34:$HD34))</f>
        <v>0</v>
      </c>
      <c r="SR34" s="5">
        <f>IF(ISERROR(LOOKUP(SR$1,$S34:$HK34,csv!$L34:$HD34)),NA(),LOOKUP(SR$1,$S34:$HK34,csv!$L34:$HD34))</f>
        <v>0</v>
      </c>
      <c r="SS34" s="5">
        <f>IF(ISERROR(LOOKUP(SS$1,$S34:$HK34,csv!$L34:$HD34)),NA(),LOOKUP(SS$1,$S34:$HK34,csv!$L34:$HD34))</f>
        <v>0</v>
      </c>
      <c r="ST34" s="5">
        <f>IF(ISERROR(LOOKUP(ST$1,$S34:$HK34,csv!$L34:$HD34)),NA(),LOOKUP(ST$1,$S34:$HK34,csv!$L34:$HD34))</f>
        <v>0</v>
      </c>
      <c r="SU34" s="5">
        <f>IF(ISERROR(LOOKUP(SU$1,$S34:$HK34,csv!$L34:$HD34)),NA(),LOOKUP(SU$1,$S34:$HK34,csv!$L34:$HD34))</f>
        <v>0</v>
      </c>
      <c r="SV34" s="5">
        <f>IF(ISERROR(LOOKUP(SV$1,$S34:$HK34,csv!$L34:$HD34)),NA(),LOOKUP(SV$1,$S34:$HK34,csv!$L34:$HD34))</f>
        <v>0</v>
      </c>
      <c r="SW34" s="5">
        <f>IF(ISERROR(LOOKUP(SW$1,$S34:$HK34,csv!$L34:$HD34)),NA(),LOOKUP(SW$1,$S34:$HK34,csv!$L34:$HD34))</f>
        <v>0</v>
      </c>
      <c r="SX34" s="5">
        <f>IF(ISERROR(LOOKUP(SX$1,$S34:$HK34,csv!$L34:$HD34)),NA(),LOOKUP(SX$1,$S34:$HK34,csv!$L34:$HD34))</f>
        <v>0</v>
      </c>
      <c r="SY34" s="5">
        <f>IF(ISERROR(LOOKUP(SY$1,$S34:$HK34,csv!$L34:$HD34)),NA(),LOOKUP(SY$1,$S34:$HK34,csv!$L34:$HD34))</f>
        <v>0</v>
      </c>
      <c r="SZ34" s="5">
        <f>IF(ISERROR(LOOKUP(SZ$1,$S34:$HK34,csv!$L34:$HD34)),NA(),LOOKUP(SZ$1,$S34:$HK34,csv!$L34:$HD34))</f>
        <v>0</v>
      </c>
      <c r="TA34" s="5">
        <f>IF(ISERROR(LOOKUP(TA$1,$S34:$HK34,csv!$L34:$HD34)),NA(),LOOKUP(TA$1,$S34:$HK34,csv!$L34:$HD34))</f>
        <v>0</v>
      </c>
      <c r="TB34" s="5">
        <f>IF(ISERROR(LOOKUP(TB$1,$S34:$HK34,csv!$L34:$HD34)),NA(),LOOKUP(TB$1,$S34:$HK34,csv!$L34:$HD34))</f>
        <v>0</v>
      </c>
      <c r="TD34">
        <f>csv!HG34/10</f>
        <v>0</v>
      </c>
    </row>
    <row r="35" spans="19:525" x14ac:dyDescent="0.15">
      <c r="S35" s="4">
        <f>ROUND((csv!$HG35/10+calc!S$1),1)</f>
        <v>-10</v>
      </c>
      <c r="T35" s="4">
        <f>ROUND((csv!$HG35/10+calc!T$1),1)</f>
        <v>-9.9</v>
      </c>
      <c r="U35" s="4">
        <f>ROUND((csv!$HG35/10+calc!U$1),1)</f>
        <v>-9.8000000000000007</v>
      </c>
      <c r="V35" s="4">
        <f>ROUND((csv!$HG35/10+calc!V$1),1)</f>
        <v>-9.6999999999999993</v>
      </c>
      <c r="W35" s="4">
        <f>ROUND((csv!$HG35/10+calc!W$1),1)</f>
        <v>-9.6</v>
      </c>
      <c r="X35" s="4">
        <f>ROUND((csv!$HG35/10+calc!X$1),1)</f>
        <v>-9.5</v>
      </c>
      <c r="Y35" s="4">
        <f>ROUND((csv!$HG35/10+calc!Y$1),1)</f>
        <v>-9.4</v>
      </c>
      <c r="Z35" s="4">
        <f>ROUND((csv!$HG35/10+calc!Z$1),1)</f>
        <v>-9.3000000000000007</v>
      </c>
      <c r="AA35" s="4">
        <f>ROUND((csv!$HG35/10+calc!AA$1),1)</f>
        <v>-9.1999999999999993</v>
      </c>
      <c r="AB35" s="4">
        <f>ROUND((csv!$HG35/10+calc!AB$1),1)</f>
        <v>-9.1</v>
      </c>
      <c r="AC35" s="4">
        <f>ROUND((csv!$HG35/10+calc!AC$1),1)</f>
        <v>-9</v>
      </c>
      <c r="AD35" s="4">
        <f>ROUND((csv!$HG35/10+calc!AD$1),1)</f>
        <v>-8.9</v>
      </c>
      <c r="AE35" s="4">
        <f>ROUND((csv!$HG35/10+calc!AE$1),1)</f>
        <v>-8.8000000000000007</v>
      </c>
      <c r="AF35" s="4">
        <f>ROUND((csv!$HG35/10+calc!AF$1),1)</f>
        <v>-8.6999999999999993</v>
      </c>
      <c r="AG35" s="4">
        <f>ROUND((csv!$HG35/10+calc!AG$1),1)</f>
        <v>-8.6</v>
      </c>
      <c r="AH35" s="4">
        <f>ROUND((csv!$HG35/10+calc!AH$1),1)</f>
        <v>-8.5</v>
      </c>
      <c r="AI35" s="4">
        <f>ROUND((csv!$HG35/10+calc!AI$1),1)</f>
        <v>-8.4</v>
      </c>
      <c r="AJ35" s="4">
        <f>ROUND((csv!$HG35/10+calc!AJ$1),1)</f>
        <v>-8.3000000000000007</v>
      </c>
      <c r="AK35" s="4">
        <f>ROUND((csv!$HG35/10+calc!AK$1),1)</f>
        <v>-8.1999999999999993</v>
      </c>
      <c r="AL35" s="4">
        <f>ROUND((csv!$HG35/10+calc!AL$1),1)</f>
        <v>-8.1</v>
      </c>
      <c r="AM35" s="4">
        <f>ROUND((csv!$HG35/10+calc!AM$1),1)</f>
        <v>-8</v>
      </c>
      <c r="AN35" s="4">
        <f>ROUND((csv!$HG35/10+calc!AN$1),1)</f>
        <v>-7.9</v>
      </c>
      <c r="AO35" s="4">
        <f>ROUND((csv!$HG35/10+calc!AO$1),1)</f>
        <v>-7.8</v>
      </c>
      <c r="AP35" s="4">
        <f>ROUND((csv!$HG35/10+calc!AP$1),1)</f>
        <v>-7.7</v>
      </c>
      <c r="AQ35" s="4">
        <f>ROUND((csv!$HG35/10+calc!AQ$1),1)</f>
        <v>-7.6</v>
      </c>
      <c r="AR35" s="4">
        <f>ROUND((csv!$HG35/10+calc!AR$1),1)</f>
        <v>-7.5</v>
      </c>
      <c r="AS35" s="4">
        <f>ROUND((csv!$HG35/10+calc!AS$1),1)</f>
        <v>-7.4</v>
      </c>
      <c r="AT35" s="4">
        <f>ROUND((csv!$HG35/10+calc!AT$1),1)</f>
        <v>-7.3</v>
      </c>
      <c r="AU35" s="4">
        <f>ROUND((csv!$HG35/10+calc!AU$1),1)</f>
        <v>-7.2</v>
      </c>
      <c r="AV35" s="4">
        <f>ROUND((csv!$HG35/10+calc!AV$1),1)</f>
        <v>-7.1</v>
      </c>
      <c r="AW35" s="4">
        <f>ROUND((csv!$HG35/10+calc!AW$1),1)</f>
        <v>-7</v>
      </c>
      <c r="AX35" s="4">
        <f>ROUND((csv!$HG35/10+calc!AX$1),1)</f>
        <v>-6.9</v>
      </c>
      <c r="AY35" s="4">
        <f>ROUND((csv!$HG35/10+calc!AY$1),1)</f>
        <v>-6.8</v>
      </c>
      <c r="AZ35" s="4">
        <f>ROUND((csv!$HG35/10+calc!AZ$1),1)</f>
        <v>-6.7</v>
      </c>
      <c r="BA35" s="4">
        <f>ROUND((csv!$HG35/10+calc!BA$1),1)</f>
        <v>-6.6</v>
      </c>
      <c r="BB35" s="4">
        <f>ROUND((csv!$HG35/10+calc!BB$1),1)</f>
        <v>-6.5</v>
      </c>
      <c r="BC35" s="4">
        <f>ROUND((csv!$HG35/10+calc!BC$1),1)</f>
        <v>-6.4</v>
      </c>
      <c r="BD35" s="4">
        <f>ROUND((csv!$HG35/10+calc!BD$1),1)</f>
        <v>-6.3</v>
      </c>
      <c r="BE35" s="4">
        <f>ROUND((csv!$HG35/10+calc!BE$1),1)</f>
        <v>-6.2</v>
      </c>
      <c r="BF35" s="4">
        <f>ROUND((csv!$HG35/10+calc!BF$1),1)</f>
        <v>-6.1</v>
      </c>
      <c r="BG35" s="4">
        <f>ROUND((csv!$HG35/10+calc!BG$1),1)</f>
        <v>-6</v>
      </c>
      <c r="BH35" s="4">
        <f>ROUND((csv!$HG35/10+calc!BH$1),1)</f>
        <v>-5.9</v>
      </c>
      <c r="BI35" s="4">
        <f>ROUND((csv!$HG35/10+calc!BI$1),1)</f>
        <v>-5.8</v>
      </c>
      <c r="BJ35" s="4">
        <f>ROUND((csv!$HG35/10+calc!BJ$1),1)</f>
        <v>-5.7</v>
      </c>
      <c r="BK35" s="4">
        <f>ROUND((csv!$HG35/10+calc!BK$1),1)</f>
        <v>-5.6</v>
      </c>
      <c r="BL35" s="4">
        <f>ROUND((csv!$HG35/10+calc!BL$1),1)</f>
        <v>-5.5</v>
      </c>
      <c r="BM35" s="4">
        <f>ROUND((csv!$HG35/10+calc!BM$1),1)</f>
        <v>-5.4</v>
      </c>
      <c r="BN35" s="4">
        <f>ROUND((csv!$HG35/10+calc!BN$1),1)</f>
        <v>-5.3</v>
      </c>
      <c r="BO35" s="4">
        <f>ROUND((csv!$HG35/10+calc!BO$1),1)</f>
        <v>-5.2</v>
      </c>
      <c r="BP35" s="4">
        <f>ROUND((csv!$HG35/10+calc!BP$1),1)</f>
        <v>-5.0999999999999996</v>
      </c>
      <c r="BQ35" s="4">
        <f>ROUND((csv!$HG35/10+calc!BQ$1),1)</f>
        <v>-5</v>
      </c>
      <c r="BR35" s="4">
        <f>ROUND((csv!$HG35/10+calc!BR$1),1)</f>
        <v>-4.9000000000000004</v>
      </c>
      <c r="BS35" s="4">
        <f>ROUND((csv!$HG35/10+calc!BS$1),1)</f>
        <v>-4.8</v>
      </c>
      <c r="BT35" s="4">
        <f>ROUND((csv!$HG35/10+calc!BT$1),1)</f>
        <v>-4.7</v>
      </c>
      <c r="BU35" s="4">
        <f>ROUND((csv!$HG35/10+calc!BU$1),1)</f>
        <v>-4.5999999999999996</v>
      </c>
      <c r="BV35" s="4">
        <f>ROUND((csv!$HG35/10+calc!BV$1),1)</f>
        <v>-4.5</v>
      </c>
      <c r="BW35" s="4">
        <f>ROUND((csv!$HG35/10+calc!BW$1),1)</f>
        <v>-4.4000000000000004</v>
      </c>
      <c r="BX35" s="4">
        <f>ROUND((csv!$HG35/10+calc!BX$1),1)</f>
        <v>-4.3</v>
      </c>
      <c r="BY35" s="4">
        <f>ROUND((csv!$HG35/10+calc!BY$1),1)</f>
        <v>-4.2</v>
      </c>
      <c r="BZ35" s="4">
        <f>ROUND((csv!$HG35/10+calc!BZ$1),1)</f>
        <v>-4.0999999999999996</v>
      </c>
      <c r="CA35" s="4">
        <f>ROUND((csv!$HG35/10+calc!CA$1),1)</f>
        <v>-4</v>
      </c>
      <c r="CB35" s="4">
        <f>ROUND((csv!$HG35/10+calc!CB$1),1)</f>
        <v>-3.9</v>
      </c>
      <c r="CC35" s="4">
        <f>ROUND((csv!$HG35/10+calc!CC$1),1)</f>
        <v>-3.8</v>
      </c>
      <c r="CD35" s="4">
        <f>ROUND((csv!$HG35/10+calc!CD$1),1)</f>
        <v>-3.7</v>
      </c>
      <c r="CE35" s="4">
        <f>ROUND((csv!$HG35/10+calc!CE$1),1)</f>
        <v>-3.6</v>
      </c>
      <c r="CF35" s="4">
        <f>ROUND((csv!$HG35/10+calc!CF$1),1)</f>
        <v>-3.5</v>
      </c>
      <c r="CG35" s="4">
        <f>ROUND((csv!$HG35/10+calc!CG$1),1)</f>
        <v>-3.4</v>
      </c>
      <c r="CH35" s="4">
        <f>ROUND((csv!$HG35/10+calc!CH$1),1)</f>
        <v>-3.3</v>
      </c>
      <c r="CI35" s="4">
        <f>ROUND((csv!$HG35/10+calc!CI$1),1)</f>
        <v>-3.2</v>
      </c>
      <c r="CJ35" s="4">
        <f>ROUND((csv!$HG35/10+calc!CJ$1),1)</f>
        <v>-3.1</v>
      </c>
      <c r="CK35" s="4">
        <f>ROUND((csv!$HG35/10+calc!CK$1),1)</f>
        <v>-3</v>
      </c>
      <c r="CL35" s="4">
        <f>ROUND((csv!$HG35/10+calc!CL$1),1)</f>
        <v>-2.9</v>
      </c>
      <c r="CM35" s="4">
        <f>ROUND((csv!$HG35/10+calc!CM$1),1)</f>
        <v>-2.8</v>
      </c>
      <c r="CN35" s="4">
        <f>ROUND((csv!$HG35/10+calc!CN$1),1)</f>
        <v>-2.7</v>
      </c>
      <c r="CO35" s="4">
        <f>ROUND((csv!$HG35/10+calc!CO$1),1)</f>
        <v>-2.6</v>
      </c>
      <c r="CP35" s="4">
        <f>ROUND((csv!$HG35/10+calc!CP$1),1)</f>
        <v>-2.5</v>
      </c>
      <c r="CQ35" s="4">
        <f>ROUND((csv!$HG35/10+calc!CQ$1),1)</f>
        <v>-2.4</v>
      </c>
      <c r="CR35" s="4">
        <f>ROUND((csv!$HG35/10+calc!CR$1),1)</f>
        <v>-2.2999999999999998</v>
      </c>
      <c r="CS35" s="4">
        <f>ROUND((csv!$HG35/10+calc!CS$1),1)</f>
        <v>-2.2000000000000002</v>
      </c>
      <c r="CT35" s="4">
        <f>ROUND((csv!$HG35/10+calc!CT$1),1)</f>
        <v>-2.1</v>
      </c>
      <c r="CU35" s="4">
        <f>ROUND((csv!$HG35/10+calc!CU$1),1)</f>
        <v>-2</v>
      </c>
      <c r="CV35" s="4">
        <f>ROUND((csv!$HG35/10+calc!CV$1),1)</f>
        <v>-1.9</v>
      </c>
      <c r="CW35" s="4">
        <f>ROUND((csv!$HG35/10+calc!CW$1),1)</f>
        <v>-1.8</v>
      </c>
      <c r="CX35" s="4">
        <f>ROUND((csv!$HG35/10+calc!CX$1),1)</f>
        <v>-1.7</v>
      </c>
      <c r="CY35" s="4">
        <f>ROUND((csv!$HG35/10+calc!CY$1),1)</f>
        <v>-1.6</v>
      </c>
      <c r="CZ35" s="4">
        <f>ROUND((csv!$HG35/10+calc!CZ$1),1)</f>
        <v>-1.5</v>
      </c>
      <c r="DA35" s="4">
        <f>ROUND((csv!$HG35/10+calc!DA$1),1)</f>
        <v>-1.4</v>
      </c>
      <c r="DB35" s="4">
        <f>ROUND((csv!$HG35/10+calc!DB$1),1)</f>
        <v>-1.3</v>
      </c>
      <c r="DC35" s="4">
        <f>ROUND((csv!$HG35/10+calc!DC$1),1)</f>
        <v>-1.2</v>
      </c>
      <c r="DD35" s="4">
        <f>ROUND((csv!$HG35/10+calc!DD$1),1)</f>
        <v>-1.1000000000000001</v>
      </c>
      <c r="DE35" s="4">
        <f>ROUND((csv!$HG35/10+calc!DE$1),1)</f>
        <v>-1</v>
      </c>
      <c r="DF35" s="4">
        <f>ROUND((csv!$HG35/10+calc!DF$1),1)</f>
        <v>-0.9</v>
      </c>
      <c r="DG35" s="4">
        <f>ROUND((csv!$HG35/10+calc!DG$1),1)</f>
        <v>-0.8</v>
      </c>
      <c r="DH35" s="4">
        <f>ROUND((csv!$HG35/10+calc!DH$1),1)</f>
        <v>-0.7</v>
      </c>
      <c r="DI35" s="4">
        <f>ROUND((csv!$HG35/10+calc!DI$1),1)</f>
        <v>-0.6</v>
      </c>
      <c r="DJ35" s="4">
        <f>ROUND((csv!$HG35/10+calc!DJ$1),1)</f>
        <v>-0.5</v>
      </c>
      <c r="DK35" s="4">
        <f>ROUND((csv!$HG35/10+calc!DK$1),1)</f>
        <v>-0.4</v>
      </c>
      <c r="DL35" s="4">
        <f>ROUND((csv!$HG35/10+calc!DL$1),1)</f>
        <v>-0.3</v>
      </c>
      <c r="DM35" s="4">
        <f>ROUND((csv!$HG35/10+calc!DM$1),1)</f>
        <v>-0.2</v>
      </c>
      <c r="DN35" s="4">
        <f>ROUND((csv!$HG35/10+calc!DN$1),1)</f>
        <v>-0.1</v>
      </c>
      <c r="DO35" s="4">
        <f>ROUND((csv!$HG35/10+calc!DO$1),1)</f>
        <v>0</v>
      </c>
      <c r="DP35" s="4">
        <f>ROUND((csv!$HG35/10+calc!DP$1),1)</f>
        <v>0.1</v>
      </c>
      <c r="DQ35" s="4">
        <f>ROUND((csv!$HG35/10+calc!DQ$1),1)</f>
        <v>0.2</v>
      </c>
      <c r="DR35" s="4">
        <f>ROUND((csv!$HG35/10+calc!DR$1),1)</f>
        <v>0.3</v>
      </c>
      <c r="DS35" s="4">
        <f>ROUND((csv!$HG35/10+calc!DS$1),1)</f>
        <v>0.4</v>
      </c>
      <c r="DT35" s="4">
        <f>ROUND((csv!$HG35/10+calc!DT$1),1)</f>
        <v>0.5</v>
      </c>
      <c r="DU35" s="4">
        <f>ROUND((csv!$HG35/10+calc!DU$1),1)</f>
        <v>0.6</v>
      </c>
      <c r="DV35" s="4">
        <f>ROUND((csv!$HG35/10+calc!DV$1),1)</f>
        <v>0.7</v>
      </c>
      <c r="DW35" s="4">
        <f>ROUND((csv!$HG35/10+calc!DW$1),1)</f>
        <v>0.8</v>
      </c>
      <c r="DX35" s="4">
        <f>ROUND((csv!$HG35/10+calc!DX$1),1)</f>
        <v>0.9</v>
      </c>
      <c r="DY35" s="4">
        <f>ROUND((csv!$HG35/10+calc!DY$1),1)</f>
        <v>1</v>
      </c>
      <c r="DZ35" s="4">
        <f>ROUND((csv!$HG35/10+calc!DZ$1),1)</f>
        <v>1.1000000000000001</v>
      </c>
      <c r="EA35" s="4">
        <f>ROUND((csv!$HG35/10+calc!EA$1),1)</f>
        <v>1.2</v>
      </c>
      <c r="EB35" s="4">
        <f>ROUND((csv!$HG35/10+calc!EB$1),1)</f>
        <v>1.3</v>
      </c>
      <c r="EC35" s="4">
        <f>ROUND((csv!$HG35/10+calc!EC$1),1)</f>
        <v>1.4</v>
      </c>
      <c r="ED35" s="4">
        <f>ROUND((csv!$HG35/10+calc!ED$1),1)</f>
        <v>1.5</v>
      </c>
      <c r="EE35" s="4">
        <f>ROUND((csv!$HG35/10+calc!EE$1),1)</f>
        <v>1.6</v>
      </c>
      <c r="EF35" s="4">
        <f>ROUND((csv!$HG35/10+calc!EF$1),1)</f>
        <v>1.7</v>
      </c>
      <c r="EG35" s="4">
        <f>ROUND((csv!$HG35/10+calc!EG$1),1)</f>
        <v>1.8</v>
      </c>
      <c r="EH35" s="4">
        <f>ROUND((csv!$HG35/10+calc!EH$1),1)</f>
        <v>1.9</v>
      </c>
      <c r="EI35" s="4">
        <f>ROUND((csv!$HG35/10+calc!EI$1),1)</f>
        <v>2</v>
      </c>
      <c r="EJ35" s="4">
        <f>ROUND((csv!$HG35/10+calc!EJ$1),1)</f>
        <v>2.1</v>
      </c>
      <c r="EK35" s="4">
        <f>ROUND((csv!$HG35/10+calc!EK$1),1)</f>
        <v>2.2000000000000002</v>
      </c>
      <c r="EL35" s="4">
        <f>ROUND((csv!$HG35/10+calc!EL$1),1)</f>
        <v>2.2999999999999998</v>
      </c>
      <c r="EM35" s="4">
        <f>ROUND((csv!$HG35/10+calc!EM$1),1)</f>
        <v>2.4</v>
      </c>
      <c r="EN35" s="4">
        <f>ROUND((csv!$HG35/10+calc!EN$1),1)</f>
        <v>2.5</v>
      </c>
      <c r="EO35" s="4">
        <f>ROUND((csv!$HG35/10+calc!EO$1),1)</f>
        <v>2.6</v>
      </c>
      <c r="EP35" s="4">
        <f>ROUND((csv!$HG35/10+calc!EP$1),1)</f>
        <v>2.7</v>
      </c>
      <c r="EQ35" s="4">
        <f>ROUND((csv!$HG35/10+calc!EQ$1),1)</f>
        <v>2.8</v>
      </c>
      <c r="ER35" s="4">
        <f>ROUND((csv!$HG35/10+calc!ER$1),1)</f>
        <v>2.9</v>
      </c>
      <c r="ES35" s="4">
        <f>ROUND((csv!$HG35/10+calc!ES$1),1)</f>
        <v>3</v>
      </c>
      <c r="ET35" s="4">
        <f>ROUND((csv!$HG35/10+calc!ET$1),1)</f>
        <v>3.1</v>
      </c>
      <c r="EU35" s="4">
        <f>ROUND((csv!$HG35/10+calc!EU$1),1)</f>
        <v>3.2</v>
      </c>
      <c r="EV35" s="4">
        <f>ROUND((csv!$HG35/10+calc!EV$1),1)</f>
        <v>3.3</v>
      </c>
      <c r="EW35" s="4">
        <f>ROUND((csv!$HG35/10+calc!EW$1),1)</f>
        <v>3.4</v>
      </c>
      <c r="EX35" s="4">
        <f>ROUND((csv!$HG35/10+calc!EX$1),1)</f>
        <v>3.5</v>
      </c>
      <c r="EY35" s="4">
        <f>ROUND((csv!$HG35/10+calc!EY$1),1)</f>
        <v>3.6</v>
      </c>
      <c r="EZ35" s="4">
        <f>ROUND((csv!$HG35/10+calc!EZ$1),1)</f>
        <v>3.7</v>
      </c>
      <c r="FA35" s="4">
        <f>ROUND((csv!$HG35/10+calc!FA$1),1)</f>
        <v>3.8</v>
      </c>
      <c r="FB35" s="4">
        <f>ROUND((csv!$HG35/10+calc!FB$1),1)</f>
        <v>3.9</v>
      </c>
      <c r="FC35" s="4">
        <f>ROUND((csv!$HG35/10+calc!FC$1),1)</f>
        <v>4</v>
      </c>
      <c r="FD35" s="4">
        <f>ROUND((csv!$HG35/10+calc!FD$1),1)</f>
        <v>4.0999999999999996</v>
      </c>
      <c r="FE35" s="4">
        <f>ROUND((csv!$HG35/10+calc!FE$1),1)</f>
        <v>4.2</v>
      </c>
      <c r="FF35" s="4">
        <f>ROUND((csv!$HG35/10+calc!FF$1),1)</f>
        <v>4.3</v>
      </c>
      <c r="FG35" s="4">
        <f>ROUND((csv!$HG35/10+calc!FG$1),1)</f>
        <v>4.4000000000000004</v>
      </c>
      <c r="FH35" s="4">
        <f>ROUND((csv!$HG35/10+calc!FH$1),1)</f>
        <v>4.5</v>
      </c>
      <c r="FI35" s="4">
        <f>ROUND((csv!$HG35/10+calc!FI$1),1)</f>
        <v>4.5999999999999996</v>
      </c>
      <c r="FJ35" s="4">
        <f>ROUND((csv!$HG35/10+calc!FJ$1),1)</f>
        <v>4.7</v>
      </c>
      <c r="FK35" s="4">
        <f>ROUND((csv!$HG35/10+calc!FK$1),1)</f>
        <v>4.8</v>
      </c>
      <c r="FL35" s="4">
        <f>ROUND((csv!$HG35/10+calc!FL$1),1)</f>
        <v>4.9000000000000004</v>
      </c>
      <c r="FM35" s="4">
        <f>ROUND((csv!$HG35/10+calc!FM$1),1)</f>
        <v>5</v>
      </c>
      <c r="FN35" s="4">
        <f>ROUND((csv!$HG35/10+calc!FN$1),1)</f>
        <v>5.0999999999999996</v>
      </c>
      <c r="FO35" s="4">
        <f>ROUND((csv!$HG35/10+calc!FO$1),1)</f>
        <v>5.2</v>
      </c>
      <c r="FP35" s="4">
        <f>ROUND((csv!$HG35/10+calc!FP$1),1)</f>
        <v>5.3</v>
      </c>
      <c r="FQ35" s="4">
        <f>ROUND((csv!$HG35/10+calc!FQ$1),1)</f>
        <v>5.4</v>
      </c>
      <c r="FR35" s="4">
        <f>ROUND((csv!$HG35/10+calc!FR$1),1)</f>
        <v>5.5</v>
      </c>
      <c r="FS35" s="4">
        <f>ROUND((csv!$HG35/10+calc!FS$1),1)</f>
        <v>5.6</v>
      </c>
      <c r="FT35" s="4">
        <f>ROUND((csv!$HG35/10+calc!FT$1),1)</f>
        <v>5.7</v>
      </c>
      <c r="FU35" s="4">
        <f>ROUND((csv!$HG35/10+calc!FU$1),1)</f>
        <v>5.8</v>
      </c>
      <c r="FV35" s="4">
        <f>ROUND((csv!$HG35/10+calc!FV$1),1)</f>
        <v>5.9</v>
      </c>
      <c r="FW35" s="4">
        <f>ROUND((csv!$HG35/10+calc!FW$1),1)</f>
        <v>6</v>
      </c>
      <c r="FX35" s="4">
        <f>ROUND((csv!$HG35/10+calc!FX$1),1)</f>
        <v>6.1</v>
      </c>
      <c r="FY35" s="4">
        <f>ROUND((csv!$HG35/10+calc!FY$1),1)</f>
        <v>6.2</v>
      </c>
      <c r="FZ35" s="4">
        <f>ROUND((csv!$HG35/10+calc!FZ$1),1)</f>
        <v>6.3</v>
      </c>
      <c r="GA35" s="4">
        <f>ROUND((csv!$HG35/10+calc!GA$1),1)</f>
        <v>6.4</v>
      </c>
      <c r="GB35" s="4">
        <f>ROUND((csv!$HG35/10+calc!GB$1),1)</f>
        <v>6.5</v>
      </c>
      <c r="GC35" s="4">
        <f>ROUND((csv!$HG35/10+calc!GC$1),1)</f>
        <v>6.6</v>
      </c>
      <c r="GD35" s="4">
        <f>ROUND((csv!$HG35/10+calc!GD$1),1)</f>
        <v>6.7</v>
      </c>
      <c r="GE35" s="4">
        <f>ROUND((csv!$HG35/10+calc!GE$1),1)</f>
        <v>6.8</v>
      </c>
      <c r="GF35" s="4">
        <f>ROUND((csv!$HG35/10+calc!GF$1),1)</f>
        <v>6.9</v>
      </c>
      <c r="GG35" s="4">
        <f>ROUND((csv!$HG35/10+calc!GG$1),1)</f>
        <v>7</v>
      </c>
      <c r="GH35" s="4">
        <f>ROUND((csv!$HG35/10+calc!GH$1),1)</f>
        <v>7.1</v>
      </c>
      <c r="GI35" s="4">
        <f>ROUND((csv!$HG35/10+calc!GI$1),1)</f>
        <v>7.2</v>
      </c>
      <c r="GJ35" s="4">
        <f>ROUND((csv!$HG35/10+calc!GJ$1),1)</f>
        <v>7.3</v>
      </c>
      <c r="GK35" s="4">
        <f>ROUND((csv!$HG35/10+calc!GK$1),1)</f>
        <v>7.4</v>
      </c>
      <c r="GL35" s="4">
        <f>ROUND((csv!$HG35/10+calc!GL$1),1)</f>
        <v>7.5</v>
      </c>
      <c r="GM35" s="4">
        <f>ROUND((csv!$HG35/10+calc!GM$1),1)</f>
        <v>7.6</v>
      </c>
      <c r="GN35" s="4">
        <f>ROUND((csv!$HG35/10+calc!GN$1),1)</f>
        <v>7.7</v>
      </c>
      <c r="GO35" s="4">
        <f>ROUND((csv!$HG35/10+calc!GO$1),1)</f>
        <v>7.8</v>
      </c>
      <c r="GP35" s="4">
        <f>ROUND((csv!$HG35/10+calc!GP$1),1)</f>
        <v>7.9</v>
      </c>
      <c r="GQ35" s="4">
        <f>ROUND((csv!$HG35/10+calc!GQ$1),1)</f>
        <v>8</v>
      </c>
      <c r="GR35" s="4">
        <f>ROUND((csv!$HG35/10+calc!GR$1),1)</f>
        <v>8.1</v>
      </c>
      <c r="GS35" s="4">
        <f>ROUND((csv!$HG35/10+calc!GS$1),1)</f>
        <v>8.1999999999999993</v>
      </c>
      <c r="GT35" s="4">
        <f>ROUND((csv!$HG35/10+calc!GT$1),1)</f>
        <v>8.3000000000000007</v>
      </c>
      <c r="GU35" s="4">
        <f>ROUND((csv!$HG35/10+calc!GU$1),1)</f>
        <v>8.4</v>
      </c>
      <c r="GV35" s="4">
        <f>ROUND((csv!$HG35/10+calc!GV$1),1)</f>
        <v>8.5</v>
      </c>
      <c r="GW35" s="4">
        <f>ROUND((csv!$HG35/10+calc!GW$1),1)</f>
        <v>8.6</v>
      </c>
      <c r="GX35" s="4">
        <f>ROUND((csv!$HG35/10+calc!GX$1),1)</f>
        <v>8.6999999999999993</v>
      </c>
      <c r="GY35" s="4">
        <f>ROUND((csv!$HG35/10+calc!GY$1),1)</f>
        <v>8.8000000000000007</v>
      </c>
      <c r="GZ35" s="4">
        <f>ROUND((csv!$HG35/10+calc!GZ$1),1)</f>
        <v>8.9</v>
      </c>
      <c r="HA35" s="4">
        <f>ROUND((csv!$HG35/10+calc!HA$1),1)</f>
        <v>9</v>
      </c>
      <c r="HB35" s="4">
        <f>ROUND((csv!$HG35/10+calc!HB$1),1)</f>
        <v>9.1</v>
      </c>
      <c r="HC35" s="4">
        <f>ROUND((csv!$HG35/10+calc!HC$1),1)</f>
        <v>9.1999999999999993</v>
      </c>
      <c r="HD35" s="4">
        <f>ROUND((csv!$HG35/10+calc!HD$1),1)</f>
        <v>9.3000000000000007</v>
      </c>
      <c r="HE35" s="4">
        <f>ROUND((csv!$HG35/10+calc!HE$1),1)</f>
        <v>9.4</v>
      </c>
      <c r="HF35" s="4">
        <f>ROUND((csv!$HG35/10+calc!HF$1),1)</f>
        <v>9.5</v>
      </c>
      <c r="HG35" s="4">
        <f>ROUND((csv!$HG35/10+calc!HG$1),1)</f>
        <v>9.6</v>
      </c>
      <c r="HH35" s="4">
        <f>ROUND((csv!$HG35/10+calc!HH$1),1)</f>
        <v>9.6999999999999993</v>
      </c>
      <c r="HI35" s="4">
        <f>ROUND((csv!$HG35/10+calc!HI$1),1)</f>
        <v>9.8000000000000007</v>
      </c>
      <c r="HJ35" s="4">
        <f>ROUND((csv!$HG35/10+calc!HJ$1),1)</f>
        <v>9.9</v>
      </c>
      <c r="HK35" s="4">
        <f>ROUND((csv!$HG35/10+calc!HK$1),1)</f>
        <v>10</v>
      </c>
      <c r="HM35" s="2">
        <f>csv!A35*10000+csv!B35*100+csv!C35</f>
        <v>0</v>
      </c>
      <c r="HN35" s="5">
        <f>IF(ISERROR(LOOKUP(HN$1,$S35:$HK35,csv!$L35:$HD35)),NA(),LOOKUP(HN$1,$S35:$HK35,csv!$L35:$HD35))</f>
        <v>0</v>
      </c>
      <c r="HO35" s="5">
        <f>IF(ISERROR(LOOKUP(HO$1,$S35:$HK35,csv!$L35:$HD35)),NA(),LOOKUP(HO$1,$S35:$HK35,csv!$L35:$HD35))</f>
        <v>0</v>
      </c>
      <c r="HP35" s="5">
        <f>IF(ISERROR(LOOKUP(HP$1,$S35:$HK35,csv!$L35:$HD35)),NA(),LOOKUP(HP$1,$S35:$HK35,csv!$L35:$HD35))</f>
        <v>0</v>
      </c>
      <c r="HQ35" s="5">
        <f>IF(ISERROR(LOOKUP(HQ$1,$S35:$HK35,csv!$L35:$HD35)),NA(),LOOKUP(HQ$1,$S35:$HK35,csv!$L35:$HD35))</f>
        <v>0</v>
      </c>
      <c r="HR35" s="5">
        <f>IF(ISERROR(LOOKUP(HR$1,$S35:$HK35,csv!$L35:$HD35)),NA(),LOOKUP(HR$1,$S35:$HK35,csv!$L35:$HD35))</f>
        <v>0</v>
      </c>
      <c r="HS35" s="5">
        <f>IF(ISERROR(LOOKUP(HS$1,$S35:$HK35,csv!$L35:$HD35)),NA(),LOOKUP(HS$1,$S35:$HK35,csv!$L35:$HD35))</f>
        <v>0</v>
      </c>
      <c r="HT35" s="5">
        <f>IF(ISERROR(LOOKUP(HT$1,$S35:$HK35,csv!$L35:$HD35)),NA(),LOOKUP(HT$1,$S35:$HK35,csv!$L35:$HD35))</f>
        <v>0</v>
      </c>
      <c r="HU35" s="5">
        <f>IF(ISERROR(LOOKUP(HU$1,$S35:$HK35,csv!$L35:$HD35)),NA(),LOOKUP(HU$1,$S35:$HK35,csv!$L35:$HD35))</f>
        <v>0</v>
      </c>
      <c r="HV35" s="5">
        <f>IF(ISERROR(LOOKUP(HV$1,$S35:$HK35,csv!$L35:$HD35)),NA(),LOOKUP(HV$1,$S35:$HK35,csv!$L35:$HD35))</f>
        <v>0</v>
      </c>
      <c r="HW35" s="5">
        <f>IF(ISERROR(LOOKUP(HW$1,$S35:$HK35,csv!$L35:$HD35)),NA(),LOOKUP(HW$1,$S35:$HK35,csv!$L35:$HD35))</f>
        <v>0</v>
      </c>
      <c r="HX35" s="5">
        <f>IF(ISERROR(LOOKUP(HX$1,$S35:$HK35,csv!$L35:$HD35)),NA(),LOOKUP(HX$1,$S35:$HK35,csv!$L35:$HD35))</f>
        <v>0</v>
      </c>
      <c r="HY35" s="5">
        <f>IF(ISERROR(LOOKUP(HY$1,$S35:$HK35,csv!$L35:$HD35)),NA(),LOOKUP(HY$1,$S35:$HK35,csv!$L35:$HD35))</f>
        <v>0</v>
      </c>
      <c r="HZ35" s="5">
        <f>IF(ISERROR(LOOKUP(HZ$1,$S35:$HK35,csv!$L35:$HD35)),NA(),LOOKUP(HZ$1,$S35:$HK35,csv!$L35:$HD35))</f>
        <v>0</v>
      </c>
      <c r="IA35" s="5">
        <f>IF(ISERROR(LOOKUP(IA$1,$S35:$HK35,csv!$L35:$HD35)),NA(),LOOKUP(IA$1,$S35:$HK35,csv!$L35:$HD35))</f>
        <v>0</v>
      </c>
      <c r="IB35" s="5">
        <f>IF(ISERROR(LOOKUP(IB$1,$S35:$HK35,csv!$L35:$HD35)),NA(),LOOKUP(IB$1,$S35:$HK35,csv!$L35:$HD35))</f>
        <v>0</v>
      </c>
      <c r="IC35" s="5">
        <f>IF(ISERROR(LOOKUP(IC$1,$S35:$HK35,csv!$L35:$HD35)),NA(),LOOKUP(IC$1,$S35:$HK35,csv!$L35:$HD35))</f>
        <v>0</v>
      </c>
      <c r="ID35" s="5">
        <f>IF(ISERROR(LOOKUP(ID$1,$S35:$HK35,csv!$L35:$HD35)),NA(),LOOKUP(ID$1,$S35:$HK35,csv!$L35:$HD35))</f>
        <v>0</v>
      </c>
      <c r="IE35" s="5">
        <f>IF(ISERROR(LOOKUP(IE$1,$S35:$HK35,csv!$L35:$HD35)),NA(),LOOKUP(IE$1,$S35:$HK35,csv!$L35:$HD35))</f>
        <v>0</v>
      </c>
      <c r="IF35" s="5">
        <f>IF(ISERROR(LOOKUP(IF$1,$S35:$HK35,csv!$L35:$HD35)),NA(),LOOKUP(IF$1,$S35:$HK35,csv!$L35:$HD35))</f>
        <v>0</v>
      </c>
      <c r="IG35" s="5">
        <f>IF(ISERROR(LOOKUP(IG$1,$S35:$HK35,csv!$L35:$HD35)),NA(),LOOKUP(IG$1,$S35:$HK35,csv!$L35:$HD35))</f>
        <v>0</v>
      </c>
      <c r="IH35" s="5">
        <f>IF(ISERROR(LOOKUP(IH$1,$S35:$HK35,csv!$L35:$HD35)),NA(),LOOKUP(IH$1,$S35:$HK35,csv!$L35:$HD35))</f>
        <v>0</v>
      </c>
      <c r="II35" s="5">
        <f>IF(ISERROR(LOOKUP(II$1,$S35:$HK35,csv!$L35:$HD35)),NA(),LOOKUP(II$1,$S35:$HK35,csv!$L35:$HD35))</f>
        <v>0</v>
      </c>
      <c r="IJ35" s="5">
        <f>IF(ISERROR(LOOKUP(IJ$1,$S35:$HK35,csv!$L35:$HD35)),NA(),LOOKUP(IJ$1,$S35:$HK35,csv!$L35:$HD35))</f>
        <v>0</v>
      </c>
      <c r="IK35" s="5">
        <f>IF(ISERROR(LOOKUP(IK$1,$S35:$HK35,csv!$L35:$HD35)),NA(),LOOKUP(IK$1,$S35:$HK35,csv!$L35:$HD35))</f>
        <v>0</v>
      </c>
      <c r="IL35" s="5">
        <f>IF(ISERROR(LOOKUP(IL$1,$S35:$HK35,csv!$L35:$HD35)),NA(),LOOKUP(IL$1,$S35:$HK35,csv!$L35:$HD35))</f>
        <v>0</v>
      </c>
      <c r="IM35" s="5">
        <f>IF(ISERROR(LOOKUP(IM$1,$S35:$HK35,csv!$L35:$HD35)),NA(),LOOKUP(IM$1,$S35:$HK35,csv!$L35:$HD35))</f>
        <v>0</v>
      </c>
      <c r="IN35" s="5">
        <f>IF(ISERROR(LOOKUP(IN$1,$S35:$HK35,csv!$L35:$HD35)),NA(),LOOKUP(IN$1,$S35:$HK35,csv!$L35:$HD35))</f>
        <v>0</v>
      </c>
      <c r="IO35" s="5">
        <f>IF(ISERROR(LOOKUP(IO$1,$S35:$HK35,csv!$L35:$HD35)),NA(),LOOKUP(IO$1,$S35:$HK35,csv!$L35:$HD35))</f>
        <v>0</v>
      </c>
      <c r="IP35" s="5">
        <f>IF(ISERROR(LOOKUP(IP$1,$S35:$HK35,csv!$L35:$HD35)),NA(),LOOKUP(IP$1,$S35:$HK35,csv!$L35:$HD35))</f>
        <v>0</v>
      </c>
      <c r="IQ35" s="5">
        <f>IF(ISERROR(LOOKUP(IQ$1,$S35:$HK35,csv!$L35:$HD35)),NA(),LOOKUP(IQ$1,$S35:$HK35,csv!$L35:$HD35))</f>
        <v>0</v>
      </c>
      <c r="IR35" s="5">
        <f>IF(ISERROR(LOOKUP(IR$1,$S35:$HK35,csv!$L35:$HD35)),NA(),LOOKUP(IR$1,$S35:$HK35,csv!$L35:$HD35))</f>
        <v>0</v>
      </c>
      <c r="IS35" s="5">
        <f>IF(ISERROR(LOOKUP(IS$1,$S35:$HK35,csv!$L35:$HD35)),NA(),LOOKUP(IS$1,$S35:$HK35,csv!$L35:$HD35))</f>
        <v>0</v>
      </c>
      <c r="IT35" s="5">
        <f>IF(ISERROR(LOOKUP(IT$1,$S35:$HK35,csv!$L35:$HD35)),NA(),LOOKUP(IT$1,$S35:$HK35,csv!$L35:$HD35))</f>
        <v>0</v>
      </c>
      <c r="IU35" s="5">
        <f>IF(ISERROR(LOOKUP(IU$1,$S35:$HK35,csv!$L35:$HD35)),NA(),LOOKUP(IU$1,$S35:$HK35,csv!$L35:$HD35))</f>
        <v>0</v>
      </c>
      <c r="IV35" s="5">
        <f>IF(ISERROR(LOOKUP(IV$1,$S35:$HK35,csv!$L35:$HD35)),NA(),LOOKUP(IV$1,$S35:$HK35,csv!$L35:$HD35))</f>
        <v>0</v>
      </c>
      <c r="IW35" s="5">
        <f>IF(ISERROR(LOOKUP(IW$1,$S35:$HK35,csv!$L35:$HD35)),NA(),LOOKUP(IW$1,$S35:$HK35,csv!$L35:$HD35))</f>
        <v>0</v>
      </c>
      <c r="IX35" s="5">
        <f>IF(ISERROR(LOOKUP(IX$1,$S35:$HK35,csv!$L35:$HD35)),NA(),LOOKUP(IX$1,$S35:$HK35,csv!$L35:$HD35))</f>
        <v>0</v>
      </c>
      <c r="IY35" s="5">
        <f>IF(ISERROR(LOOKUP(IY$1,$S35:$HK35,csv!$L35:$HD35)),NA(),LOOKUP(IY$1,$S35:$HK35,csv!$L35:$HD35))</f>
        <v>0</v>
      </c>
      <c r="IZ35" s="5">
        <f>IF(ISERROR(LOOKUP(IZ$1,$S35:$HK35,csv!$L35:$HD35)),NA(),LOOKUP(IZ$1,$S35:$HK35,csv!$L35:$HD35))</f>
        <v>0</v>
      </c>
      <c r="JA35" s="5">
        <f>IF(ISERROR(LOOKUP(JA$1,$S35:$HK35,csv!$L35:$HD35)),NA(),LOOKUP(JA$1,$S35:$HK35,csv!$L35:$HD35))</f>
        <v>0</v>
      </c>
      <c r="JB35" s="5">
        <f>IF(ISERROR(LOOKUP(JB$1,$S35:$HK35,csv!$L35:$HD35)),NA(),LOOKUP(JB$1,$S35:$HK35,csv!$L35:$HD35))</f>
        <v>0</v>
      </c>
      <c r="JC35" s="5">
        <f>IF(ISERROR(LOOKUP(JC$1,$S35:$HK35,csv!$L35:$HD35)),NA(),LOOKUP(JC$1,$S35:$HK35,csv!$L35:$HD35))</f>
        <v>0</v>
      </c>
      <c r="JD35" s="5">
        <f>IF(ISERROR(LOOKUP(JD$1,$S35:$HK35,csv!$L35:$HD35)),NA(),LOOKUP(JD$1,$S35:$HK35,csv!$L35:$HD35))</f>
        <v>0</v>
      </c>
      <c r="JE35" s="5">
        <f>IF(ISERROR(LOOKUP(JE$1,$S35:$HK35,csv!$L35:$HD35)),NA(),LOOKUP(JE$1,$S35:$HK35,csv!$L35:$HD35))</f>
        <v>0</v>
      </c>
      <c r="JF35" s="5">
        <f>IF(ISERROR(LOOKUP(JF$1,$S35:$HK35,csv!$L35:$HD35)),NA(),LOOKUP(JF$1,$S35:$HK35,csv!$L35:$HD35))</f>
        <v>0</v>
      </c>
      <c r="JG35" s="5">
        <f>IF(ISERROR(LOOKUP(JG$1,$S35:$HK35,csv!$L35:$HD35)),NA(),LOOKUP(JG$1,$S35:$HK35,csv!$L35:$HD35))</f>
        <v>0</v>
      </c>
      <c r="JH35" s="5">
        <f>IF(ISERROR(LOOKUP(JH$1,$S35:$HK35,csv!$L35:$HD35)),NA(),LOOKUP(JH$1,$S35:$HK35,csv!$L35:$HD35))</f>
        <v>0</v>
      </c>
      <c r="JI35" s="5">
        <f>IF(ISERROR(LOOKUP(JI$1,$S35:$HK35,csv!$L35:$HD35)),NA(),LOOKUP(JI$1,$S35:$HK35,csv!$L35:$HD35))</f>
        <v>0</v>
      </c>
      <c r="JJ35" s="5">
        <f>IF(ISERROR(LOOKUP(JJ$1,$S35:$HK35,csv!$L35:$HD35)),NA(),LOOKUP(JJ$1,$S35:$HK35,csv!$L35:$HD35))</f>
        <v>0</v>
      </c>
      <c r="JK35" s="5">
        <f>IF(ISERROR(LOOKUP(JK$1,$S35:$HK35,csv!$L35:$HD35)),NA(),LOOKUP(JK$1,$S35:$HK35,csv!$L35:$HD35))</f>
        <v>0</v>
      </c>
      <c r="JL35" s="5">
        <f>IF(ISERROR(LOOKUP(JL$1,$S35:$HK35,csv!$L35:$HD35)),NA(),LOOKUP(JL$1,$S35:$HK35,csv!$L35:$HD35))</f>
        <v>0</v>
      </c>
      <c r="JM35" s="5">
        <f>IF(ISERROR(LOOKUP(JM$1,$S35:$HK35,csv!$L35:$HD35)),NA(),LOOKUP(JM$1,$S35:$HK35,csv!$L35:$HD35))</f>
        <v>0</v>
      </c>
      <c r="JN35" s="5">
        <f>IF(ISERROR(LOOKUP(JN$1,$S35:$HK35,csv!$L35:$HD35)),NA(),LOOKUP(JN$1,$S35:$HK35,csv!$L35:$HD35))</f>
        <v>0</v>
      </c>
      <c r="JO35" s="5">
        <f>IF(ISERROR(LOOKUP(JO$1,$S35:$HK35,csv!$L35:$HD35)),NA(),LOOKUP(JO$1,$S35:$HK35,csv!$L35:$HD35))</f>
        <v>0</v>
      </c>
      <c r="JP35" s="5">
        <f>IF(ISERROR(LOOKUP(JP$1,$S35:$HK35,csv!$L35:$HD35)),NA(),LOOKUP(JP$1,$S35:$HK35,csv!$L35:$HD35))</f>
        <v>0</v>
      </c>
      <c r="JQ35" s="5">
        <f>IF(ISERROR(LOOKUP(JQ$1,$S35:$HK35,csv!$L35:$HD35)),NA(),LOOKUP(JQ$1,$S35:$HK35,csv!$L35:$HD35))</f>
        <v>0</v>
      </c>
      <c r="JR35" s="5">
        <f>IF(ISERROR(LOOKUP(JR$1,$S35:$HK35,csv!$L35:$HD35)),NA(),LOOKUP(JR$1,$S35:$HK35,csv!$L35:$HD35))</f>
        <v>0</v>
      </c>
      <c r="JS35" s="5">
        <f>IF(ISERROR(LOOKUP(JS$1,$S35:$HK35,csv!$L35:$HD35)),NA(),LOOKUP(JS$1,$S35:$HK35,csv!$L35:$HD35))</f>
        <v>0</v>
      </c>
      <c r="JT35" s="5">
        <f>IF(ISERROR(LOOKUP(JT$1,$S35:$HK35,csv!$L35:$HD35)),NA(),LOOKUP(JT$1,$S35:$HK35,csv!$L35:$HD35))</f>
        <v>0</v>
      </c>
      <c r="JU35" s="5">
        <f>IF(ISERROR(LOOKUP(JU$1,$S35:$HK35,csv!$L35:$HD35)),NA(),LOOKUP(JU$1,$S35:$HK35,csv!$L35:$HD35))</f>
        <v>0</v>
      </c>
      <c r="JV35" s="5">
        <f>IF(ISERROR(LOOKUP(JV$1,$S35:$HK35,csv!$L35:$HD35)),NA(),LOOKUP(JV$1,$S35:$HK35,csv!$L35:$HD35))</f>
        <v>0</v>
      </c>
      <c r="JW35" s="5">
        <f>IF(ISERROR(LOOKUP(JW$1,$S35:$HK35,csv!$L35:$HD35)),NA(),LOOKUP(JW$1,$S35:$HK35,csv!$L35:$HD35))</f>
        <v>0</v>
      </c>
      <c r="JX35" s="5">
        <f>IF(ISERROR(LOOKUP(JX$1,$S35:$HK35,csv!$L35:$HD35)),NA(),LOOKUP(JX$1,$S35:$HK35,csv!$L35:$HD35))</f>
        <v>0</v>
      </c>
      <c r="JY35" s="5">
        <f>IF(ISERROR(LOOKUP(JY$1,$S35:$HK35,csv!$L35:$HD35)),NA(),LOOKUP(JY$1,$S35:$HK35,csv!$L35:$HD35))</f>
        <v>0</v>
      </c>
      <c r="JZ35" s="5">
        <f>IF(ISERROR(LOOKUP(JZ$1,$S35:$HK35,csv!$L35:$HD35)),NA(),LOOKUP(JZ$1,$S35:$HK35,csv!$L35:$HD35))</f>
        <v>0</v>
      </c>
      <c r="KA35" s="5">
        <f>IF(ISERROR(LOOKUP(KA$1,$S35:$HK35,csv!$L35:$HD35)),NA(),LOOKUP(KA$1,$S35:$HK35,csv!$L35:$HD35))</f>
        <v>0</v>
      </c>
      <c r="KB35" s="5">
        <f>IF(ISERROR(LOOKUP(KB$1,$S35:$HK35,csv!$L35:$HD35)),NA(),LOOKUP(KB$1,$S35:$HK35,csv!$L35:$HD35))</f>
        <v>0</v>
      </c>
      <c r="KC35" s="5">
        <f>IF(ISERROR(LOOKUP(KC$1,$S35:$HK35,csv!$L35:$HD35)),NA(),LOOKUP(KC$1,$S35:$HK35,csv!$L35:$HD35))</f>
        <v>0</v>
      </c>
      <c r="KD35" s="5">
        <f>IF(ISERROR(LOOKUP(KD$1,$S35:$HK35,csv!$L35:$HD35)),NA(),LOOKUP(KD$1,$S35:$HK35,csv!$L35:$HD35))</f>
        <v>0</v>
      </c>
      <c r="KE35" s="5">
        <f>IF(ISERROR(LOOKUP(KE$1,$S35:$HK35,csv!$L35:$HD35)),NA(),LOOKUP(KE$1,$S35:$HK35,csv!$L35:$HD35))</f>
        <v>0</v>
      </c>
      <c r="KF35" s="5">
        <f>IF(ISERROR(LOOKUP(KF$1,$S35:$HK35,csv!$L35:$HD35)),NA(),LOOKUP(KF$1,$S35:$HK35,csv!$L35:$HD35))</f>
        <v>0</v>
      </c>
      <c r="KG35" s="5">
        <f>IF(ISERROR(LOOKUP(KG$1,$S35:$HK35,csv!$L35:$HD35)),NA(),LOOKUP(KG$1,$S35:$HK35,csv!$L35:$HD35))</f>
        <v>0</v>
      </c>
      <c r="KH35" s="5">
        <f>IF(ISERROR(LOOKUP(KH$1,$S35:$HK35,csv!$L35:$HD35)),NA(),LOOKUP(KH$1,$S35:$HK35,csv!$L35:$HD35))</f>
        <v>0</v>
      </c>
      <c r="KI35" s="5">
        <f>IF(ISERROR(LOOKUP(KI$1,$S35:$HK35,csv!$L35:$HD35)),NA(),LOOKUP(KI$1,$S35:$HK35,csv!$L35:$HD35))</f>
        <v>0</v>
      </c>
      <c r="KJ35" s="5">
        <f>IF(ISERROR(LOOKUP(KJ$1,$S35:$HK35,csv!$L35:$HD35)),NA(),LOOKUP(KJ$1,$S35:$HK35,csv!$L35:$HD35))</f>
        <v>0</v>
      </c>
      <c r="KK35" s="5">
        <f>IF(ISERROR(LOOKUP(KK$1,$S35:$HK35,csv!$L35:$HD35)),NA(),LOOKUP(KK$1,$S35:$HK35,csv!$L35:$HD35))</f>
        <v>0</v>
      </c>
      <c r="KL35" s="5">
        <f>IF(ISERROR(LOOKUP(KL$1,$S35:$HK35,csv!$L35:$HD35)),NA(),LOOKUP(KL$1,$S35:$HK35,csv!$L35:$HD35))</f>
        <v>0</v>
      </c>
      <c r="KM35" s="5">
        <f>IF(ISERROR(LOOKUP(KM$1,$S35:$HK35,csv!$L35:$HD35)),NA(),LOOKUP(KM$1,$S35:$HK35,csv!$L35:$HD35))</f>
        <v>0</v>
      </c>
      <c r="KN35" s="5">
        <f>IF(ISERROR(LOOKUP(KN$1,$S35:$HK35,csv!$L35:$HD35)),NA(),LOOKUP(KN$1,$S35:$HK35,csv!$L35:$HD35))</f>
        <v>0</v>
      </c>
      <c r="KO35" s="5">
        <f>IF(ISERROR(LOOKUP(KO$1,$S35:$HK35,csv!$L35:$HD35)),NA(),LOOKUP(KO$1,$S35:$HK35,csv!$L35:$HD35))</f>
        <v>0</v>
      </c>
      <c r="KP35" s="5">
        <f>IF(ISERROR(LOOKUP(KP$1,$S35:$HK35,csv!$L35:$HD35)),NA(),LOOKUP(KP$1,$S35:$HK35,csv!$L35:$HD35))</f>
        <v>0</v>
      </c>
      <c r="KQ35" s="5">
        <f>IF(ISERROR(LOOKUP(KQ$1,$S35:$HK35,csv!$L35:$HD35)),NA(),LOOKUP(KQ$1,$S35:$HK35,csv!$L35:$HD35))</f>
        <v>0</v>
      </c>
      <c r="KR35" s="5">
        <f>IF(ISERROR(LOOKUP(KR$1,$S35:$HK35,csv!$L35:$HD35)),NA(),LOOKUP(KR$1,$S35:$HK35,csv!$L35:$HD35))</f>
        <v>0</v>
      </c>
      <c r="KS35" s="5">
        <f>IF(ISERROR(LOOKUP(KS$1,$S35:$HK35,csv!$L35:$HD35)),NA(),LOOKUP(KS$1,$S35:$HK35,csv!$L35:$HD35))</f>
        <v>0</v>
      </c>
      <c r="KT35" s="5">
        <f>IF(ISERROR(LOOKUP(KT$1,$S35:$HK35,csv!$L35:$HD35)),NA(),LOOKUP(KT$1,$S35:$HK35,csv!$L35:$HD35))</f>
        <v>0</v>
      </c>
      <c r="KU35" s="5">
        <f>IF(ISERROR(LOOKUP(KU$1,$S35:$HK35,csv!$L35:$HD35)),NA(),LOOKUP(KU$1,$S35:$HK35,csv!$L35:$HD35))</f>
        <v>0</v>
      </c>
      <c r="KV35" s="5">
        <f>IF(ISERROR(LOOKUP(KV$1,$S35:$HK35,csv!$L35:$HD35)),NA(),LOOKUP(KV$1,$S35:$HK35,csv!$L35:$HD35))</f>
        <v>0</v>
      </c>
      <c r="KW35" s="5">
        <f>IF(ISERROR(LOOKUP(KW$1,$S35:$HK35,csv!$L35:$HD35)),NA(),LOOKUP(KW$1,$S35:$HK35,csv!$L35:$HD35))</f>
        <v>0</v>
      </c>
      <c r="KX35" s="5">
        <f>IF(ISERROR(LOOKUP(KX$1,$S35:$HK35,csv!$L35:$HD35)),NA(),LOOKUP(KX$1,$S35:$HK35,csv!$L35:$HD35))</f>
        <v>0</v>
      </c>
      <c r="KY35" s="5">
        <f>IF(ISERROR(LOOKUP(KY$1,$S35:$HK35,csv!$L35:$HD35)),NA(),LOOKUP(KY$1,$S35:$HK35,csv!$L35:$HD35))</f>
        <v>0</v>
      </c>
      <c r="KZ35" s="5">
        <f>IF(ISERROR(LOOKUP(KZ$1,$S35:$HK35,csv!$L35:$HD35)),NA(),LOOKUP(KZ$1,$S35:$HK35,csv!$L35:$HD35))</f>
        <v>0</v>
      </c>
      <c r="LA35" s="5">
        <f>IF(ISERROR(LOOKUP(LA$1,$S35:$HK35,csv!$L35:$HD35)),NA(),LOOKUP(LA$1,$S35:$HK35,csv!$L35:$HD35))</f>
        <v>0</v>
      </c>
      <c r="LB35" s="5">
        <f>IF(ISERROR(LOOKUP(LB$1,$S35:$HK35,csv!$L35:$HD35)),NA(),LOOKUP(LB$1,$S35:$HK35,csv!$L35:$HD35))</f>
        <v>0</v>
      </c>
      <c r="LC35" s="5">
        <f>IF(ISERROR(LOOKUP(LC$1,$S35:$HK35,csv!$L35:$HD35)),NA(),LOOKUP(LC$1,$S35:$HK35,csv!$L35:$HD35))</f>
        <v>0</v>
      </c>
      <c r="LD35" s="5">
        <f>IF(ISERROR(LOOKUP(LD$1,$S35:$HK35,csv!$L35:$HD35)),NA(),LOOKUP(LD$1,$S35:$HK35,csv!$L35:$HD35))</f>
        <v>0</v>
      </c>
      <c r="LE35" s="5">
        <f>IF(ISERROR(LOOKUP(LE$1,$S35:$HK35,csv!$L35:$HD35)),NA(),LOOKUP(LE$1,$S35:$HK35,csv!$L35:$HD35))</f>
        <v>0</v>
      </c>
      <c r="LF35" s="5">
        <f>IF(ISERROR(LOOKUP(LF$1,$S35:$HK35,csv!$L35:$HD35)),NA(),LOOKUP(LF$1,$S35:$HK35,csv!$L35:$HD35))</f>
        <v>0</v>
      </c>
      <c r="LG35" s="5">
        <f>IF(ISERROR(LOOKUP(LG$1,$S35:$HK35,csv!$L35:$HD35)),NA(),LOOKUP(LG$1,$S35:$HK35,csv!$L35:$HD35))</f>
        <v>0</v>
      </c>
      <c r="LH35" s="5">
        <f>IF(ISERROR(LOOKUP(LH$1,$S35:$HK35,csv!$L35:$HD35)),NA(),LOOKUP(LH$1,$S35:$HK35,csv!$L35:$HD35))</f>
        <v>0</v>
      </c>
      <c r="LI35" s="5">
        <f>IF(ISERROR(LOOKUP(LI$1,$S35:$HK35,csv!$L35:$HD35)),NA(),LOOKUP(LI$1,$S35:$HK35,csv!$L35:$HD35))</f>
        <v>0</v>
      </c>
      <c r="LJ35" s="5">
        <f>IF(ISERROR(LOOKUP(LJ$1,$S35:$HK35,csv!$L35:$HD35)),NA(),LOOKUP(LJ$1,$S35:$HK35,csv!$L35:$HD35))</f>
        <v>0</v>
      </c>
      <c r="LK35" s="5">
        <f>IF(ISERROR(LOOKUP(LK$1,$S35:$HK35,csv!$L35:$HD35)),NA(),LOOKUP(LK$1,$S35:$HK35,csv!$L35:$HD35))</f>
        <v>0</v>
      </c>
      <c r="LL35" s="5">
        <f>IF(ISERROR(LOOKUP(LL$1,$S35:$HK35,csv!$L35:$HD35)),NA(),LOOKUP(LL$1,$S35:$HK35,csv!$L35:$HD35))</f>
        <v>0</v>
      </c>
      <c r="LM35" s="5">
        <f>IF(ISERROR(LOOKUP(LM$1,$S35:$HK35,csv!$L35:$HD35)),NA(),LOOKUP(LM$1,$S35:$HK35,csv!$L35:$HD35))</f>
        <v>0</v>
      </c>
      <c r="LN35" s="5">
        <f>IF(ISERROR(LOOKUP(LN$1,$S35:$HK35,csv!$L35:$HD35)),NA(),LOOKUP(LN$1,$S35:$HK35,csv!$L35:$HD35))</f>
        <v>0</v>
      </c>
      <c r="LO35" s="5">
        <f>IF(ISERROR(LOOKUP(LO$1,$S35:$HK35,csv!$L35:$HD35)),NA(),LOOKUP(LO$1,$S35:$HK35,csv!$L35:$HD35))</f>
        <v>0</v>
      </c>
      <c r="LP35" s="5">
        <f>IF(ISERROR(LOOKUP(LP$1,$S35:$HK35,csv!$L35:$HD35)),NA(),LOOKUP(LP$1,$S35:$HK35,csv!$L35:$HD35))</f>
        <v>0</v>
      </c>
      <c r="LQ35" s="5">
        <f>IF(ISERROR(LOOKUP(LQ$1,$S35:$HK35,csv!$L35:$HD35)),NA(),LOOKUP(LQ$1,$S35:$HK35,csv!$L35:$HD35))</f>
        <v>0</v>
      </c>
      <c r="LR35" s="5">
        <f>IF(ISERROR(LOOKUP(LR$1,$S35:$HK35,csv!$L35:$HD35)),NA(),LOOKUP(LR$1,$S35:$HK35,csv!$L35:$HD35))</f>
        <v>0</v>
      </c>
      <c r="LS35" s="5">
        <f>IF(ISERROR(LOOKUP(LS$1,$S35:$HK35,csv!$L35:$HD35)),NA(),LOOKUP(LS$1,$S35:$HK35,csv!$L35:$HD35))</f>
        <v>0</v>
      </c>
      <c r="LT35" s="5">
        <f>IF(ISERROR(LOOKUP(LT$1,$S35:$HK35,csv!$L35:$HD35)),NA(),LOOKUP(LT$1,$S35:$HK35,csv!$L35:$HD35))</f>
        <v>0</v>
      </c>
      <c r="LU35" s="5">
        <f>IF(ISERROR(LOOKUP(LU$1,$S35:$HK35,csv!$L35:$HD35)),NA(),LOOKUP(LU$1,$S35:$HK35,csv!$L35:$HD35))</f>
        <v>0</v>
      </c>
      <c r="LV35" s="5">
        <f>IF(ISERROR(LOOKUP(LV$1,$S35:$HK35,csv!$L35:$HD35)),NA(),LOOKUP(LV$1,$S35:$HK35,csv!$L35:$HD35))</f>
        <v>0</v>
      </c>
      <c r="LW35" s="5">
        <f>IF(ISERROR(LOOKUP(LW$1,$S35:$HK35,csv!$L35:$HD35)),NA(),LOOKUP(LW$1,$S35:$HK35,csv!$L35:$HD35))</f>
        <v>0</v>
      </c>
      <c r="LX35" s="5">
        <f>IF(ISERROR(LOOKUP(LX$1,$S35:$HK35,csv!$L35:$HD35)),NA(),LOOKUP(LX$1,$S35:$HK35,csv!$L35:$HD35))</f>
        <v>0</v>
      </c>
      <c r="LY35" s="5">
        <f>IF(ISERROR(LOOKUP(LY$1,$S35:$HK35,csv!$L35:$HD35)),NA(),LOOKUP(LY$1,$S35:$HK35,csv!$L35:$HD35))</f>
        <v>0</v>
      </c>
      <c r="LZ35" s="5">
        <f>IF(ISERROR(LOOKUP(LZ$1,$S35:$HK35,csv!$L35:$HD35)),NA(),LOOKUP(LZ$1,$S35:$HK35,csv!$L35:$HD35))</f>
        <v>0</v>
      </c>
      <c r="MA35" s="5">
        <f>IF(ISERROR(LOOKUP(MA$1,$S35:$HK35,csv!$L35:$HD35)),NA(),LOOKUP(MA$1,$S35:$HK35,csv!$L35:$HD35))</f>
        <v>0</v>
      </c>
      <c r="MB35" s="5">
        <f>IF(ISERROR(LOOKUP(MB$1,$S35:$HK35,csv!$L35:$HD35)),NA(),LOOKUP(MB$1,$S35:$HK35,csv!$L35:$HD35))</f>
        <v>0</v>
      </c>
      <c r="MC35" s="5">
        <f>IF(ISERROR(LOOKUP(MC$1,$S35:$HK35,csv!$L35:$HD35)),NA(),LOOKUP(MC$1,$S35:$HK35,csv!$L35:$HD35))</f>
        <v>0</v>
      </c>
      <c r="MD35" s="5">
        <f>IF(ISERROR(LOOKUP(MD$1,$S35:$HK35,csv!$L35:$HD35)),NA(),LOOKUP(MD$1,$S35:$HK35,csv!$L35:$HD35))</f>
        <v>0</v>
      </c>
      <c r="ME35" s="5">
        <f>IF(ISERROR(LOOKUP(ME$1,$S35:$HK35,csv!$L35:$HD35)),NA(),LOOKUP(ME$1,$S35:$HK35,csv!$L35:$HD35))</f>
        <v>0</v>
      </c>
      <c r="MF35" s="5">
        <f>IF(ISERROR(LOOKUP(MF$1,$S35:$HK35,csv!$L35:$HD35)),NA(),LOOKUP(MF$1,$S35:$HK35,csv!$L35:$HD35))</f>
        <v>0</v>
      </c>
      <c r="MG35" s="5">
        <f>IF(ISERROR(LOOKUP(MG$1,$S35:$HK35,csv!$L35:$HD35)),NA(),LOOKUP(MG$1,$S35:$HK35,csv!$L35:$HD35))</f>
        <v>0</v>
      </c>
      <c r="MH35" s="5">
        <f>IF(ISERROR(LOOKUP(MH$1,$S35:$HK35,csv!$L35:$HD35)),NA(),LOOKUP(MH$1,$S35:$HK35,csv!$L35:$HD35))</f>
        <v>0</v>
      </c>
      <c r="MI35" s="5">
        <f>IF(ISERROR(LOOKUP(MI$1,$S35:$HK35,csv!$L35:$HD35)),NA(),LOOKUP(MI$1,$S35:$HK35,csv!$L35:$HD35))</f>
        <v>0</v>
      </c>
      <c r="MJ35" s="5">
        <f>IF(ISERROR(LOOKUP(MJ$1,$S35:$HK35,csv!$L35:$HD35)),NA(),LOOKUP(MJ$1,$S35:$HK35,csv!$L35:$HD35))</f>
        <v>0</v>
      </c>
      <c r="MK35" s="5">
        <f>IF(ISERROR(LOOKUP(MK$1,$S35:$HK35,csv!$L35:$HD35)),NA(),LOOKUP(MK$1,$S35:$HK35,csv!$L35:$HD35))</f>
        <v>0</v>
      </c>
      <c r="ML35" s="5">
        <f>IF(ISERROR(LOOKUP(ML$1,$S35:$HK35,csv!$L35:$HD35)),NA(),LOOKUP(ML$1,$S35:$HK35,csv!$L35:$HD35))</f>
        <v>0</v>
      </c>
      <c r="MM35" s="5">
        <f>IF(ISERROR(LOOKUP(MM$1,$S35:$HK35,csv!$L35:$HD35)),NA(),LOOKUP(MM$1,$S35:$HK35,csv!$L35:$HD35))</f>
        <v>0</v>
      </c>
      <c r="MN35" s="5">
        <f>IF(ISERROR(LOOKUP(MN$1,$S35:$HK35,csv!$L35:$HD35)),NA(),LOOKUP(MN$1,$S35:$HK35,csv!$L35:$HD35))</f>
        <v>0</v>
      </c>
      <c r="MO35" s="5">
        <f>IF(ISERROR(LOOKUP(MO$1,$S35:$HK35,csv!$L35:$HD35)),NA(),LOOKUP(MO$1,$S35:$HK35,csv!$L35:$HD35))</f>
        <v>0</v>
      </c>
      <c r="MP35" s="5">
        <f>IF(ISERROR(LOOKUP(MP$1,$S35:$HK35,csv!$L35:$HD35)),NA(),LOOKUP(MP$1,$S35:$HK35,csv!$L35:$HD35))</f>
        <v>0</v>
      </c>
      <c r="MQ35" s="5">
        <f>IF(ISERROR(LOOKUP(MQ$1,$S35:$HK35,csv!$L35:$HD35)),NA(),LOOKUP(MQ$1,$S35:$HK35,csv!$L35:$HD35))</f>
        <v>0</v>
      </c>
      <c r="MR35" s="5">
        <f>IF(ISERROR(LOOKUP(MR$1,$S35:$HK35,csv!$L35:$HD35)),NA(),LOOKUP(MR$1,$S35:$HK35,csv!$L35:$HD35))</f>
        <v>0</v>
      </c>
      <c r="MS35" s="5">
        <f>IF(ISERROR(LOOKUP(MS$1,$S35:$HK35,csv!$L35:$HD35)),NA(),LOOKUP(MS$1,$S35:$HK35,csv!$L35:$HD35))</f>
        <v>0</v>
      </c>
      <c r="MT35" s="5">
        <f>IF(ISERROR(LOOKUP(MT$1,$S35:$HK35,csv!$L35:$HD35)),NA(),LOOKUP(MT$1,$S35:$HK35,csv!$L35:$HD35))</f>
        <v>0</v>
      </c>
      <c r="MU35" s="5">
        <f>IF(ISERROR(LOOKUP(MU$1,$S35:$HK35,csv!$L35:$HD35)),NA(),LOOKUP(MU$1,$S35:$HK35,csv!$L35:$HD35))</f>
        <v>0</v>
      </c>
      <c r="MV35" s="5">
        <f>IF(ISERROR(LOOKUP(MV$1,$S35:$HK35,csv!$L35:$HD35)),NA(),LOOKUP(MV$1,$S35:$HK35,csv!$L35:$HD35))</f>
        <v>0</v>
      </c>
      <c r="MW35" s="5">
        <f>IF(ISERROR(LOOKUP(MW$1,$S35:$HK35,csv!$L35:$HD35)),NA(),LOOKUP(MW$1,$S35:$HK35,csv!$L35:$HD35))</f>
        <v>0</v>
      </c>
      <c r="MX35" s="5">
        <f>IF(ISERROR(LOOKUP(MX$1,$S35:$HK35,csv!$L35:$HD35)),NA(),LOOKUP(MX$1,$S35:$HK35,csv!$L35:$HD35))</f>
        <v>0</v>
      </c>
      <c r="MY35" s="5">
        <f>IF(ISERROR(LOOKUP(MY$1,$S35:$HK35,csv!$L35:$HD35)),NA(),LOOKUP(MY$1,$S35:$HK35,csv!$L35:$HD35))</f>
        <v>0</v>
      </c>
      <c r="MZ35" s="5">
        <f>IF(ISERROR(LOOKUP(MZ$1,$S35:$HK35,csv!$L35:$HD35)),NA(),LOOKUP(MZ$1,$S35:$HK35,csv!$L35:$HD35))</f>
        <v>0</v>
      </c>
      <c r="NA35" s="5">
        <f>IF(ISERROR(LOOKUP(NA$1,$S35:$HK35,csv!$L35:$HD35)),NA(),LOOKUP(NA$1,$S35:$HK35,csv!$L35:$HD35))</f>
        <v>0</v>
      </c>
      <c r="NB35" s="5">
        <f>IF(ISERROR(LOOKUP(NB$1,$S35:$HK35,csv!$L35:$HD35)),NA(),LOOKUP(NB$1,$S35:$HK35,csv!$L35:$HD35))</f>
        <v>0</v>
      </c>
      <c r="NC35" s="5">
        <f>IF(ISERROR(LOOKUP(NC$1,$S35:$HK35,csv!$L35:$HD35)),NA(),LOOKUP(NC$1,$S35:$HK35,csv!$L35:$HD35))</f>
        <v>0</v>
      </c>
      <c r="ND35" s="5">
        <f>IF(ISERROR(LOOKUP(ND$1,$S35:$HK35,csv!$L35:$HD35)),NA(),LOOKUP(ND$1,$S35:$HK35,csv!$L35:$HD35))</f>
        <v>0</v>
      </c>
      <c r="NE35" s="5">
        <f>IF(ISERROR(LOOKUP(NE$1,$S35:$HK35,csv!$L35:$HD35)),NA(),LOOKUP(NE$1,$S35:$HK35,csv!$L35:$HD35))</f>
        <v>0</v>
      </c>
      <c r="NF35" s="5">
        <f>IF(ISERROR(LOOKUP(NF$1,$S35:$HK35,csv!$L35:$HD35)),NA(),LOOKUP(NF$1,$S35:$HK35,csv!$L35:$HD35))</f>
        <v>0</v>
      </c>
      <c r="NG35" s="5">
        <f>IF(ISERROR(LOOKUP(NG$1,$S35:$HK35,csv!$L35:$HD35)),NA(),LOOKUP(NG$1,$S35:$HK35,csv!$L35:$HD35))</f>
        <v>0</v>
      </c>
      <c r="NH35" s="5">
        <f>IF(ISERROR(LOOKUP(NH$1,$S35:$HK35,csv!$L35:$HD35)),NA(),LOOKUP(NH$1,$S35:$HK35,csv!$L35:$HD35))</f>
        <v>0</v>
      </c>
      <c r="NI35" s="5">
        <f>IF(ISERROR(LOOKUP(NI$1,$S35:$HK35,csv!$L35:$HD35)),NA(),LOOKUP(NI$1,$S35:$HK35,csv!$L35:$HD35))</f>
        <v>0</v>
      </c>
      <c r="NJ35" s="5">
        <f>IF(ISERROR(LOOKUP(NJ$1,$S35:$HK35,csv!$L35:$HD35)),NA(),LOOKUP(NJ$1,$S35:$HK35,csv!$L35:$HD35))</f>
        <v>0</v>
      </c>
      <c r="NK35" s="5">
        <f>IF(ISERROR(LOOKUP(NK$1,$S35:$HK35,csv!$L35:$HD35)),NA(),LOOKUP(NK$1,$S35:$HK35,csv!$L35:$HD35))</f>
        <v>0</v>
      </c>
      <c r="NL35" s="5">
        <f>IF(ISERROR(LOOKUP(NL$1,$S35:$HK35,csv!$L35:$HD35)),NA(),LOOKUP(NL$1,$S35:$HK35,csv!$L35:$HD35))</f>
        <v>0</v>
      </c>
      <c r="NM35" s="5">
        <f>IF(ISERROR(LOOKUP(NM$1,$S35:$HK35,csv!$L35:$HD35)),NA(),LOOKUP(NM$1,$S35:$HK35,csv!$L35:$HD35))</f>
        <v>0</v>
      </c>
      <c r="NN35" s="5">
        <f>IF(ISERROR(LOOKUP(NN$1,$S35:$HK35,csv!$L35:$HD35)),NA(),LOOKUP(NN$1,$S35:$HK35,csv!$L35:$HD35))</f>
        <v>0</v>
      </c>
      <c r="NO35" s="5">
        <f>IF(ISERROR(LOOKUP(NO$1,$S35:$HK35,csv!$L35:$HD35)),NA(),LOOKUP(NO$1,$S35:$HK35,csv!$L35:$HD35))</f>
        <v>0</v>
      </c>
      <c r="NP35" s="5">
        <f>IF(ISERROR(LOOKUP(NP$1,$S35:$HK35,csv!$L35:$HD35)),NA(),LOOKUP(NP$1,$S35:$HK35,csv!$L35:$HD35))</f>
        <v>0</v>
      </c>
      <c r="NQ35" s="5">
        <f>IF(ISERROR(LOOKUP(NQ$1,$S35:$HK35,csv!$L35:$HD35)),NA(),LOOKUP(NQ$1,$S35:$HK35,csv!$L35:$HD35))</f>
        <v>0</v>
      </c>
      <c r="NR35" s="5">
        <f>IF(ISERROR(LOOKUP(NR$1,$S35:$HK35,csv!$L35:$HD35)),NA(),LOOKUP(NR$1,$S35:$HK35,csv!$L35:$HD35))</f>
        <v>0</v>
      </c>
      <c r="NS35" s="5">
        <f>IF(ISERROR(LOOKUP(NS$1,$S35:$HK35,csv!$L35:$HD35)),NA(),LOOKUP(NS$1,$S35:$HK35,csv!$L35:$HD35))</f>
        <v>0</v>
      </c>
      <c r="NT35" s="5">
        <f>IF(ISERROR(LOOKUP(NT$1,$S35:$HK35,csv!$L35:$HD35)),NA(),LOOKUP(NT$1,$S35:$HK35,csv!$L35:$HD35))</f>
        <v>0</v>
      </c>
      <c r="NU35" s="5">
        <f>IF(ISERROR(LOOKUP(NU$1,$S35:$HK35,csv!$L35:$HD35)),NA(),LOOKUP(NU$1,$S35:$HK35,csv!$L35:$HD35))</f>
        <v>0</v>
      </c>
      <c r="NV35" s="5">
        <f>IF(ISERROR(LOOKUP(NV$1,$S35:$HK35,csv!$L35:$HD35)),NA(),LOOKUP(NV$1,$S35:$HK35,csv!$L35:$HD35))</f>
        <v>0</v>
      </c>
      <c r="NW35" s="5">
        <f>IF(ISERROR(LOOKUP(NW$1,$S35:$HK35,csv!$L35:$HD35)),NA(),LOOKUP(NW$1,$S35:$HK35,csv!$L35:$HD35))</f>
        <v>0</v>
      </c>
      <c r="NX35" s="5">
        <f>IF(ISERROR(LOOKUP(NX$1,$S35:$HK35,csv!$L35:$HD35)),NA(),LOOKUP(NX$1,$S35:$HK35,csv!$L35:$HD35))</f>
        <v>0</v>
      </c>
      <c r="NY35" s="5">
        <f>IF(ISERROR(LOOKUP(NY$1,$S35:$HK35,csv!$L35:$HD35)),NA(),LOOKUP(NY$1,$S35:$HK35,csv!$L35:$HD35))</f>
        <v>0</v>
      </c>
      <c r="NZ35" s="5">
        <f>IF(ISERROR(LOOKUP(NZ$1,$S35:$HK35,csv!$L35:$HD35)),NA(),LOOKUP(NZ$1,$S35:$HK35,csv!$L35:$HD35))</f>
        <v>0</v>
      </c>
      <c r="OA35" s="5">
        <f>IF(ISERROR(LOOKUP(OA$1,$S35:$HK35,csv!$L35:$HD35)),NA(),LOOKUP(OA$1,$S35:$HK35,csv!$L35:$HD35))</f>
        <v>0</v>
      </c>
      <c r="OB35" s="5">
        <f>IF(ISERROR(LOOKUP(OB$1,$S35:$HK35,csv!$L35:$HD35)),NA(),LOOKUP(OB$1,$S35:$HK35,csv!$L35:$HD35))</f>
        <v>0</v>
      </c>
      <c r="OC35" s="5">
        <f>IF(ISERROR(LOOKUP(OC$1,$S35:$HK35,csv!$L35:$HD35)),NA(),LOOKUP(OC$1,$S35:$HK35,csv!$L35:$HD35))</f>
        <v>0</v>
      </c>
      <c r="OD35" s="5">
        <f>IF(ISERROR(LOOKUP(OD$1,$S35:$HK35,csv!$L35:$HD35)),NA(),LOOKUP(OD$1,$S35:$HK35,csv!$L35:$HD35))</f>
        <v>0</v>
      </c>
      <c r="OE35" s="5">
        <f>IF(ISERROR(LOOKUP(OE$1,$S35:$HK35,csv!$L35:$HD35)),NA(),LOOKUP(OE$1,$S35:$HK35,csv!$L35:$HD35))</f>
        <v>0</v>
      </c>
      <c r="OF35" s="5">
        <f>IF(ISERROR(LOOKUP(OF$1,$S35:$HK35,csv!$L35:$HD35)),NA(),LOOKUP(OF$1,$S35:$HK35,csv!$L35:$HD35))</f>
        <v>0</v>
      </c>
      <c r="OG35" s="5">
        <f>IF(ISERROR(LOOKUP(OG$1,$S35:$HK35,csv!$L35:$HD35)),NA(),LOOKUP(OG$1,$S35:$HK35,csv!$L35:$HD35))</f>
        <v>0</v>
      </c>
      <c r="OH35" s="5">
        <f>IF(ISERROR(LOOKUP(OH$1,$S35:$HK35,csv!$L35:$HD35)),NA(),LOOKUP(OH$1,$S35:$HK35,csv!$L35:$HD35))</f>
        <v>0</v>
      </c>
      <c r="OI35" s="5">
        <f>IF(ISERROR(LOOKUP(OI$1,$S35:$HK35,csv!$L35:$HD35)),NA(),LOOKUP(OI$1,$S35:$HK35,csv!$L35:$HD35))</f>
        <v>0</v>
      </c>
      <c r="OJ35" s="5">
        <f>IF(ISERROR(LOOKUP(OJ$1,$S35:$HK35,csv!$L35:$HD35)),NA(),LOOKUP(OJ$1,$S35:$HK35,csv!$L35:$HD35))</f>
        <v>0</v>
      </c>
      <c r="OK35" s="5">
        <f>IF(ISERROR(LOOKUP(OK$1,$S35:$HK35,csv!$L35:$HD35)),NA(),LOOKUP(OK$1,$S35:$HK35,csv!$L35:$HD35))</f>
        <v>0</v>
      </c>
      <c r="OL35" s="5">
        <f>IF(ISERROR(LOOKUP(OL$1,$S35:$HK35,csv!$L35:$HD35)),NA(),LOOKUP(OL$1,$S35:$HK35,csv!$L35:$HD35))</f>
        <v>0</v>
      </c>
      <c r="OM35" s="5">
        <f>IF(ISERROR(LOOKUP(OM$1,$S35:$HK35,csv!$L35:$HD35)),NA(),LOOKUP(OM$1,$S35:$HK35,csv!$L35:$HD35))</f>
        <v>0</v>
      </c>
      <c r="ON35" s="5">
        <f>IF(ISERROR(LOOKUP(ON$1,$S35:$HK35,csv!$L35:$HD35)),NA(),LOOKUP(ON$1,$S35:$HK35,csv!$L35:$HD35))</f>
        <v>0</v>
      </c>
      <c r="OO35" s="5">
        <f>IF(ISERROR(LOOKUP(OO$1,$S35:$HK35,csv!$L35:$HD35)),NA(),LOOKUP(OO$1,$S35:$HK35,csv!$L35:$HD35))</f>
        <v>0</v>
      </c>
      <c r="OP35" s="5">
        <f>IF(ISERROR(LOOKUP(OP$1,$S35:$HK35,csv!$L35:$HD35)),NA(),LOOKUP(OP$1,$S35:$HK35,csv!$L35:$HD35))</f>
        <v>0</v>
      </c>
      <c r="OQ35" s="5">
        <f>IF(ISERROR(LOOKUP(OQ$1,$S35:$HK35,csv!$L35:$HD35)),NA(),LOOKUP(OQ$1,$S35:$HK35,csv!$L35:$HD35))</f>
        <v>0</v>
      </c>
      <c r="OR35" s="5">
        <f>IF(ISERROR(LOOKUP(OR$1,$S35:$HK35,csv!$L35:$HD35)),NA(),LOOKUP(OR$1,$S35:$HK35,csv!$L35:$HD35))</f>
        <v>0</v>
      </c>
      <c r="OS35" s="5">
        <f>IF(ISERROR(LOOKUP(OS$1,$S35:$HK35,csv!$L35:$HD35)),NA(),LOOKUP(OS$1,$S35:$HK35,csv!$L35:$HD35))</f>
        <v>0</v>
      </c>
      <c r="OT35" s="5">
        <f>IF(ISERROR(LOOKUP(OT$1,$S35:$HK35,csv!$L35:$HD35)),NA(),LOOKUP(OT$1,$S35:$HK35,csv!$L35:$HD35))</f>
        <v>0</v>
      </c>
      <c r="OU35" s="5">
        <f>IF(ISERROR(LOOKUP(OU$1,$S35:$HK35,csv!$L35:$HD35)),NA(),LOOKUP(OU$1,$S35:$HK35,csv!$L35:$HD35))</f>
        <v>0</v>
      </c>
      <c r="OV35" s="5">
        <f>IF(ISERROR(LOOKUP(OV$1,$S35:$HK35,csv!$L35:$HD35)),NA(),LOOKUP(OV$1,$S35:$HK35,csv!$L35:$HD35))</f>
        <v>0</v>
      </c>
      <c r="OW35" s="5">
        <f>IF(ISERROR(LOOKUP(OW$1,$S35:$HK35,csv!$L35:$HD35)),NA(),LOOKUP(OW$1,$S35:$HK35,csv!$L35:$HD35))</f>
        <v>0</v>
      </c>
      <c r="OX35" s="5">
        <f>IF(ISERROR(LOOKUP(OX$1,$S35:$HK35,csv!$L35:$HD35)),NA(),LOOKUP(OX$1,$S35:$HK35,csv!$L35:$HD35))</f>
        <v>0</v>
      </c>
      <c r="OY35" s="5">
        <f>IF(ISERROR(LOOKUP(OY$1,$S35:$HK35,csv!$L35:$HD35)),NA(),LOOKUP(OY$1,$S35:$HK35,csv!$L35:$HD35))</f>
        <v>0</v>
      </c>
      <c r="OZ35" s="5">
        <f>IF(ISERROR(LOOKUP(OZ$1,$S35:$HK35,csv!$L35:$HD35)),NA(),LOOKUP(OZ$1,$S35:$HK35,csv!$L35:$HD35))</f>
        <v>0</v>
      </c>
      <c r="PA35" s="5">
        <f>IF(ISERROR(LOOKUP(PA$1,$S35:$HK35,csv!$L35:$HD35)),NA(),LOOKUP(PA$1,$S35:$HK35,csv!$L35:$HD35))</f>
        <v>0</v>
      </c>
      <c r="PB35" s="5">
        <f>IF(ISERROR(LOOKUP(PB$1,$S35:$HK35,csv!$L35:$HD35)),NA(),LOOKUP(PB$1,$S35:$HK35,csv!$L35:$HD35))</f>
        <v>0</v>
      </c>
      <c r="PC35" s="5">
        <f>IF(ISERROR(LOOKUP(PC$1,$S35:$HK35,csv!$L35:$HD35)),NA(),LOOKUP(PC$1,$S35:$HK35,csv!$L35:$HD35))</f>
        <v>0</v>
      </c>
      <c r="PD35" s="5">
        <f>IF(ISERROR(LOOKUP(PD$1,$S35:$HK35,csv!$L35:$HD35)),NA(),LOOKUP(PD$1,$S35:$HK35,csv!$L35:$HD35))</f>
        <v>0</v>
      </c>
      <c r="PE35" s="5">
        <f>IF(ISERROR(LOOKUP(PE$1,$S35:$HK35,csv!$L35:$HD35)),NA(),LOOKUP(PE$1,$S35:$HK35,csv!$L35:$HD35))</f>
        <v>0</v>
      </c>
      <c r="PF35" s="5">
        <f>IF(ISERROR(LOOKUP(PF$1,$S35:$HK35,csv!$L35:$HD35)),NA(),LOOKUP(PF$1,$S35:$HK35,csv!$L35:$HD35))</f>
        <v>0</v>
      </c>
      <c r="PG35" s="5">
        <f>IF(ISERROR(LOOKUP(PG$1,$S35:$HK35,csv!$L35:$HD35)),NA(),LOOKUP(PG$1,$S35:$HK35,csv!$L35:$HD35))</f>
        <v>0</v>
      </c>
      <c r="PH35" s="5">
        <f>IF(ISERROR(LOOKUP(PH$1,$S35:$HK35,csv!$L35:$HD35)),NA(),LOOKUP(PH$1,$S35:$HK35,csv!$L35:$HD35))</f>
        <v>0</v>
      </c>
      <c r="PI35" s="5">
        <f>IF(ISERROR(LOOKUP(PI$1,$S35:$HK35,csv!$L35:$HD35)),NA(),LOOKUP(PI$1,$S35:$HK35,csv!$L35:$HD35))</f>
        <v>0</v>
      </c>
      <c r="PJ35" s="5">
        <f>IF(ISERROR(LOOKUP(PJ$1,$S35:$HK35,csv!$L35:$HD35)),NA(),LOOKUP(PJ$1,$S35:$HK35,csv!$L35:$HD35))</f>
        <v>0</v>
      </c>
      <c r="PK35" s="5">
        <f>IF(ISERROR(LOOKUP(PK$1,$S35:$HK35,csv!$L35:$HD35)),NA(),LOOKUP(PK$1,$S35:$HK35,csv!$L35:$HD35))</f>
        <v>0</v>
      </c>
      <c r="PL35" s="5">
        <f>IF(ISERROR(LOOKUP(PL$1,$S35:$HK35,csv!$L35:$HD35)),NA(),LOOKUP(PL$1,$S35:$HK35,csv!$L35:$HD35))</f>
        <v>0</v>
      </c>
      <c r="PM35" s="5">
        <f>IF(ISERROR(LOOKUP(PM$1,$S35:$HK35,csv!$L35:$HD35)),NA(),LOOKUP(PM$1,$S35:$HK35,csv!$L35:$HD35))</f>
        <v>0</v>
      </c>
      <c r="PN35" s="5">
        <f>IF(ISERROR(LOOKUP(PN$1,$S35:$HK35,csv!$L35:$HD35)),NA(),LOOKUP(PN$1,$S35:$HK35,csv!$L35:$HD35))</f>
        <v>0</v>
      </c>
      <c r="PO35" s="5">
        <f>IF(ISERROR(LOOKUP(PO$1,$S35:$HK35,csv!$L35:$HD35)),NA(),LOOKUP(PO$1,$S35:$HK35,csv!$L35:$HD35))</f>
        <v>0</v>
      </c>
      <c r="PP35" s="5">
        <f>IF(ISERROR(LOOKUP(PP$1,$S35:$HK35,csv!$L35:$HD35)),NA(),LOOKUP(PP$1,$S35:$HK35,csv!$L35:$HD35))</f>
        <v>0</v>
      </c>
      <c r="PQ35" s="5">
        <f>IF(ISERROR(LOOKUP(PQ$1,$S35:$HK35,csv!$L35:$HD35)),NA(),LOOKUP(PQ$1,$S35:$HK35,csv!$L35:$HD35))</f>
        <v>0</v>
      </c>
      <c r="PR35" s="5">
        <f>IF(ISERROR(LOOKUP(PR$1,$S35:$HK35,csv!$L35:$HD35)),NA(),LOOKUP(PR$1,$S35:$HK35,csv!$L35:$HD35))</f>
        <v>0</v>
      </c>
      <c r="PS35" s="5">
        <f>IF(ISERROR(LOOKUP(PS$1,$S35:$HK35,csv!$L35:$HD35)),NA(),LOOKUP(PS$1,$S35:$HK35,csv!$L35:$HD35))</f>
        <v>0</v>
      </c>
      <c r="PT35" s="5">
        <f>IF(ISERROR(LOOKUP(PT$1,$S35:$HK35,csv!$L35:$HD35)),NA(),LOOKUP(PT$1,$S35:$HK35,csv!$L35:$HD35))</f>
        <v>0</v>
      </c>
      <c r="PU35" s="5">
        <f>IF(ISERROR(LOOKUP(PU$1,$S35:$HK35,csv!$L35:$HD35)),NA(),LOOKUP(PU$1,$S35:$HK35,csv!$L35:$HD35))</f>
        <v>0</v>
      </c>
      <c r="PV35" s="5">
        <f>IF(ISERROR(LOOKUP(PV$1,$S35:$HK35,csv!$L35:$HD35)),NA(),LOOKUP(PV$1,$S35:$HK35,csv!$L35:$HD35))</f>
        <v>0</v>
      </c>
      <c r="PW35" s="5">
        <f>IF(ISERROR(LOOKUP(PW$1,$S35:$HK35,csv!$L35:$HD35)),NA(),LOOKUP(PW$1,$S35:$HK35,csv!$L35:$HD35))</f>
        <v>0</v>
      </c>
      <c r="PX35" s="5">
        <f>IF(ISERROR(LOOKUP(PX$1,$S35:$HK35,csv!$L35:$HD35)),NA(),LOOKUP(PX$1,$S35:$HK35,csv!$L35:$HD35))</f>
        <v>0</v>
      </c>
      <c r="PY35" s="5">
        <f>IF(ISERROR(LOOKUP(PY$1,$S35:$HK35,csv!$L35:$HD35)),NA(),LOOKUP(PY$1,$S35:$HK35,csv!$L35:$HD35))</f>
        <v>0</v>
      </c>
      <c r="PZ35" s="5">
        <f>IF(ISERROR(LOOKUP(PZ$1,$S35:$HK35,csv!$L35:$HD35)),NA(),LOOKUP(PZ$1,$S35:$HK35,csv!$L35:$HD35))</f>
        <v>0</v>
      </c>
      <c r="QA35" s="5">
        <f>IF(ISERROR(LOOKUP(QA$1,$S35:$HK35,csv!$L35:$HD35)),NA(),LOOKUP(QA$1,$S35:$HK35,csv!$L35:$HD35))</f>
        <v>0</v>
      </c>
      <c r="QB35" s="5">
        <f>IF(ISERROR(LOOKUP(QB$1,$S35:$HK35,csv!$L35:$HD35)),NA(),LOOKUP(QB$1,$S35:$HK35,csv!$L35:$HD35))</f>
        <v>0</v>
      </c>
      <c r="QC35" s="5">
        <f>IF(ISERROR(LOOKUP(QC$1,$S35:$HK35,csv!$L35:$HD35)),NA(),LOOKUP(QC$1,$S35:$HK35,csv!$L35:$HD35))</f>
        <v>0</v>
      </c>
      <c r="QD35" s="5">
        <f>IF(ISERROR(LOOKUP(QD$1,$S35:$HK35,csv!$L35:$HD35)),NA(),LOOKUP(QD$1,$S35:$HK35,csv!$L35:$HD35))</f>
        <v>0</v>
      </c>
      <c r="QE35" s="5">
        <f>IF(ISERROR(LOOKUP(QE$1,$S35:$HK35,csv!$L35:$HD35)),NA(),LOOKUP(QE$1,$S35:$HK35,csv!$L35:$HD35))</f>
        <v>0</v>
      </c>
      <c r="QF35" s="5">
        <f>IF(ISERROR(LOOKUP(QF$1,$S35:$HK35,csv!$L35:$HD35)),NA(),LOOKUP(QF$1,$S35:$HK35,csv!$L35:$HD35))</f>
        <v>0</v>
      </c>
      <c r="QG35" s="5">
        <f>IF(ISERROR(LOOKUP(QG$1,$S35:$HK35,csv!$L35:$HD35)),NA(),LOOKUP(QG$1,$S35:$HK35,csv!$L35:$HD35))</f>
        <v>0</v>
      </c>
      <c r="QH35" s="5">
        <f>IF(ISERROR(LOOKUP(QH$1,$S35:$HK35,csv!$L35:$HD35)),NA(),LOOKUP(QH$1,$S35:$HK35,csv!$L35:$HD35))</f>
        <v>0</v>
      </c>
      <c r="QI35" s="5">
        <f>IF(ISERROR(LOOKUP(QI$1,$S35:$HK35,csv!$L35:$HD35)),NA(),LOOKUP(QI$1,$S35:$HK35,csv!$L35:$HD35))</f>
        <v>0</v>
      </c>
      <c r="QJ35" s="5">
        <f>IF(ISERROR(LOOKUP(QJ$1,$S35:$HK35,csv!$L35:$HD35)),NA(),LOOKUP(QJ$1,$S35:$HK35,csv!$L35:$HD35))</f>
        <v>0</v>
      </c>
      <c r="QK35" s="5">
        <f>IF(ISERROR(LOOKUP(QK$1,$S35:$HK35,csv!$L35:$HD35)),NA(),LOOKUP(QK$1,$S35:$HK35,csv!$L35:$HD35))</f>
        <v>0</v>
      </c>
      <c r="QL35" s="5">
        <f>IF(ISERROR(LOOKUP(QL$1,$S35:$HK35,csv!$L35:$HD35)),NA(),LOOKUP(QL$1,$S35:$HK35,csv!$L35:$HD35))</f>
        <v>0</v>
      </c>
      <c r="QM35" s="5">
        <f>IF(ISERROR(LOOKUP(QM$1,$S35:$HK35,csv!$L35:$HD35)),NA(),LOOKUP(QM$1,$S35:$HK35,csv!$L35:$HD35))</f>
        <v>0</v>
      </c>
      <c r="QN35" s="5">
        <f>IF(ISERROR(LOOKUP(QN$1,$S35:$HK35,csv!$L35:$HD35)),NA(),LOOKUP(QN$1,$S35:$HK35,csv!$L35:$HD35))</f>
        <v>0</v>
      </c>
      <c r="QO35" s="5">
        <f>IF(ISERROR(LOOKUP(QO$1,$S35:$HK35,csv!$L35:$HD35)),NA(),LOOKUP(QO$1,$S35:$HK35,csv!$L35:$HD35))</f>
        <v>0</v>
      </c>
      <c r="QP35" s="5">
        <f>IF(ISERROR(LOOKUP(QP$1,$S35:$HK35,csv!$L35:$HD35)),NA(),LOOKUP(QP$1,$S35:$HK35,csv!$L35:$HD35))</f>
        <v>0</v>
      </c>
      <c r="QQ35" s="5">
        <f>IF(ISERROR(LOOKUP(QQ$1,$S35:$HK35,csv!$L35:$HD35)),NA(),LOOKUP(QQ$1,$S35:$HK35,csv!$L35:$HD35))</f>
        <v>0</v>
      </c>
      <c r="QR35" s="5">
        <f>IF(ISERROR(LOOKUP(QR$1,$S35:$HK35,csv!$L35:$HD35)),NA(),LOOKUP(QR$1,$S35:$HK35,csv!$L35:$HD35))</f>
        <v>0</v>
      </c>
      <c r="QS35" s="5">
        <f>IF(ISERROR(LOOKUP(QS$1,$S35:$HK35,csv!$L35:$HD35)),NA(),LOOKUP(QS$1,$S35:$HK35,csv!$L35:$HD35))</f>
        <v>0</v>
      </c>
      <c r="QT35" s="5">
        <f>IF(ISERROR(LOOKUP(QT$1,$S35:$HK35,csv!$L35:$HD35)),NA(),LOOKUP(QT$1,$S35:$HK35,csv!$L35:$HD35))</f>
        <v>0</v>
      </c>
      <c r="QU35" s="5">
        <f>IF(ISERROR(LOOKUP(QU$1,$S35:$HK35,csv!$L35:$HD35)),NA(),LOOKUP(QU$1,$S35:$HK35,csv!$L35:$HD35))</f>
        <v>0</v>
      </c>
      <c r="QV35" s="5">
        <f>IF(ISERROR(LOOKUP(QV$1,$S35:$HK35,csv!$L35:$HD35)),NA(),LOOKUP(QV$1,$S35:$HK35,csv!$L35:$HD35))</f>
        <v>0</v>
      </c>
      <c r="QW35" s="5">
        <f>IF(ISERROR(LOOKUP(QW$1,$S35:$HK35,csv!$L35:$HD35)),NA(),LOOKUP(QW$1,$S35:$HK35,csv!$L35:$HD35))</f>
        <v>0</v>
      </c>
      <c r="QX35" s="5">
        <f>IF(ISERROR(LOOKUP(QX$1,$S35:$HK35,csv!$L35:$HD35)),NA(),LOOKUP(QX$1,$S35:$HK35,csv!$L35:$HD35))</f>
        <v>0</v>
      </c>
      <c r="QY35" s="5">
        <f>IF(ISERROR(LOOKUP(QY$1,$S35:$HK35,csv!$L35:$HD35)),NA(),LOOKUP(QY$1,$S35:$HK35,csv!$L35:$HD35))</f>
        <v>0</v>
      </c>
      <c r="QZ35" s="5">
        <f>IF(ISERROR(LOOKUP(QZ$1,$S35:$HK35,csv!$L35:$HD35)),NA(),LOOKUP(QZ$1,$S35:$HK35,csv!$L35:$HD35))</f>
        <v>0</v>
      </c>
      <c r="RA35" s="5">
        <f>IF(ISERROR(LOOKUP(RA$1,$S35:$HK35,csv!$L35:$HD35)),NA(),LOOKUP(RA$1,$S35:$HK35,csv!$L35:$HD35))</f>
        <v>0</v>
      </c>
      <c r="RB35" s="5">
        <f>IF(ISERROR(LOOKUP(RB$1,$S35:$HK35,csv!$L35:$HD35)),NA(),LOOKUP(RB$1,$S35:$HK35,csv!$L35:$HD35))</f>
        <v>0</v>
      </c>
      <c r="RC35" s="5">
        <f>IF(ISERROR(LOOKUP(RC$1,$S35:$HK35,csv!$L35:$HD35)),NA(),LOOKUP(RC$1,$S35:$HK35,csv!$L35:$HD35))</f>
        <v>0</v>
      </c>
      <c r="RD35" s="5">
        <f>IF(ISERROR(LOOKUP(RD$1,$S35:$HK35,csv!$L35:$HD35)),NA(),LOOKUP(RD$1,$S35:$HK35,csv!$L35:$HD35))</f>
        <v>0</v>
      </c>
      <c r="RE35" s="5">
        <f>IF(ISERROR(LOOKUP(RE$1,$S35:$HK35,csv!$L35:$HD35)),NA(),LOOKUP(RE$1,$S35:$HK35,csv!$L35:$HD35))</f>
        <v>0</v>
      </c>
      <c r="RF35" s="5">
        <f>IF(ISERROR(LOOKUP(RF$1,$S35:$HK35,csv!$L35:$HD35)),NA(),LOOKUP(RF$1,$S35:$HK35,csv!$L35:$HD35))</f>
        <v>0</v>
      </c>
      <c r="RG35" s="5">
        <f>IF(ISERROR(LOOKUP(RG$1,$S35:$HK35,csv!$L35:$HD35)),NA(),LOOKUP(RG$1,$S35:$HK35,csv!$L35:$HD35))</f>
        <v>0</v>
      </c>
      <c r="RH35" s="5">
        <f>IF(ISERROR(LOOKUP(RH$1,$S35:$HK35,csv!$L35:$HD35)),NA(),LOOKUP(RH$1,$S35:$HK35,csv!$L35:$HD35))</f>
        <v>0</v>
      </c>
      <c r="RI35" s="5">
        <f>IF(ISERROR(LOOKUP(RI$1,$S35:$HK35,csv!$L35:$HD35)),NA(),LOOKUP(RI$1,$S35:$HK35,csv!$L35:$HD35))</f>
        <v>0</v>
      </c>
      <c r="RJ35" s="5">
        <f>IF(ISERROR(LOOKUP(RJ$1,$S35:$HK35,csv!$L35:$HD35)),NA(),LOOKUP(RJ$1,$S35:$HK35,csv!$L35:$HD35))</f>
        <v>0</v>
      </c>
      <c r="RK35" s="5">
        <f>IF(ISERROR(LOOKUP(RK$1,$S35:$HK35,csv!$L35:$HD35)),NA(),LOOKUP(RK$1,$S35:$HK35,csv!$L35:$HD35))</f>
        <v>0</v>
      </c>
      <c r="RL35" s="5">
        <f>IF(ISERROR(LOOKUP(RL$1,$S35:$HK35,csv!$L35:$HD35)),NA(),LOOKUP(RL$1,$S35:$HK35,csv!$L35:$HD35))</f>
        <v>0</v>
      </c>
      <c r="RM35" s="5">
        <f>IF(ISERROR(LOOKUP(RM$1,$S35:$HK35,csv!$L35:$HD35)),NA(),LOOKUP(RM$1,$S35:$HK35,csv!$L35:$HD35))</f>
        <v>0</v>
      </c>
      <c r="RN35" s="5">
        <f>IF(ISERROR(LOOKUP(RN$1,$S35:$HK35,csv!$L35:$HD35)),NA(),LOOKUP(RN$1,$S35:$HK35,csv!$L35:$HD35))</f>
        <v>0</v>
      </c>
      <c r="RO35" s="5">
        <f>IF(ISERROR(LOOKUP(RO$1,$S35:$HK35,csv!$L35:$HD35)),NA(),LOOKUP(RO$1,$S35:$HK35,csv!$L35:$HD35))</f>
        <v>0</v>
      </c>
      <c r="RP35" s="5">
        <f>IF(ISERROR(LOOKUP(RP$1,$S35:$HK35,csv!$L35:$HD35)),NA(),LOOKUP(RP$1,$S35:$HK35,csv!$L35:$HD35))</f>
        <v>0</v>
      </c>
      <c r="RQ35" s="5">
        <f>IF(ISERROR(LOOKUP(RQ$1,$S35:$HK35,csv!$L35:$HD35)),NA(),LOOKUP(RQ$1,$S35:$HK35,csv!$L35:$HD35))</f>
        <v>0</v>
      </c>
      <c r="RR35" s="5">
        <f>IF(ISERROR(LOOKUP(RR$1,$S35:$HK35,csv!$L35:$HD35)),NA(),LOOKUP(RR$1,$S35:$HK35,csv!$L35:$HD35))</f>
        <v>0</v>
      </c>
      <c r="RS35" s="5">
        <f>IF(ISERROR(LOOKUP(RS$1,$S35:$HK35,csv!$L35:$HD35)),NA(),LOOKUP(RS$1,$S35:$HK35,csv!$L35:$HD35))</f>
        <v>0</v>
      </c>
      <c r="RT35" s="5">
        <f>IF(ISERROR(LOOKUP(RT$1,$S35:$HK35,csv!$L35:$HD35)),NA(),LOOKUP(RT$1,$S35:$HK35,csv!$L35:$HD35))</f>
        <v>0</v>
      </c>
      <c r="RU35" s="5">
        <f>IF(ISERROR(LOOKUP(RU$1,$S35:$HK35,csv!$L35:$HD35)),NA(),LOOKUP(RU$1,$S35:$HK35,csv!$L35:$HD35))</f>
        <v>0</v>
      </c>
      <c r="RV35" s="5">
        <f>IF(ISERROR(LOOKUP(RV$1,$S35:$HK35,csv!$L35:$HD35)),NA(),LOOKUP(RV$1,$S35:$HK35,csv!$L35:$HD35))</f>
        <v>0</v>
      </c>
      <c r="RW35" s="5">
        <f>IF(ISERROR(LOOKUP(RW$1,$S35:$HK35,csv!$L35:$HD35)),NA(),LOOKUP(RW$1,$S35:$HK35,csv!$L35:$HD35))</f>
        <v>0</v>
      </c>
      <c r="RX35" s="5">
        <f>IF(ISERROR(LOOKUP(RX$1,$S35:$HK35,csv!$L35:$HD35)),NA(),LOOKUP(RX$1,$S35:$HK35,csv!$L35:$HD35))</f>
        <v>0</v>
      </c>
      <c r="RY35" s="5">
        <f>IF(ISERROR(LOOKUP(RY$1,$S35:$HK35,csv!$L35:$HD35)),NA(),LOOKUP(RY$1,$S35:$HK35,csv!$L35:$HD35))</f>
        <v>0</v>
      </c>
      <c r="RZ35" s="5">
        <f>IF(ISERROR(LOOKUP(RZ$1,$S35:$HK35,csv!$L35:$HD35)),NA(),LOOKUP(RZ$1,$S35:$HK35,csv!$L35:$HD35))</f>
        <v>0</v>
      </c>
      <c r="SA35" s="5">
        <f>IF(ISERROR(LOOKUP(SA$1,$S35:$HK35,csv!$L35:$HD35)),NA(),LOOKUP(SA$1,$S35:$HK35,csv!$L35:$HD35))</f>
        <v>0</v>
      </c>
      <c r="SB35" s="5">
        <f>IF(ISERROR(LOOKUP(SB$1,$S35:$HK35,csv!$L35:$HD35)),NA(),LOOKUP(SB$1,$S35:$HK35,csv!$L35:$HD35))</f>
        <v>0</v>
      </c>
      <c r="SC35" s="5">
        <f>IF(ISERROR(LOOKUP(SC$1,$S35:$HK35,csv!$L35:$HD35)),NA(),LOOKUP(SC$1,$S35:$HK35,csv!$L35:$HD35))</f>
        <v>0</v>
      </c>
      <c r="SD35" s="5">
        <f>IF(ISERROR(LOOKUP(SD$1,$S35:$HK35,csv!$L35:$HD35)),NA(),LOOKUP(SD$1,$S35:$HK35,csv!$L35:$HD35))</f>
        <v>0</v>
      </c>
      <c r="SE35" s="5">
        <f>IF(ISERROR(LOOKUP(SE$1,$S35:$HK35,csv!$L35:$HD35)),NA(),LOOKUP(SE$1,$S35:$HK35,csv!$L35:$HD35))</f>
        <v>0</v>
      </c>
      <c r="SF35" s="5">
        <f>IF(ISERROR(LOOKUP(SF$1,$S35:$HK35,csv!$L35:$HD35)),NA(),LOOKUP(SF$1,$S35:$HK35,csv!$L35:$HD35))</f>
        <v>0</v>
      </c>
      <c r="SG35" s="5">
        <f>IF(ISERROR(LOOKUP(SG$1,$S35:$HK35,csv!$L35:$HD35)),NA(),LOOKUP(SG$1,$S35:$HK35,csv!$L35:$HD35))</f>
        <v>0</v>
      </c>
      <c r="SH35" s="5">
        <f>IF(ISERROR(LOOKUP(SH$1,$S35:$HK35,csv!$L35:$HD35)),NA(),LOOKUP(SH$1,$S35:$HK35,csv!$L35:$HD35))</f>
        <v>0</v>
      </c>
      <c r="SI35" s="5">
        <f>IF(ISERROR(LOOKUP(SI$1,$S35:$HK35,csv!$L35:$HD35)),NA(),LOOKUP(SI$1,$S35:$HK35,csv!$L35:$HD35))</f>
        <v>0</v>
      </c>
      <c r="SJ35" s="5">
        <f>IF(ISERROR(LOOKUP(SJ$1,$S35:$HK35,csv!$L35:$HD35)),NA(),LOOKUP(SJ$1,$S35:$HK35,csv!$L35:$HD35))</f>
        <v>0</v>
      </c>
      <c r="SK35" s="5">
        <f>IF(ISERROR(LOOKUP(SK$1,$S35:$HK35,csv!$L35:$HD35)),NA(),LOOKUP(SK$1,$S35:$HK35,csv!$L35:$HD35))</f>
        <v>0</v>
      </c>
      <c r="SL35" s="5">
        <f>IF(ISERROR(LOOKUP(SL$1,$S35:$HK35,csv!$L35:$HD35)),NA(),LOOKUP(SL$1,$S35:$HK35,csv!$L35:$HD35))</f>
        <v>0</v>
      </c>
      <c r="SM35" s="5">
        <f>IF(ISERROR(LOOKUP(SM$1,$S35:$HK35,csv!$L35:$HD35)),NA(),LOOKUP(SM$1,$S35:$HK35,csv!$L35:$HD35))</f>
        <v>0</v>
      </c>
      <c r="SN35" s="5">
        <f>IF(ISERROR(LOOKUP(SN$1,$S35:$HK35,csv!$L35:$HD35)),NA(),LOOKUP(SN$1,$S35:$HK35,csv!$L35:$HD35))</f>
        <v>0</v>
      </c>
      <c r="SO35" s="5">
        <f>IF(ISERROR(LOOKUP(SO$1,$S35:$HK35,csv!$L35:$HD35)),NA(),LOOKUP(SO$1,$S35:$HK35,csv!$L35:$HD35))</f>
        <v>0</v>
      </c>
      <c r="SP35" s="5">
        <f>IF(ISERROR(LOOKUP(SP$1,$S35:$HK35,csv!$L35:$HD35)),NA(),LOOKUP(SP$1,$S35:$HK35,csv!$L35:$HD35))</f>
        <v>0</v>
      </c>
      <c r="SQ35" s="5">
        <f>IF(ISERROR(LOOKUP(SQ$1,$S35:$HK35,csv!$L35:$HD35)),NA(),LOOKUP(SQ$1,$S35:$HK35,csv!$L35:$HD35))</f>
        <v>0</v>
      </c>
      <c r="SR35" s="5">
        <f>IF(ISERROR(LOOKUP(SR$1,$S35:$HK35,csv!$L35:$HD35)),NA(),LOOKUP(SR$1,$S35:$HK35,csv!$L35:$HD35))</f>
        <v>0</v>
      </c>
      <c r="SS35" s="5">
        <f>IF(ISERROR(LOOKUP(SS$1,$S35:$HK35,csv!$L35:$HD35)),NA(),LOOKUP(SS$1,$S35:$HK35,csv!$L35:$HD35))</f>
        <v>0</v>
      </c>
      <c r="ST35" s="5">
        <f>IF(ISERROR(LOOKUP(ST$1,$S35:$HK35,csv!$L35:$HD35)),NA(),LOOKUP(ST$1,$S35:$HK35,csv!$L35:$HD35))</f>
        <v>0</v>
      </c>
      <c r="SU35" s="5">
        <f>IF(ISERROR(LOOKUP(SU$1,$S35:$HK35,csv!$L35:$HD35)),NA(),LOOKUP(SU$1,$S35:$HK35,csv!$L35:$HD35))</f>
        <v>0</v>
      </c>
      <c r="SV35" s="5">
        <f>IF(ISERROR(LOOKUP(SV$1,$S35:$HK35,csv!$L35:$HD35)),NA(),LOOKUP(SV$1,$S35:$HK35,csv!$L35:$HD35))</f>
        <v>0</v>
      </c>
      <c r="SW35" s="5">
        <f>IF(ISERROR(LOOKUP(SW$1,$S35:$HK35,csv!$L35:$HD35)),NA(),LOOKUP(SW$1,$S35:$HK35,csv!$L35:$HD35))</f>
        <v>0</v>
      </c>
      <c r="SX35" s="5">
        <f>IF(ISERROR(LOOKUP(SX$1,$S35:$HK35,csv!$L35:$HD35)),NA(),LOOKUP(SX$1,$S35:$HK35,csv!$L35:$HD35))</f>
        <v>0</v>
      </c>
      <c r="SY35" s="5">
        <f>IF(ISERROR(LOOKUP(SY$1,$S35:$HK35,csv!$L35:$HD35)),NA(),LOOKUP(SY$1,$S35:$HK35,csv!$L35:$HD35))</f>
        <v>0</v>
      </c>
      <c r="SZ35" s="5">
        <f>IF(ISERROR(LOOKUP(SZ$1,$S35:$HK35,csv!$L35:$HD35)),NA(),LOOKUP(SZ$1,$S35:$HK35,csv!$L35:$HD35))</f>
        <v>0</v>
      </c>
      <c r="TA35" s="5">
        <f>IF(ISERROR(LOOKUP(TA$1,$S35:$HK35,csv!$L35:$HD35)),NA(),LOOKUP(TA$1,$S35:$HK35,csv!$L35:$HD35))</f>
        <v>0</v>
      </c>
      <c r="TB35" s="5">
        <f>IF(ISERROR(LOOKUP(TB$1,$S35:$HK35,csv!$L35:$HD35)),NA(),LOOKUP(TB$1,$S35:$HK35,csv!$L35:$HD35))</f>
        <v>0</v>
      </c>
      <c r="TD35">
        <f>csv!HG35/10</f>
        <v>0</v>
      </c>
    </row>
    <row r="36" spans="19:525" x14ac:dyDescent="0.15">
      <c r="S36" s="4">
        <f>ROUND((csv!$HG36/10+calc!S$1),1)</f>
        <v>-10</v>
      </c>
      <c r="T36" s="4">
        <f>ROUND((csv!$HG36/10+calc!T$1),1)</f>
        <v>-9.9</v>
      </c>
      <c r="U36" s="4">
        <f>ROUND((csv!$HG36/10+calc!U$1),1)</f>
        <v>-9.8000000000000007</v>
      </c>
      <c r="V36" s="4">
        <f>ROUND((csv!$HG36/10+calc!V$1),1)</f>
        <v>-9.6999999999999993</v>
      </c>
      <c r="W36" s="4">
        <f>ROUND((csv!$HG36/10+calc!W$1),1)</f>
        <v>-9.6</v>
      </c>
      <c r="X36" s="4">
        <f>ROUND((csv!$HG36/10+calc!X$1),1)</f>
        <v>-9.5</v>
      </c>
      <c r="Y36" s="4">
        <f>ROUND((csv!$HG36/10+calc!Y$1),1)</f>
        <v>-9.4</v>
      </c>
      <c r="Z36" s="4">
        <f>ROUND((csv!$HG36/10+calc!Z$1),1)</f>
        <v>-9.3000000000000007</v>
      </c>
      <c r="AA36" s="4">
        <f>ROUND((csv!$HG36/10+calc!AA$1),1)</f>
        <v>-9.1999999999999993</v>
      </c>
      <c r="AB36" s="4">
        <f>ROUND((csv!$HG36/10+calc!AB$1),1)</f>
        <v>-9.1</v>
      </c>
      <c r="AC36" s="4">
        <f>ROUND((csv!$HG36/10+calc!AC$1),1)</f>
        <v>-9</v>
      </c>
      <c r="AD36" s="4">
        <f>ROUND((csv!$HG36/10+calc!AD$1),1)</f>
        <v>-8.9</v>
      </c>
      <c r="AE36" s="4">
        <f>ROUND((csv!$HG36/10+calc!AE$1),1)</f>
        <v>-8.8000000000000007</v>
      </c>
      <c r="AF36" s="4">
        <f>ROUND((csv!$HG36/10+calc!AF$1),1)</f>
        <v>-8.6999999999999993</v>
      </c>
      <c r="AG36" s="4">
        <f>ROUND((csv!$HG36/10+calc!AG$1),1)</f>
        <v>-8.6</v>
      </c>
      <c r="AH36" s="4">
        <f>ROUND((csv!$HG36/10+calc!AH$1),1)</f>
        <v>-8.5</v>
      </c>
      <c r="AI36" s="4">
        <f>ROUND((csv!$HG36/10+calc!AI$1),1)</f>
        <v>-8.4</v>
      </c>
      <c r="AJ36" s="4">
        <f>ROUND((csv!$HG36/10+calc!AJ$1),1)</f>
        <v>-8.3000000000000007</v>
      </c>
      <c r="AK36" s="4">
        <f>ROUND((csv!$HG36/10+calc!AK$1),1)</f>
        <v>-8.1999999999999993</v>
      </c>
      <c r="AL36" s="4">
        <f>ROUND((csv!$HG36/10+calc!AL$1),1)</f>
        <v>-8.1</v>
      </c>
      <c r="AM36" s="4">
        <f>ROUND((csv!$HG36/10+calc!AM$1),1)</f>
        <v>-8</v>
      </c>
      <c r="AN36" s="4">
        <f>ROUND((csv!$HG36/10+calc!AN$1),1)</f>
        <v>-7.9</v>
      </c>
      <c r="AO36" s="4">
        <f>ROUND((csv!$HG36/10+calc!AO$1),1)</f>
        <v>-7.8</v>
      </c>
      <c r="AP36" s="4">
        <f>ROUND((csv!$HG36/10+calc!AP$1),1)</f>
        <v>-7.7</v>
      </c>
      <c r="AQ36" s="4">
        <f>ROUND((csv!$HG36/10+calc!AQ$1),1)</f>
        <v>-7.6</v>
      </c>
      <c r="AR36" s="4">
        <f>ROUND((csv!$HG36/10+calc!AR$1),1)</f>
        <v>-7.5</v>
      </c>
      <c r="AS36" s="4">
        <f>ROUND((csv!$HG36/10+calc!AS$1),1)</f>
        <v>-7.4</v>
      </c>
      <c r="AT36" s="4">
        <f>ROUND((csv!$HG36/10+calc!AT$1),1)</f>
        <v>-7.3</v>
      </c>
      <c r="AU36" s="4">
        <f>ROUND((csv!$HG36/10+calc!AU$1),1)</f>
        <v>-7.2</v>
      </c>
      <c r="AV36" s="4">
        <f>ROUND((csv!$HG36/10+calc!AV$1),1)</f>
        <v>-7.1</v>
      </c>
      <c r="AW36" s="4">
        <f>ROUND((csv!$HG36/10+calc!AW$1),1)</f>
        <v>-7</v>
      </c>
      <c r="AX36" s="4">
        <f>ROUND((csv!$HG36/10+calc!AX$1),1)</f>
        <v>-6.9</v>
      </c>
      <c r="AY36" s="4">
        <f>ROUND((csv!$HG36/10+calc!AY$1),1)</f>
        <v>-6.8</v>
      </c>
      <c r="AZ36" s="4">
        <f>ROUND((csv!$HG36/10+calc!AZ$1),1)</f>
        <v>-6.7</v>
      </c>
      <c r="BA36" s="4">
        <f>ROUND((csv!$HG36/10+calc!BA$1),1)</f>
        <v>-6.6</v>
      </c>
      <c r="BB36" s="4">
        <f>ROUND((csv!$HG36/10+calc!BB$1),1)</f>
        <v>-6.5</v>
      </c>
      <c r="BC36" s="4">
        <f>ROUND((csv!$HG36/10+calc!BC$1),1)</f>
        <v>-6.4</v>
      </c>
      <c r="BD36" s="4">
        <f>ROUND((csv!$HG36/10+calc!BD$1),1)</f>
        <v>-6.3</v>
      </c>
      <c r="BE36" s="4">
        <f>ROUND((csv!$HG36/10+calc!BE$1),1)</f>
        <v>-6.2</v>
      </c>
      <c r="BF36" s="4">
        <f>ROUND((csv!$HG36/10+calc!BF$1),1)</f>
        <v>-6.1</v>
      </c>
      <c r="BG36" s="4">
        <f>ROUND((csv!$HG36/10+calc!BG$1),1)</f>
        <v>-6</v>
      </c>
      <c r="BH36" s="4">
        <f>ROUND((csv!$HG36/10+calc!BH$1),1)</f>
        <v>-5.9</v>
      </c>
      <c r="BI36" s="4">
        <f>ROUND((csv!$HG36/10+calc!BI$1),1)</f>
        <v>-5.8</v>
      </c>
      <c r="BJ36" s="4">
        <f>ROUND((csv!$HG36/10+calc!BJ$1),1)</f>
        <v>-5.7</v>
      </c>
      <c r="BK36" s="4">
        <f>ROUND((csv!$HG36/10+calc!BK$1),1)</f>
        <v>-5.6</v>
      </c>
      <c r="BL36" s="4">
        <f>ROUND((csv!$HG36/10+calc!BL$1),1)</f>
        <v>-5.5</v>
      </c>
      <c r="BM36" s="4">
        <f>ROUND((csv!$HG36/10+calc!BM$1),1)</f>
        <v>-5.4</v>
      </c>
      <c r="BN36" s="4">
        <f>ROUND((csv!$HG36/10+calc!BN$1),1)</f>
        <v>-5.3</v>
      </c>
      <c r="BO36" s="4">
        <f>ROUND((csv!$HG36/10+calc!BO$1),1)</f>
        <v>-5.2</v>
      </c>
      <c r="BP36" s="4">
        <f>ROUND((csv!$HG36/10+calc!BP$1),1)</f>
        <v>-5.0999999999999996</v>
      </c>
      <c r="BQ36" s="4">
        <f>ROUND((csv!$HG36/10+calc!BQ$1),1)</f>
        <v>-5</v>
      </c>
      <c r="BR36" s="4">
        <f>ROUND((csv!$HG36/10+calc!BR$1),1)</f>
        <v>-4.9000000000000004</v>
      </c>
      <c r="BS36" s="4">
        <f>ROUND((csv!$HG36/10+calc!BS$1),1)</f>
        <v>-4.8</v>
      </c>
      <c r="BT36" s="4">
        <f>ROUND((csv!$HG36/10+calc!BT$1),1)</f>
        <v>-4.7</v>
      </c>
      <c r="BU36" s="4">
        <f>ROUND((csv!$HG36/10+calc!BU$1),1)</f>
        <v>-4.5999999999999996</v>
      </c>
      <c r="BV36" s="4">
        <f>ROUND((csv!$HG36/10+calc!BV$1),1)</f>
        <v>-4.5</v>
      </c>
      <c r="BW36" s="4">
        <f>ROUND((csv!$HG36/10+calc!BW$1),1)</f>
        <v>-4.4000000000000004</v>
      </c>
      <c r="BX36" s="4">
        <f>ROUND((csv!$HG36/10+calc!BX$1),1)</f>
        <v>-4.3</v>
      </c>
      <c r="BY36" s="4">
        <f>ROUND((csv!$HG36/10+calc!BY$1),1)</f>
        <v>-4.2</v>
      </c>
      <c r="BZ36" s="4">
        <f>ROUND((csv!$HG36/10+calc!BZ$1),1)</f>
        <v>-4.0999999999999996</v>
      </c>
      <c r="CA36" s="4">
        <f>ROUND((csv!$HG36/10+calc!CA$1),1)</f>
        <v>-4</v>
      </c>
      <c r="CB36" s="4">
        <f>ROUND((csv!$HG36/10+calc!CB$1),1)</f>
        <v>-3.9</v>
      </c>
      <c r="CC36" s="4">
        <f>ROUND((csv!$HG36/10+calc!CC$1),1)</f>
        <v>-3.8</v>
      </c>
      <c r="CD36" s="4">
        <f>ROUND((csv!$HG36/10+calc!CD$1),1)</f>
        <v>-3.7</v>
      </c>
      <c r="CE36" s="4">
        <f>ROUND((csv!$HG36/10+calc!CE$1),1)</f>
        <v>-3.6</v>
      </c>
      <c r="CF36" s="4">
        <f>ROUND((csv!$HG36/10+calc!CF$1),1)</f>
        <v>-3.5</v>
      </c>
      <c r="CG36" s="4">
        <f>ROUND((csv!$HG36/10+calc!CG$1),1)</f>
        <v>-3.4</v>
      </c>
      <c r="CH36" s="4">
        <f>ROUND((csv!$HG36/10+calc!CH$1),1)</f>
        <v>-3.3</v>
      </c>
      <c r="CI36" s="4">
        <f>ROUND((csv!$HG36/10+calc!CI$1),1)</f>
        <v>-3.2</v>
      </c>
      <c r="CJ36" s="4">
        <f>ROUND((csv!$HG36/10+calc!CJ$1),1)</f>
        <v>-3.1</v>
      </c>
      <c r="CK36" s="4">
        <f>ROUND((csv!$HG36/10+calc!CK$1),1)</f>
        <v>-3</v>
      </c>
      <c r="CL36" s="4">
        <f>ROUND((csv!$HG36/10+calc!CL$1),1)</f>
        <v>-2.9</v>
      </c>
      <c r="CM36" s="4">
        <f>ROUND((csv!$HG36/10+calc!CM$1),1)</f>
        <v>-2.8</v>
      </c>
      <c r="CN36" s="4">
        <f>ROUND((csv!$HG36/10+calc!CN$1),1)</f>
        <v>-2.7</v>
      </c>
      <c r="CO36" s="4">
        <f>ROUND((csv!$HG36/10+calc!CO$1),1)</f>
        <v>-2.6</v>
      </c>
      <c r="CP36" s="4">
        <f>ROUND((csv!$HG36/10+calc!CP$1),1)</f>
        <v>-2.5</v>
      </c>
      <c r="CQ36" s="4">
        <f>ROUND((csv!$HG36/10+calc!CQ$1),1)</f>
        <v>-2.4</v>
      </c>
      <c r="CR36" s="4">
        <f>ROUND((csv!$HG36/10+calc!CR$1),1)</f>
        <v>-2.2999999999999998</v>
      </c>
      <c r="CS36" s="4">
        <f>ROUND((csv!$HG36/10+calc!CS$1),1)</f>
        <v>-2.2000000000000002</v>
      </c>
      <c r="CT36" s="4">
        <f>ROUND((csv!$HG36/10+calc!CT$1),1)</f>
        <v>-2.1</v>
      </c>
      <c r="CU36" s="4">
        <f>ROUND((csv!$HG36/10+calc!CU$1),1)</f>
        <v>-2</v>
      </c>
      <c r="CV36" s="4">
        <f>ROUND((csv!$HG36/10+calc!CV$1),1)</f>
        <v>-1.9</v>
      </c>
      <c r="CW36" s="4">
        <f>ROUND((csv!$HG36/10+calc!CW$1),1)</f>
        <v>-1.8</v>
      </c>
      <c r="CX36" s="4">
        <f>ROUND((csv!$HG36/10+calc!CX$1),1)</f>
        <v>-1.7</v>
      </c>
      <c r="CY36" s="4">
        <f>ROUND((csv!$HG36/10+calc!CY$1),1)</f>
        <v>-1.6</v>
      </c>
      <c r="CZ36" s="4">
        <f>ROUND((csv!$HG36/10+calc!CZ$1),1)</f>
        <v>-1.5</v>
      </c>
      <c r="DA36" s="4">
        <f>ROUND((csv!$HG36/10+calc!DA$1),1)</f>
        <v>-1.4</v>
      </c>
      <c r="DB36" s="4">
        <f>ROUND((csv!$HG36/10+calc!DB$1),1)</f>
        <v>-1.3</v>
      </c>
      <c r="DC36" s="4">
        <f>ROUND((csv!$HG36/10+calc!DC$1),1)</f>
        <v>-1.2</v>
      </c>
      <c r="DD36" s="4">
        <f>ROUND((csv!$HG36/10+calc!DD$1),1)</f>
        <v>-1.1000000000000001</v>
      </c>
      <c r="DE36" s="4">
        <f>ROUND((csv!$HG36/10+calc!DE$1),1)</f>
        <v>-1</v>
      </c>
      <c r="DF36" s="4">
        <f>ROUND((csv!$HG36/10+calc!DF$1),1)</f>
        <v>-0.9</v>
      </c>
      <c r="DG36" s="4">
        <f>ROUND((csv!$HG36/10+calc!DG$1),1)</f>
        <v>-0.8</v>
      </c>
      <c r="DH36" s="4">
        <f>ROUND((csv!$HG36/10+calc!DH$1),1)</f>
        <v>-0.7</v>
      </c>
      <c r="DI36" s="4">
        <f>ROUND((csv!$HG36/10+calc!DI$1),1)</f>
        <v>-0.6</v>
      </c>
      <c r="DJ36" s="4">
        <f>ROUND((csv!$HG36/10+calc!DJ$1),1)</f>
        <v>-0.5</v>
      </c>
      <c r="DK36" s="4">
        <f>ROUND((csv!$HG36/10+calc!DK$1),1)</f>
        <v>-0.4</v>
      </c>
      <c r="DL36" s="4">
        <f>ROUND((csv!$HG36/10+calc!DL$1),1)</f>
        <v>-0.3</v>
      </c>
      <c r="DM36" s="4">
        <f>ROUND((csv!$HG36/10+calc!DM$1),1)</f>
        <v>-0.2</v>
      </c>
      <c r="DN36" s="4">
        <f>ROUND((csv!$HG36/10+calc!DN$1),1)</f>
        <v>-0.1</v>
      </c>
      <c r="DO36" s="4">
        <f>ROUND((csv!$HG36/10+calc!DO$1),1)</f>
        <v>0</v>
      </c>
      <c r="DP36" s="4">
        <f>ROUND((csv!$HG36/10+calc!DP$1),1)</f>
        <v>0.1</v>
      </c>
      <c r="DQ36" s="4">
        <f>ROUND((csv!$HG36/10+calc!DQ$1),1)</f>
        <v>0.2</v>
      </c>
      <c r="DR36" s="4">
        <f>ROUND((csv!$HG36/10+calc!DR$1),1)</f>
        <v>0.3</v>
      </c>
      <c r="DS36" s="4">
        <f>ROUND((csv!$HG36/10+calc!DS$1),1)</f>
        <v>0.4</v>
      </c>
      <c r="DT36" s="4">
        <f>ROUND((csv!$HG36/10+calc!DT$1),1)</f>
        <v>0.5</v>
      </c>
      <c r="DU36" s="4">
        <f>ROUND((csv!$HG36/10+calc!DU$1),1)</f>
        <v>0.6</v>
      </c>
      <c r="DV36" s="4">
        <f>ROUND((csv!$HG36/10+calc!DV$1),1)</f>
        <v>0.7</v>
      </c>
      <c r="DW36" s="4">
        <f>ROUND((csv!$HG36/10+calc!DW$1),1)</f>
        <v>0.8</v>
      </c>
      <c r="DX36" s="4">
        <f>ROUND((csv!$HG36/10+calc!DX$1),1)</f>
        <v>0.9</v>
      </c>
      <c r="DY36" s="4">
        <f>ROUND((csv!$HG36/10+calc!DY$1),1)</f>
        <v>1</v>
      </c>
      <c r="DZ36" s="4">
        <f>ROUND((csv!$HG36/10+calc!DZ$1),1)</f>
        <v>1.1000000000000001</v>
      </c>
      <c r="EA36" s="4">
        <f>ROUND((csv!$HG36/10+calc!EA$1),1)</f>
        <v>1.2</v>
      </c>
      <c r="EB36" s="4">
        <f>ROUND((csv!$HG36/10+calc!EB$1),1)</f>
        <v>1.3</v>
      </c>
      <c r="EC36" s="4">
        <f>ROUND((csv!$HG36/10+calc!EC$1),1)</f>
        <v>1.4</v>
      </c>
      <c r="ED36" s="4">
        <f>ROUND((csv!$HG36/10+calc!ED$1),1)</f>
        <v>1.5</v>
      </c>
      <c r="EE36" s="4">
        <f>ROUND((csv!$HG36/10+calc!EE$1),1)</f>
        <v>1.6</v>
      </c>
      <c r="EF36" s="4">
        <f>ROUND((csv!$HG36/10+calc!EF$1),1)</f>
        <v>1.7</v>
      </c>
      <c r="EG36" s="4">
        <f>ROUND((csv!$HG36/10+calc!EG$1),1)</f>
        <v>1.8</v>
      </c>
      <c r="EH36" s="4">
        <f>ROUND((csv!$HG36/10+calc!EH$1),1)</f>
        <v>1.9</v>
      </c>
      <c r="EI36" s="4">
        <f>ROUND((csv!$HG36/10+calc!EI$1),1)</f>
        <v>2</v>
      </c>
      <c r="EJ36" s="4">
        <f>ROUND((csv!$HG36/10+calc!EJ$1),1)</f>
        <v>2.1</v>
      </c>
      <c r="EK36" s="4">
        <f>ROUND((csv!$HG36/10+calc!EK$1),1)</f>
        <v>2.2000000000000002</v>
      </c>
      <c r="EL36" s="4">
        <f>ROUND((csv!$HG36/10+calc!EL$1),1)</f>
        <v>2.2999999999999998</v>
      </c>
      <c r="EM36" s="4">
        <f>ROUND((csv!$HG36/10+calc!EM$1),1)</f>
        <v>2.4</v>
      </c>
      <c r="EN36" s="4">
        <f>ROUND((csv!$HG36/10+calc!EN$1),1)</f>
        <v>2.5</v>
      </c>
      <c r="EO36" s="4">
        <f>ROUND((csv!$HG36/10+calc!EO$1),1)</f>
        <v>2.6</v>
      </c>
      <c r="EP36" s="4">
        <f>ROUND((csv!$HG36/10+calc!EP$1),1)</f>
        <v>2.7</v>
      </c>
      <c r="EQ36" s="4">
        <f>ROUND((csv!$HG36/10+calc!EQ$1),1)</f>
        <v>2.8</v>
      </c>
      <c r="ER36" s="4">
        <f>ROUND((csv!$HG36/10+calc!ER$1),1)</f>
        <v>2.9</v>
      </c>
      <c r="ES36" s="4">
        <f>ROUND((csv!$HG36/10+calc!ES$1),1)</f>
        <v>3</v>
      </c>
      <c r="ET36" s="4">
        <f>ROUND((csv!$HG36/10+calc!ET$1),1)</f>
        <v>3.1</v>
      </c>
      <c r="EU36" s="4">
        <f>ROUND((csv!$HG36/10+calc!EU$1),1)</f>
        <v>3.2</v>
      </c>
      <c r="EV36" s="4">
        <f>ROUND((csv!$HG36/10+calc!EV$1),1)</f>
        <v>3.3</v>
      </c>
      <c r="EW36" s="4">
        <f>ROUND((csv!$HG36/10+calc!EW$1),1)</f>
        <v>3.4</v>
      </c>
      <c r="EX36" s="4">
        <f>ROUND((csv!$HG36/10+calc!EX$1),1)</f>
        <v>3.5</v>
      </c>
      <c r="EY36" s="4">
        <f>ROUND((csv!$HG36/10+calc!EY$1),1)</f>
        <v>3.6</v>
      </c>
      <c r="EZ36" s="4">
        <f>ROUND((csv!$HG36/10+calc!EZ$1),1)</f>
        <v>3.7</v>
      </c>
      <c r="FA36" s="4">
        <f>ROUND((csv!$HG36/10+calc!FA$1),1)</f>
        <v>3.8</v>
      </c>
      <c r="FB36" s="4">
        <f>ROUND((csv!$HG36/10+calc!FB$1),1)</f>
        <v>3.9</v>
      </c>
      <c r="FC36" s="4">
        <f>ROUND((csv!$HG36/10+calc!FC$1),1)</f>
        <v>4</v>
      </c>
      <c r="FD36" s="4">
        <f>ROUND((csv!$HG36/10+calc!FD$1),1)</f>
        <v>4.0999999999999996</v>
      </c>
      <c r="FE36" s="4">
        <f>ROUND((csv!$HG36/10+calc!FE$1),1)</f>
        <v>4.2</v>
      </c>
      <c r="FF36" s="4">
        <f>ROUND((csv!$HG36/10+calc!FF$1),1)</f>
        <v>4.3</v>
      </c>
      <c r="FG36" s="4">
        <f>ROUND((csv!$HG36/10+calc!FG$1),1)</f>
        <v>4.4000000000000004</v>
      </c>
      <c r="FH36" s="4">
        <f>ROUND((csv!$HG36/10+calc!FH$1),1)</f>
        <v>4.5</v>
      </c>
      <c r="FI36" s="4">
        <f>ROUND((csv!$HG36/10+calc!FI$1),1)</f>
        <v>4.5999999999999996</v>
      </c>
      <c r="FJ36" s="4">
        <f>ROUND((csv!$HG36/10+calc!FJ$1),1)</f>
        <v>4.7</v>
      </c>
      <c r="FK36" s="4">
        <f>ROUND((csv!$HG36/10+calc!FK$1),1)</f>
        <v>4.8</v>
      </c>
      <c r="FL36" s="4">
        <f>ROUND((csv!$HG36/10+calc!FL$1),1)</f>
        <v>4.9000000000000004</v>
      </c>
      <c r="FM36" s="4">
        <f>ROUND((csv!$HG36/10+calc!FM$1),1)</f>
        <v>5</v>
      </c>
      <c r="FN36" s="4">
        <f>ROUND((csv!$HG36/10+calc!FN$1),1)</f>
        <v>5.0999999999999996</v>
      </c>
      <c r="FO36" s="4">
        <f>ROUND((csv!$HG36/10+calc!FO$1),1)</f>
        <v>5.2</v>
      </c>
      <c r="FP36" s="4">
        <f>ROUND((csv!$HG36/10+calc!FP$1),1)</f>
        <v>5.3</v>
      </c>
      <c r="FQ36" s="4">
        <f>ROUND((csv!$HG36/10+calc!FQ$1),1)</f>
        <v>5.4</v>
      </c>
      <c r="FR36" s="4">
        <f>ROUND((csv!$HG36/10+calc!FR$1),1)</f>
        <v>5.5</v>
      </c>
      <c r="FS36" s="4">
        <f>ROUND((csv!$HG36/10+calc!FS$1),1)</f>
        <v>5.6</v>
      </c>
      <c r="FT36" s="4">
        <f>ROUND((csv!$HG36/10+calc!FT$1),1)</f>
        <v>5.7</v>
      </c>
      <c r="FU36" s="4">
        <f>ROUND((csv!$HG36/10+calc!FU$1),1)</f>
        <v>5.8</v>
      </c>
      <c r="FV36" s="4">
        <f>ROUND((csv!$HG36/10+calc!FV$1),1)</f>
        <v>5.9</v>
      </c>
      <c r="FW36" s="4">
        <f>ROUND((csv!$HG36/10+calc!FW$1),1)</f>
        <v>6</v>
      </c>
      <c r="FX36" s="4">
        <f>ROUND((csv!$HG36/10+calc!FX$1),1)</f>
        <v>6.1</v>
      </c>
      <c r="FY36" s="4">
        <f>ROUND((csv!$HG36/10+calc!FY$1),1)</f>
        <v>6.2</v>
      </c>
      <c r="FZ36" s="4">
        <f>ROUND((csv!$HG36/10+calc!FZ$1),1)</f>
        <v>6.3</v>
      </c>
      <c r="GA36" s="4">
        <f>ROUND((csv!$HG36/10+calc!GA$1),1)</f>
        <v>6.4</v>
      </c>
      <c r="GB36" s="4">
        <f>ROUND((csv!$HG36/10+calc!GB$1),1)</f>
        <v>6.5</v>
      </c>
      <c r="GC36" s="4">
        <f>ROUND((csv!$HG36/10+calc!GC$1),1)</f>
        <v>6.6</v>
      </c>
      <c r="GD36" s="4">
        <f>ROUND((csv!$HG36/10+calc!GD$1),1)</f>
        <v>6.7</v>
      </c>
      <c r="GE36" s="4">
        <f>ROUND((csv!$HG36/10+calc!GE$1),1)</f>
        <v>6.8</v>
      </c>
      <c r="GF36" s="4">
        <f>ROUND((csv!$HG36/10+calc!GF$1),1)</f>
        <v>6.9</v>
      </c>
      <c r="GG36" s="4">
        <f>ROUND((csv!$HG36/10+calc!GG$1),1)</f>
        <v>7</v>
      </c>
      <c r="GH36" s="4">
        <f>ROUND((csv!$HG36/10+calc!GH$1),1)</f>
        <v>7.1</v>
      </c>
      <c r="GI36" s="4">
        <f>ROUND((csv!$HG36/10+calc!GI$1),1)</f>
        <v>7.2</v>
      </c>
      <c r="GJ36" s="4">
        <f>ROUND((csv!$HG36/10+calc!GJ$1),1)</f>
        <v>7.3</v>
      </c>
      <c r="GK36" s="4">
        <f>ROUND((csv!$HG36/10+calc!GK$1),1)</f>
        <v>7.4</v>
      </c>
      <c r="GL36" s="4">
        <f>ROUND((csv!$HG36/10+calc!GL$1),1)</f>
        <v>7.5</v>
      </c>
      <c r="GM36" s="4">
        <f>ROUND((csv!$HG36/10+calc!GM$1),1)</f>
        <v>7.6</v>
      </c>
      <c r="GN36" s="4">
        <f>ROUND((csv!$HG36/10+calc!GN$1),1)</f>
        <v>7.7</v>
      </c>
      <c r="GO36" s="4">
        <f>ROUND((csv!$HG36/10+calc!GO$1),1)</f>
        <v>7.8</v>
      </c>
      <c r="GP36" s="4">
        <f>ROUND((csv!$HG36/10+calc!GP$1),1)</f>
        <v>7.9</v>
      </c>
      <c r="GQ36" s="4">
        <f>ROUND((csv!$HG36/10+calc!GQ$1),1)</f>
        <v>8</v>
      </c>
      <c r="GR36" s="4">
        <f>ROUND((csv!$HG36/10+calc!GR$1),1)</f>
        <v>8.1</v>
      </c>
      <c r="GS36" s="4">
        <f>ROUND((csv!$HG36/10+calc!GS$1),1)</f>
        <v>8.1999999999999993</v>
      </c>
      <c r="GT36" s="4">
        <f>ROUND((csv!$HG36/10+calc!GT$1),1)</f>
        <v>8.3000000000000007</v>
      </c>
      <c r="GU36" s="4">
        <f>ROUND((csv!$HG36/10+calc!GU$1),1)</f>
        <v>8.4</v>
      </c>
      <c r="GV36" s="4">
        <f>ROUND((csv!$HG36/10+calc!GV$1),1)</f>
        <v>8.5</v>
      </c>
      <c r="GW36" s="4">
        <f>ROUND((csv!$HG36/10+calc!GW$1),1)</f>
        <v>8.6</v>
      </c>
      <c r="GX36" s="4">
        <f>ROUND((csv!$HG36/10+calc!GX$1),1)</f>
        <v>8.6999999999999993</v>
      </c>
      <c r="GY36" s="4">
        <f>ROUND((csv!$HG36/10+calc!GY$1),1)</f>
        <v>8.8000000000000007</v>
      </c>
      <c r="GZ36" s="4">
        <f>ROUND((csv!$HG36/10+calc!GZ$1),1)</f>
        <v>8.9</v>
      </c>
      <c r="HA36" s="4">
        <f>ROUND((csv!$HG36/10+calc!HA$1),1)</f>
        <v>9</v>
      </c>
      <c r="HB36" s="4">
        <f>ROUND((csv!$HG36/10+calc!HB$1),1)</f>
        <v>9.1</v>
      </c>
      <c r="HC36" s="4">
        <f>ROUND((csv!$HG36/10+calc!HC$1),1)</f>
        <v>9.1999999999999993</v>
      </c>
      <c r="HD36" s="4">
        <f>ROUND((csv!$HG36/10+calc!HD$1),1)</f>
        <v>9.3000000000000007</v>
      </c>
      <c r="HE36" s="4">
        <f>ROUND((csv!$HG36/10+calc!HE$1),1)</f>
        <v>9.4</v>
      </c>
      <c r="HF36" s="4">
        <f>ROUND((csv!$HG36/10+calc!HF$1),1)</f>
        <v>9.5</v>
      </c>
      <c r="HG36" s="4">
        <f>ROUND((csv!$HG36/10+calc!HG$1),1)</f>
        <v>9.6</v>
      </c>
      <c r="HH36" s="4">
        <f>ROUND((csv!$HG36/10+calc!HH$1),1)</f>
        <v>9.6999999999999993</v>
      </c>
      <c r="HI36" s="4">
        <f>ROUND((csv!$HG36/10+calc!HI$1),1)</f>
        <v>9.8000000000000007</v>
      </c>
      <c r="HJ36" s="4">
        <f>ROUND((csv!$HG36/10+calc!HJ$1),1)</f>
        <v>9.9</v>
      </c>
      <c r="HK36" s="4">
        <f>ROUND((csv!$HG36/10+calc!HK$1),1)</f>
        <v>10</v>
      </c>
      <c r="HM36" s="2">
        <f>csv!A36*10000+csv!B36*100+csv!C36</f>
        <v>0</v>
      </c>
      <c r="HN36" s="5">
        <f>IF(ISERROR(LOOKUP(HN$1,$S36:$HK36,csv!$L36:$HD36)),NA(),LOOKUP(HN$1,$S36:$HK36,csv!$L36:$HD36))</f>
        <v>0</v>
      </c>
      <c r="HO36" s="5">
        <f>IF(ISERROR(LOOKUP(HO$1,$S36:$HK36,csv!$L36:$HD36)),NA(),LOOKUP(HO$1,$S36:$HK36,csv!$L36:$HD36))</f>
        <v>0</v>
      </c>
      <c r="HP36" s="5">
        <f>IF(ISERROR(LOOKUP(HP$1,$S36:$HK36,csv!$L36:$HD36)),NA(),LOOKUP(HP$1,$S36:$HK36,csv!$L36:$HD36))</f>
        <v>0</v>
      </c>
      <c r="HQ36" s="5">
        <f>IF(ISERROR(LOOKUP(HQ$1,$S36:$HK36,csv!$L36:$HD36)),NA(),LOOKUP(HQ$1,$S36:$HK36,csv!$L36:$HD36))</f>
        <v>0</v>
      </c>
      <c r="HR36" s="5">
        <f>IF(ISERROR(LOOKUP(HR$1,$S36:$HK36,csv!$L36:$HD36)),NA(),LOOKUP(HR$1,$S36:$HK36,csv!$L36:$HD36))</f>
        <v>0</v>
      </c>
      <c r="HS36" s="5">
        <f>IF(ISERROR(LOOKUP(HS$1,$S36:$HK36,csv!$L36:$HD36)),NA(),LOOKUP(HS$1,$S36:$HK36,csv!$L36:$HD36))</f>
        <v>0</v>
      </c>
      <c r="HT36" s="5">
        <f>IF(ISERROR(LOOKUP(HT$1,$S36:$HK36,csv!$L36:$HD36)),NA(),LOOKUP(HT$1,$S36:$HK36,csv!$L36:$HD36))</f>
        <v>0</v>
      </c>
      <c r="HU36" s="5">
        <f>IF(ISERROR(LOOKUP(HU$1,$S36:$HK36,csv!$L36:$HD36)),NA(),LOOKUP(HU$1,$S36:$HK36,csv!$L36:$HD36))</f>
        <v>0</v>
      </c>
      <c r="HV36" s="5">
        <f>IF(ISERROR(LOOKUP(HV$1,$S36:$HK36,csv!$L36:$HD36)),NA(),LOOKUP(HV$1,$S36:$HK36,csv!$L36:$HD36))</f>
        <v>0</v>
      </c>
      <c r="HW36" s="5">
        <f>IF(ISERROR(LOOKUP(HW$1,$S36:$HK36,csv!$L36:$HD36)),NA(),LOOKUP(HW$1,$S36:$HK36,csv!$L36:$HD36))</f>
        <v>0</v>
      </c>
      <c r="HX36" s="5">
        <f>IF(ISERROR(LOOKUP(HX$1,$S36:$HK36,csv!$L36:$HD36)),NA(),LOOKUP(HX$1,$S36:$HK36,csv!$L36:$HD36))</f>
        <v>0</v>
      </c>
      <c r="HY36" s="5">
        <f>IF(ISERROR(LOOKUP(HY$1,$S36:$HK36,csv!$L36:$HD36)),NA(),LOOKUP(HY$1,$S36:$HK36,csv!$L36:$HD36))</f>
        <v>0</v>
      </c>
      <c r="HZ36" s="5">
        <f>IF(ISERROR(LOOKUP(HZ$1,$S36:$HK36,csv!$L36:$HD36)),NA(),LOOKUP(HZ$1,$S36:$HK36,csv!$L36:$HD36))</f>
        <v>0</v>
      </c>
      <c r="IA36" s="5">
        <f>IF(ISERROR(LOOKUP(IA$1,$S36:$HK36,csv!$L36:$HD36)),NA(),LOOKUP(IA$1,$S36:$HK36,csv!$L36:$HD36))</f>
        <v>0</v>
      </c>
      <c r="IB36" s="5">
        <f>IF(ISERROR(LOOKUP(IB$1,$S36:$HK36,csv!$L36:$HD36)),NA(),LOOKUP(IB$1,$S36:$HK36,csv!$L36:$HD36))</f>
        <v>0</v>
      </c>
      <c r="IC36" s="5">
        <f>IF(ISERROR(LOOKUP(IC$1,$S36:$HK36,csv!$L36:$HD36)),NA(),LOOKUP(IC$1,$S36:$HK36,csv!$L36:$HD36))</f>
        <v>0</v>
      </c>
      <c r="ID36" s="5">
        <f>IF(ISERROR(LOOKUP(ID$1,$S36:$HK36,csv!$L36:$HD36)),NA(),LOOKUP(ID$1,$S36:$HK36,csv!$L36:$HD36))</f>
        <v>0</v>
      </c>
      <c r="IE36" s="5">
        <f>IF(ISERROR(LOOKUP(IE$1,$S36:$HK36,csv!$L36:$HD36)),NA(),LOOKUP(IE$1,$S36:$HK36,csv!$L36:$HD36))</f>
        <v>0</v>
      </c>
      <c r="IF36" s="5">
        <f>IF(ISERROR(LOOKUP(IF$1,$S36:$HK36,csv!$L36:$HD36)),NA(),LOOKUP(IF$1,$S36:$HK36,csv!$L36:$HD36))</f>
        <v>0</v>
      </c>
      <c r="IG36" s="5">
        <f>IF(ISERROR(LOOKUP(IG$1,$S36:$HK36,csv!$L36:$HD36)),NA(),LOOKUP(IG$1,$S36:$HK36,csv!$L36:$HD36))</f>
        <v>0</v>
      </c>
      <c r="IH36" s="5">
        <f>IF(ISERROR(LOOKUP(IH$1,$S36:$HK36,csv!$L36:$HD36)),NA(),LOOKUP(IH$1,$S36:$HK36,csv!$L36:$HD36))</f>
        <v>0</v>
      </c>
      <c r="II36" s="5">
        <f>IF(ISERROR(LOOKUP(II$1,$S36:$HK36,csv!$L36:$HD36)),NA(),LOOKUP(II$1,$S36:$HK36,csv!$L36:$HD36))</f>
        <v>0</v>
      </c>
      <c r="IJ36" s="5">
        <f>IF(ISERROR(LOOKUP(IJ$1,$S36:$HK36,csv!$L36:$HD36)),NA(),LOOKUP(IJ$1,$S36:$HK36,csv!$L36:$HD36))</f>
        <v>0</v>
      </c>
      <c r="IK36" s="5">
        <f>IF(ISERROR(LOOKUP(IK$1,$S36:$HK36,csv!$L36:$HD36)),NA(),LOOKUP(IK$1,$S36:$HK36,csv!$L36:$HD36))</f>
        <v>0</v>
      </c>
      <c r="IL36" s="5">
        <f>IF(ISERROR(LOOKUP(IL$1,$S36:$HK36,csv!$L36:$HD36)),NA(),LOOKUP(IL$1,$S36:$HK36,csv!$L36:$HD36))</f>
        <v>0</v>
      </c>
      <c r="IM36" s="5">
        <f>IF(ISERROR(LOOKUP(IM$1,$S36:$HK36,csv!$L36:$HD36)),NA(),LOOKUP(IM$1,$S36:$HK36,csv!$L36:$HD36))</f>
        <v>0</v>
      </c>
      <c r="IN36" s="5">
        <f>IF(ISERROR(LOOKUP(IN$1,$S36:$HK36,csv!$L36:$HD36)),NA(),LOOKUP(IN$1,$S36:$HK36,csv!$L36:$HD36))</f>
        <v>0</v>
      </c>
      <c r="IO36" s="5">
        <f>IF(ISERROR(LOOKUP(IO$1,$S36:$HK36,csv!$L36:$HD36)),NA(),LOOKUP(IO$1,$S36:$HK36,csv!$L36:$HD36))</f>
        <v>0</v>
      </c>
      <c r="IP36" s="5">
        <f>IF(ISERROR(LOOKUP(IP$1,$S36:$HK36,csv!$L36:$HD36)),NA(),LOOKUP(IP$1,$S36:$HK36,csv!$L36:$HD36))</f>
        <v>0</v>
      </c>
      <c r="IQ36" s="5">
        <f>IF(ISERROR(LOOKUP(IQ$1,$S36:$HK36,csv!$L36:$HD36)),NA(),LOOKUP(IQ$1,$S36:$HK36,csv!$L36:$HD36))</f>
        <v>0</v>
      </c>
      <c r="IR36" s="5">
        <f>IF(ISERROR(LOOKUP(IR$1,$S36:$HK36,csv!$L36:$HD36)),NA(),LOOKUP(IR$1,$S36:$HK36,csv!$L36:$HD36))</f>
        <v>0</v>
      </c>
      <c r="IS36" s="5">
        <f>IF(ISERROR(LOOKUP(IS$1,$S36:$HK36,csv!$L36:$HD36)),NA(),LOOKUP(IS$1,$S36:$HK36,csv!$L36:$HD36))</f>
        <v>0</v>
      </c>
      <c r="IT36" s="5">
        <f>IF(ISERROR(LOOKUP(IT$1,$S36:$HK36,csv!$L36:$HD36)),NA(),LOOKUP(IT$1,$S36:$HK36,csv!$L36:$HD36))</f>
        <v>0</v>
      </c>
      <c r="IU36" s="5">
        <f>IF(ISERROR(LOOKUP(IU$1,$S36:$HK36,csv!$L36:$HD36)),NA(),LOOKUP(IU$1,$S36:$HK36,csv!$L36:$HD36))</f>
        <v>0</v>
      </c>
      <c r="IV36" s="5">
        <f>IF(ISERROR(LOOKUP(IV$1,$S36:$HK36,csv!$L36:$HD36)),NA(),LOOKUP(IV$1,$S36:$HK36,csv!$L36:$HD36))</f>
        <v>0</v>
      </c>
      <c r="IW36" s="5">
        <f>IF(ISERROR(LOOKUP(IW$1,$S36:$HK36,csv!$L36:$HD36)),NA(),LOOKUP(IW$1,$S36:$HK36,csv!$L36:$HD36))</f>
        <v>0</v>
      </c>
      <c r="IX36" s="5">
        <f>IF(ISERROR(LOOKUP(IX$1,$S36:$HK36,csv!$L36:$HD36)),NA(),LOOKUP(IX$1,$S36:$HK36,csv!$L36:$HD36))</f>
        <v>0</v>
      </c>
      <c r="IY36" s="5">
        <f>IF(ISERROR(LOOKUP(IY$1,$S36:$HK36,csv!$L36:$HD36)),NA(),LOOKUP(IY$1,$S36:$HK36,csv!$L36:$HD36))</f>
        <v>0</v>
      </c>
      <c r="IZ36" s="5">
        <f>IF(ISERROR(LOOKUP(IZ$1,$S36:$HK36,csv!$L36:$HD36)),NA(),LOOKUP(IZ$1,$S36:$HK36,csv!$L36:$HD36))</f>
        <v>0</v>
      </c>
      <c r="JA36" s="5">
        <f>IF(ISERROR(LOOKUP(JA$1,$S36:$HK36,csv!$L36:$HD36)),NA(),LOOKUP(JA$1,$S36:$HK36,csv!$L36:$HD36))</f>
        <v>0</v>
      </c>
      <c r="JB36" s="5">
        <f>IF(ISERROR(LOOKUP(JB$1,$S36:$HK36,csv!$L36:$HD36)),NA(),LOOKUP(JB$1,$S36:$HK36,csv!$L36:$HD36))</f>
        <v>0</v>
      </c>
      <c r="JC36" s="5">
        <f>IF(ISERROR(LOOKUP(JC$1,$S36:$HK36,csv!$L36:$HD36)),NA(),LOOKUP(JC$1,$S36:$HK36,csv!$L36:$HD36))</f>
        <v>0</v>
      </c>
      <c r="JD36" s="5">
        <f>IF(ISERROR(LOOKUP(JD$1,$S36:$HK36,csv!$L36:$HD36)),NA(),LOOKUP(JD$1,$S36:$HK36,csv!$L36:$HD36))</f>
        <v>0</v>
      </c>
      <c r="JE36" s="5">
        <f>IF(ISERROR(LOOKUP(JE$1,$S36:$HK36,csv!$L36:$HD36)),NA(),LOOKUP(JE$1,$S36:$HK36,csv!$L36:$HD36))</f>
        <v>0</v>
      </c>
      <c r="JF36" s="5">
        <f>IF(ISERROR(LOOKUP(JF$1,$S36:$HK36,csv!$L36:$HD36)),NA(),LOOKUP(JF$1,$S36:$HK36,csv!$L36:$HD36))</f>
        <v>0</v>
      </c>
      <c r="JG36" s="5">
        <f>IF(ISERROR(LOOKUP(JG$1,$S36:$HK36,csv!$L36:$HD36)),NA(),LOOKUP(JG$1,$S36:$HK36,csv!$L36:$HD36))</f>
        <v>0</v>
      </c>
      <c r="JH36" s="5">
        <f>IF(ISERROR(LOOKUP(JH$1,$S36:$HK36,csv!$L36:$HD36)),NA(),LOOKUP(JH$1,$S36:$HK36,csv!$L36:$HD36))</f>
        <v>0</v>
      </c>
      <c r="JI36" s="5">
        <f>IF(ISERROR(LOOKUP(JI$1,$S36:$HK36,csv!$L36:$HD36)),NA(),LOOKUP(JI$1,$S36:$HK36,csv!$L36:$HD36))</f>
        <v>0</v>
      </c>
      <c r="JJ36" s="5">
        <f>IF(ISERROR(LOOKUP(JJ$1,$S36:$HK36,csv!$L36:$HD36)),NA(),LOOKUP(JJ$1,$S36:$HK36,csv!$L36:$HD36))</f>
        <v>0</v>
      </c>
      <c r="JK36" s="5">
        <f>IF(ISERROR(LOOKUP(JK$1,$S36:$HK36,csv!$L36:$HD36)),NA(),LOOKUP(JK$1,$S36:$HK36,csv!$L36:$HD36))</f>
        <v>0</v>
      </c>
      <c r="JL36" s="5">
        <f>IF(ISERROR(LOOKUP(JL$1,$S36:$HK36,csv!$L36:$HD36)),NA(),LOOKUP(JL$1,$S36:$HK36,csv!$L36:$HD36))</f>
        <v>0</v>
      </c>
      <c r="JM36" s="5">
        <f>IF(ISERROR(LOOKUP(JM$1,$S36:$HK36,csv!$L36:$HD36)),NA(),LOOKUP(JM$1,$S36:$HK36,csv!$L36:$HD36))</f>
        <v>0</v>
      </c>
      <c r="JN36" s="5">
        <f>IF(ISERROR(LOOKUP(JN$1,$S36:$HK36,csv!$L36:$HD36)),NA(),LOOKUP(JN$1,$S36:$HK36,csv!$L36:$HD36))</f>
        <v>0</v>
      </c>
      <c r="JO36" s="5">
        <f>IF(ISERROR(LOOKUP(JO$1,$S36:$HK36,csv!$L36:$HD36)),NA(),LOOKUP(JO$1,$S36:$HK36,csv!$L36:$HD36))</f>
        <v>0</v>
      </c>
      <c r="JP36" s="5">
        <f>IF(ISERROR(LOOKUP(JP$1,$S36:$HK36,csv!$L36:$HD36)),NA(),LOOKUP(JP$1,$S36:$HK36,csv!$L36:$HD36))</f>
        <v>0</v>
      </c>
      <c r="JQ36" s="5">
        <f>IF(ISERROR(LOOKUP(JQ$1,$S36:$HK36,csv!$L36:$HD36)),NA(),LOOKUP(JQ$1,$S36:$HK36,csv!$L36:$HD36))</f>
        <v>0</v>
      </c>
      <c r="JR36" s="5">
        <f>IF(ISERROR(LOOKUP(JR$1,$S36:$HK36,csv!$L36:$HD36)),NA(),LOOKUP(JR$1,$S36:$HK36,csv!$L36:$HD36))</f>
        <v>0</v>
      </c>
      <c r="JS36" s="5">
        <f>IF(ISERROR(LOOKUP(JS$1,$S36:$HK36,csv!$L36:$HD36)),NA(),LOOKUP(JS$1,$S36:$HK36,csv!$L36:$HD36))</f>
        <v>0</v>
      </c>
      <c r="JT36" s="5">
        <f>IF(ISERROR(LOOKUP(JT$1,$S36:$HK36,csv!$L36:$HD36)),NA(),LOOKUP(JT$1,$S36:$HK36,csv!$L36:$HD36))</f>
        <v>0</v>
      </c>
      <c r="JU36" s="5">
        <f>IF(ISERROR(LOOKUP(JU$1,$S36:$HK36,csv!$L36:$HD36)),NA(),LOOKUP(JU$1,$S36:$HK36,csv!$L36:$HD36))</f>
        <v>0</v>
      </c>
      <c r="JV36" s="5">
        <f>IF(ISERROR(LOOKUP(JV$1,$S36:$HK36,csv!$L36:$HD36)),NA(),LOOKUP(JV$1,$S36:$HK36,csv!$L36:$HD36))</f>
        <v>0</v>
      </c>
      <c r="JW36" s="5">
        <f>IF(ISERROR(LOOKUP(JW$1,$S36:$HK36,csv!$L36:$HD36)),NA(),LOOKUP(JW$1,$S36:$HK36,csv!$L36:$HD36))</f>
        <v>0</v>
      </c>
      <c r="JX36" s="5">
        <f>IF(ISERROR(LOOKUP(JX$1,$S36:$HK36,csv!$L36:$HD36)),NA(),LOOKUP(JX$1,$S36:$HK36,csv!$L36:$HD36))</f>
        <v>0</v>
      </c>
      <c r="JY36" s="5">
        <f>IF(ISERROR(LOOKUP(JY$1,$S36:$HK36,csv!$L36:$HD36)),NA(),LOOKUP(JY$1,$S36:$HK36,csv!$L36:$HD36))</f>
        <v>0</v>
      </c>
      <c r="JZ36" s="5">
        <f>IF(ISERROR(LOOKUP(JZ$1,$S36:$HK36,csv!$L36:$HD36)),NA(),LOOKUP(JZ$1,$S36:$HK36,csv!$L36:$HD36))</f>
        <v>0</v>
      </c>
      <c r="KA36" s="5">
        <f>IF(ISERROR(LOOKUP(KA$1,$S36:$HK36,csv!$L36:$HD36)),NA(),LOOKUP(KA$1,$S36:$HK36,csv!$L36:$HD36))</f>
        <v>0</v>
      </c>
      <c r="KB36" s="5">
        <f>IF(ISERROR(LOOKUP(KB$1,$S36:$HK36,csv!$L36:$HD36)),NA(),LOOKUP(KB$1,$S36:$HK36,csv!$L36:$HD36))</f>
        <v>0</v>
      </c>
      <c r="KC36" s="5">
        <f>IF(ISERROR(LOOKUP(KC$1,$S36:$HK36,csv!$L36:$HD36)),NA(),LOOKUP(KC$1,$S36:$HK36,csv!$L36:$HD36))</f>
        <v>0</v>
      </c>
      <c r="KD36" s="5">
        <f>IF(ISERROR(LOOKUP(KD$1,$S36:$HK36,csv!$L36:$HD36)),NA(),LOOKUP(KD$1,$S36:$HK36,csv!$L36:$HD36))</f>
        <v>0</v>
      </c>
      <c r="KE36" s="5">
        <f>IF(ISERROR(LOOKUP(KE$1,$S36:$HK36,csv!$L36:$HD36)),NA(),LOOKUP(KE$1,$S36:$HK36,csv!$L36:$HD36))</f>
        <v>0</v>
      </c>
      <c r="KF36" s="5">
        <f>IF(ISERROR(LOOKUP(KF$1,$S36:$HK36,csv!$L36:$HD36)),NA(),LOOKUP(KF$1,$S36:$HK36,csv!$L36:$HD36))</f>
        <v>0</v>
      </c>
      <c r="KG36" s="5">
        <f>IF(ISERROR(LOOKUP(KG$1,$S36:$HK36,csv!$L36:$HD36)),NA(),LOOKUP(KG$1,$S36:$HK36,csv!$L36:$HD36))</f>
        <v>0</v>
      </c>
      <c r="KH36" s="5">
        <f>IF(ISERROR(LOOKUP(KH$1,$S36:$HK36,csv!$L36:$HD36)),NA(),LOOKUP(KH$1,$S36:$HK36,csv!$L36:$HD36))</f>
        <v>0</v>
      </c>
      <c r="KI36" s="5">
        <f>IF(ISERROR(LOOKUP(KI$1,$S36:$HK36,csv!$L36:$HD36)),NA(),LOOKUP(KI$1,$S36:$HK36,csv!$L36:$HD36))</f>
        <v>0</v>
      </c>
      <c r="KJ36" s="5">
        <f>IF(ISERROR(LOOKUP(KJ$1,$S36:$HK36,csv!$L36:$HD36)),NA(),LOOKUP(KJ$1,$S36:$HK36,csv!$L36:$HD36))</f>
        <v>0</v>
      </c>
      <c r="KK36" s="5">
        <f>IF(ISERROR(LOOKUP(KK$1,$S36:$HK36,csv!$L36:$HD36)),NA(),LOOKUP(KK$1,$S36:$HK36,csv!$L36:$HD36))</f>
        <v>0</v>
      </c>
      <c r="KL36" s="5">
        <f>IF(ISERROR(LOOKUP(KL$1,$S36:$HK36,csv!$L36:$HD36)),NA(),LOOKUP(KL$1,$S36:$HK36,csv!$L36:$HD36))</f>
        <v>0</v>
      </c>
      <c r="KM36" s="5">
        <f>IF(ISERROR(LOOKUP(KM$1,$S36:$HK36,csv!$L36:$HD36)),NA(),LOOKUP(KM$1,$S36:$HK36,csv!$L36:$HD36))</f>
        <v>0</v>
      </c>
      <c r="KN36" s="5">
        <f>IF(ISERROR(LOOKUP(KN$1,$S36:$HK36,csv!$L36:$HD36)),NA(),LOOKUP(KN$1,$S36:$HK36,csv!$L36:$HD36))</f>
        <v>0</v>
      </c>
      <c r="KO36" s="5">
        <f>IF(ISERROR(LOOKUP(KO$1,$S36:$HK36,csv!$L36:$HD36)),NA(),LOOKUP(KO$1,$S36:$HK36,csv!$L36:$HD36))</f>
        <v>0</v>
      </c>
      <c r="KP36" s="5">
        <f>IF(ISERROR(LOOKUP(KP$1,$S36:$HK36,csv!$L36:$HD36)),NA(),LOOKUP(KP$1,$S36:$HK36,csv!$L36:$HD36))</f>
        <v>0</v>
      </c>
      <c r="KQ36" s="5">
        <f>IF(ISERROR(LOOKUP(KQ$1,$S36:$HK36,csv!$L36:$HD36)),NA(),LOOKUP(KQ$1,$S36:$HK36,csv!$L36:$HD36))</f>
        <v>0</v>
      </c>
      <c r="KR36" s="5">
        <f>IF(ISERROR(LOOKUP(KR$1,$S36:$HK36,csv!$L36:$HD36)),NA(),LOOKUP(KR$1,$S36:$HK36,csv!$L36:$HD36))</f>
        <v>0</v>
      </c>
      <c r="KS36" s="5">
        <f>IF(ISERROR(LOOKUP(KS$1,$S36:$HK36,csv!$L36:$HD36)),NA(),LOOKUP(KS$1,$S36:$HK36,csv!$L36:$HD36))</f>
        <v>0</v>
      </c>
      <c r="KT36" s="5">
        <f>IF(ISERROR(LOOKUP(KT$1,$S36:$HK36,csv!$L36:$HD36)),NA(),LOOKUP(KT$1,$S36:$HK36,csv!$L36:$HD36))</f>
        <v>0</v>
      </c>
      <c r="KU36" s="5">
        <f>IF(ISERROR(LOOKUP(KU$1,$S36:$HK36,csv!$L36:$HD36)),NA(),LOOKUP(KU$1,$S36:$HK36,csv!$L36:$HD36))</f>
        <v>0</v>
      </c>
      <c r="KV36" s="5">
        <f>IF(ISERROR(LOOKUP(KV$1,$S36:$HK36,csv!$L36:$HD36)),NA(),LOOKUP(KV$1,$S36:$HK36,csv!$L36:$HD36))</f>
        <v>0</v>
      </c>
      <c r="KW36" s="5">
        <f>IF(ISERROR(LOOKUP(KW$1,$S36:$HK36,csv!$L36:$HD36)),NA(),LOOKUP(KW$1,$S36:$HK36,csv!$L36:$HD36))</f>
        <v>0</v>
      </c>
      <c r="KX36" s="5">
        <f>IF(ISERROR(LOOKUP(KX$1,$S36:$HK36,csv!$L36:$HD36)),NA(),LOOKUP(KX$1,$S36:$HK36,csv!$L36:$HD36))</f>
        <v>0</v>
      </c>
      <c r="KY36" s="5">
        <f>IF(ISERROR(LOOKUP(KY$1,$S36:$HK36,csv!$L36:$HD36)),NA(),LOOKUP(KY$1,$S36:$HK36,csv!$L36:$HD36))</f>
        <v>0</v>
      </c>
      <c r="KZ36" s="5">
        <f>IF(ISERROR(LOOKUP(KZ$1,$S36:$HK36,csv!$L36:$HD36)),NA(),LOOKUP(KZ$1,$S36:$HK36,csv!$L36:$HD36))</f>
        <v>0</v>
      </c>
      <c r="LA36" s="5">
        <f>IF(ISERROR(LOOKUP(LA$1,$S36:$HK36,csv!$L36:$HD36)),NA(),LOOKUP(LA$1,$S36:$HK36,csv!$L36:$HD36))</f>
        <v>0</v>
      </c>
      <c r="LB36" s="5">
        <f>IF(ISERROR(LOOKUP(LB$1,$S36:$HK36,csv!$L36:$HD36)),NA(),LOOKUP(LB$1,$S36:$HK36,csv!$L36:$HD36))</f>
        <v>0</v>
      </c>
      <c r="LC36" s="5">
        <f>IF(ISERROR(LOOKUP(LC$1,$S36:$HK36,csv!$L36:$HD36)),NA(),LOOKUP(LC$1,$S36:$HK36,csv!$L36:$HD36))</f>
        <v>0</v>
      </c>
      <c r="LD36" s="5">
        <f>IF(ISERROR(LOOKUP(LD$1,$S36:$HK36,csv!$L36:$HD36)),NA(),LOOKUP(LD$1,$S36:$HK36,csv!$L36:$HD36))</f>
        <v>0</v>
      </c>
      <c r="LE36" s="5">
        <f>IF(ISERROR(LOOKUP(LE$1,$S36:$HK36,csv!$L36:$HD36)),NA(),LOOKUP(LE$1,$S36:$HK36,csv!$L36:$HD36))</f>
        <v>0</v>
      </c>
      <c r="LF36" s="5">
        <f>IF(ISERROR(LOOKUP(LF$1,$S36:$HK36,csv!$L36:$HD36)),NA(),LOOKUP(LF$1,$S36:$HK36,csv!$L36:$HD36))</f>
        <v>0</v>
      </c>
      <c r="LG36" s="5">
        <f>IF(ISERROR(LOOKUP(LG$1,$S36:$HK36,csv!$L36:$HD36)),NA(),LOOKUP(LG$1,$S36:$HK36,csv!$L36:$HD36))</f>
        <v>0</v>
      </c>
      <c r="LH36" s="5">
        <f>IF(ISERROR(LOOKUP(LH$1,$S36:$HK36,csv!$L36:$HD36)),NA(),LOOKUP(LH$1,$S36:$HK36,csv!$L36:$HD36))</f>
        <v>0</v>
      </c>
      <c r="LI36" s="5">
        <f>IF(ISERROR(LOOKUP(LI$1,$S36:$HK36,csv!$L36:$HD36)),NA(),LOOKUP(LI$1,$S36:$HK36,csv!$L36:$HD36))</f>
        <v>0</v>
      </c>
      <c r="LJ36" s="5">
        <f>IF(ISERROR(LOOKUP(LJ$1,$S36:$HK36,csv!$L36:$HD36)),NA(),LOOKUP(LJ$1,$S36:$HK36,csv!$L36:$HD36))</f>
        <v>0</v>
      </c>
      <c r="LK36" s="5">
        <f>IF(ISERROR(LOOKUP(LK$1,$S36:$HK36,csv!$L36:$HD36)),NA(),LOOKUP(LK$1,$S36:$HK36,csv!$L36:$HD36))</f>
        <v>0</v>
      </c>
      <c r="LL36" s="5">
        <f>IF(ISERROR(LOOKUP(LL$1,$S36:$HK36,csv!$L36:$HD36)),NA(),LOOKUP(LL$1,$S36:$HK36,csv!$L36:$HD36))</f>
        <v>0</v>
      </c>
      <c r="LM36" s="5">
        <f>IF(ISERROR(LOOKUP(LM$1,$S36:$HK36,csv!$L36:$HD36)),NA(),LOOKUP(LM$1,$S36:$HK36,csv!$L36:$HD36))</f>
        <v>0</v>
      </c>
      <c r="LN36" s="5">
        <f>IF(ISERROR(LOOKUP(LN$1,$S36:$HK36,csv!$L36:$HD36)),NA(),LOOKUP(LN$1,$S36:$HK36,csv!$L36:$HD36))</f>
        <v>0</v>
      </c>
      <c r="LO36" s="5">
        <f>IF(ISERROR(LOOKUP(LO$1,$S36:$HK36,csv!$L36:$HD36)),NA(),LOOKUP(LO$1,$S36:$HK36,csv!$L36:$HD36))</f>
        <v>0</v>
      </c>
      <c r="LP36" s="5">
        <f>IF(ISERROR(LOOKUP(LP$1,$S36:$HK36,csv!$L36:$HD36)),NA(),LOOKUP(LP$1,$S36:$HK36,csv!$L36:$HD36))</f>
        <v>0</v>
      </c>
      <c r="LQ36" s="5">
        <f>IF(ISERROR(LOOKUP(LQ$1,$S36:$HK36,csv!$L36:$HD36)),NA(),LOOKUP(LQ$1,$S36:$HK36,csv!$L36:$HD36))</f>
        <v>0</v>
      </c>
      <c r="LR36" s="5">
        <f>IF(ISERROR(LOOKUP(LR$1,$S36:$HK36,csv!$L36:$HD36)),NA(),LOOKUP(LR$1,$S36:$HK36,csv!$L36:$HD36))</f>
        <v>0</v>
      </c>
      <c r="LS36" s="5">
        <f>IF(ISERROR(LOOKUP(LS$1,$S36:$HK36,csv!$L36:$HD36)),NA(),LOOKUP(LS$1,$S36:$HK36,csv!$L36:$HD36))</f>
        <v>0</v>
      </c>
      <c r="LT36" s="5">
        <f>IF(ISERROR(LOOKUP(LT$1,$S36:$HK36,csv!$L36:$HD36)),NA(),LOOKUP(LT$1,$S36:$HK36,csv!$L36:$HD36))</f>
        <v>0</v>
      </c>
      <c r="LU36" s="5">
        <f>IF(ISERROR(LOOKUP(LU$1,$S36:$HK36,csv!$L36:$HD36)),NA(),LOOKUP(LU$1,$S36:$HK36,csv!$L36:$HD36))</f>
        <v>0</v>
      </c>
      <c r="LV36" s="5">
        <f>IF(ISERROR(LOOKUP(LV$1,$S36:$HK36,csv!$L36:$HD36)),NA(),LOOKUP(LV$1,$S36:$HK36,csv!$L36:$HD36))</f>
        <v>0</v>
      </c>
      <c r="LW36" s="5">
        <f>IF(ISERROR(LOOKUP(LW$1,$S36:$HK36,csv!$L36:$HD36)),NA(),LOOKUP(LW$1,$S36:$HK36,csv!$L36:$HD36))</f>
        <v>0</v>
      </c>
      <c r="LX36" s="5">
        <f>IF(ISERROR(LOOKUP(LX$1,$S36:$HK36,csv!$L36:$HD36)),NA(),LOOKUP(LX$1,$S36:$HK36,csv!$L36:$HD36))</f>
        <v>0</v>
      </c>
      <c r="LY36" s="5">
        <f>IF(ISERROR(LOOKUP(LY$1,$S36:$HK36,csv!$L36:$HD36)),NA(),LOOKUP(LY$1,$S36:$HK36,csv!$L36:$HD36))</f>
        <v>0</v>
      </c>
      <c r="LZ36" s="5">
        <f>IF(ISERROR(LOOKUP(LZ$1,$S36:$HK36,csv!$L36:$HD36)),NA(),LOOKUP(LZ$1,$S36:$HK36,csv!$L36:$HD36))</f>
        <v>0</v>
      </c>
      <c r="MA36" s="5">
        <f>IF(ISERROR(LOOKUP(MA$1,$S36:$HK36,csv!$L36:$HD36)),NA(),LOOKUP(MA$1,$S36:$HK36,csv!$L36:$HD36))</f>
        <v>0</v>
      </c>
      <c r="MB36" s="5">
        <f>IF(ISERROR(LOOKUP(MB$1,$S36:$HK36,csv!$L36:$HD36)),NA(),LOOKUP(MB$1,$S36:$HK36,csv!$L36:$HD36))</f>
        <v>0</v>
      </c>
      <c r="MC36" s="5">
        <f>IF(ISERROR(LOOKUP(MC$1,$S36:$HK36,csv!$L36:$HD36)),NA(),LOOKUP(MC$1,$S36:$HK36,csv!$L36:$HD36))</f>
        <v>0</v>
      </c>
      <c r="MD36" s="5">
        <f>IF(ISERROR(LOOKUP(MD$1,$S36:$HK36,csv!$L36:$HD36)),NA(),LOOKUP(MD$1,$S36:$HK36,csv!$L36:$HD36))</f>
        <v>0</v>
      </c>
      <c r="ME36" s="5">
        <f>IF(ISERROR(LOOKUP(ME$1,$S36:$HK36,csv!$L36:$HD36)),NA(),LOOKUP(ME$1,$S36:$HK36,csv!$L36:$HD36))</f>
        <v>0</v>
      </c>
      <c r="MF36" s="5">
        <f>IF(ISERROR(LOOKUP(MF$1,$S36:$HK36,csv!$L36:$HD36)),NA(),LOOKUP(MF$1,$S36:$HK36,csv!$L36:$HD36))</f>
        <v>0</v>
      </c>
      <c r="MG36" s="5">
        <f>IF(ISERROR(LOOKUP(MG$1,$S36:$HK36,csv!$L36:$HD36)),NA(),LOOKUP(MG$1,$S36:$HK36,csv!$L36:$HD36))</f>
        <v>0</v>
      </c>
      <c r="MH36" s="5">
        <f>IF(ISERROR(LOOKUP(MH$1,$S36:$HK36,csv!$L36:$HD36)),NA(),LOOKUP(MH$1,$S36:$HK36,csv!$L36:$HD36))</f>
        <v>0</v>
      </c>
      <c r="MI36" s="5">
        <f>IF(ISERROR(LOOKUP(MI$1,$S36:$HK36,csv!$L36:$HD36)),NA(),LOOKUP(MI$1,$S36:$HK36,csv!$L36:$HD36))</f>
        <v>0</v>
      </c>
      <c r="MJ36" s="5">
        <f>IF(ISERROR(LOOKUP(MJ$1,$S36:$HK36,csv!$L36:$HD36)),NA(),LOOKUP(MJ$1,$S36:$HK36,csv!$L36:$HD36))</f>
        <v>0</v>
      </c>
      <c r="MK36" s="5">
        <f>IF(ISERROR(LOOKUP(MK$1,$S36:$HK36,csv!$L36:$HD36)),NA(),LOOKUP(MK$1,$S36:$HK36,csv!$L36:$HD36))</f>
        <v>0</v>
      </c>
      <c r="ML36" s="5">
        <f>IF(ISERROR(LOOKUP(ML$1,$S36:$HK36,csv!$L36:$HD36)),NA(),LOOKUP(ML$1,$S36:$HK36,csv!$L36:$HD36))</f>
        <v>0</v>
      </c>
      <c r="MM36" s="5">
        <f>IF(ISERROR(LOOKUP(MM$1,$S36:$HK36,csv!$L36:$HD36)),NA(),LOOKUP(MM$1,$S36:$HK36,csv!$L36:$HD36))</f>
        <v>0</v>
      </c>
      <c r="MN36" s="5">
        <f>IF(ISERROR(LOOKUP(MN$1,$S36:$HK36,csv!$L36:$HD36)),NA(),LOOKUP(MN$1,$S36:$HK36,csv!$L36:$HD36))</f>
        <v>0</v>
      </c>
      <c r="MO36" s="5">
        <f>IF(ISERROR(LOOKUP(MO$1,$S36:$HK36,csv!$L36:$HD36)),NA(),LOOKUP(MO$1,$S36:$HK36,csv!$L36:$HD36))</f>
        <v>0</v>
      </c>
      <c r="MP36" s="5">
        <f>IF(ISERROR(LOOKUP(MP$1,$S36:$HK36,csv!$L36:$HD36)),NA(),LOOKUP(MP$1,$S36:$HK36,csv!$L36:$HD36))</f>
        <v>0</v>
      </c>
      <c r="MQ36" s="5">
        <f>IF(ISERROR(LOOKUP(MQ$1,$S36:$HK36,csv!$L36:$HD36)),NA(),LOOKUP(MQ$1,$S36:$HK36,csv!$L36:$HD36))</f>
        <v>0</v>
      </c>
      <c r="MR36" s="5">
        <f>IF(ISERROR(LOOKUP(MR$1,$S36:$HK36,csv!$L36:$HD36)),NA(),LOOKUP(MR$1,$S36:$HK36,csv!$L36:$HD36))</f>
        <v>0</v>
      </c>
      <c r="MS36" s="5">
        <f>IF(ISERROR(LOOKUP(MS$1,$S36:$HK36,csv!$L36:$HD36)),NA(),LOOKUP(MS$1,$S36:$HK36,csv!$L36:$HD36))</f>
        <v>0</v>
      </c>
      <c r="MT36" s="5">
        <f>IF(ISERROR(LOOKUP(MT$1,$S36:$HK36,csv!$L36:$HD36)),NA(),LOOKUP(MT$1,$S36:$HK36,csv!$L36:$HD36))</f>
        <v>0</v>
      </c>
      <c r="MU36" s="5">
        <f>IF(ISERROR(LOOKUP(MU$1,$S36:$HK36,csv!$L36:$HD36)),NA(),LOOKUP(MU$1,$S36:$HK36,csv!$L36:$HD36))</f>
        <v>0</v>
      </c>
      <c r="MV36" s="5">
        <f>IF(ISERROR(LOOKUP(MV$1,$S36:$HK36,csv!$L36:$HD36)),NA(),LOOKUP(MV$1,$S36:$HK36,csv!$L36:$HD36))</f>
        <v>0</v>
      </c>
      <c r="MW36" s="5">
        <f>IF(ISERROR(LOOKUP(MW$1,$S36:$HK36,csv!$L36:$HD36)),NA(),LOOKUP(MW$1,$S36:$HK36,csv!$L36:$HD36))</f>
        <v>0</v>
      </c>
      <c r="MX36" s="5">
        <f>IF(ISERROR(LOOKUP(MX$1,$S36:$HK36,csv!$L36:$HD36)),NA(),LOOKUP(MX$1,$S36:$HK36,csv!$L36:$HD36))</f>
        <v>0</v>
      </c>
      <c r="MY36" s="5">
        <f>IF(ISERROR(LOOKUP(MY$1,$S36:$HK36,csv!$L36:$HD36)),NA(),LOOKUP(MY$1,$S36:$HK36,csv!$L36:$HD36))</f>
        <v>0</v>
      </c>
      <c r="MZ36" s="5">
        <f>IF(ISERROR(LOOKUP(MZ$1,$S36:$HK36,csv!$L36:$HD36)),NA(),LOOKUP(MZ$1,$S36:$HK36,csv!$L36:$HD36))</f>
        <v>0</v>
      </c>
      <c r="NA36" s="5">
        <f>IF(ISERROR(LOOKUP(NA$1,$S36:$HK36,csv!$L36:$HD36)),NA(),LOOKUP(NA$1,$S36:$HK36,csv!$L36:$HD36))</f>
        <v>0</v>
      </c>
      <c r="NB36" s="5">
        <f>IF(ISERROR(LOOKUP(NB$1,$S36:$HK36,csv!$L36:$HD36)),NA(),LOOKUP(NB$1,$S36:$HK36,csv!$L36:$HD36))</f>
        <v>0</v>
      </c>
      <c r="NC36" s="5">
        <f>IF(ISERROR(LOOKUP(NC$1,$S36:$HK36,csv!$L36:$HD36)),NA(),LOOKUP(NC$1,$S36:$HK36,csv!$L36:$HD36))</f>
        <v>0</v>
      </c>
      <c r="ND36" s="5">
        <f>IF(ISERROR(LOOKUP(ND$1,$S36:$HK36,csv!$L36:$HD36)),NA(),LOOKUP(ND$1,$S36:$HK36,csv!$L36:$HD36))</f>
        <v>0</v>
      </c>
      <c r="NE36" s="5">
        <f>IF(ISERROR(LOOKUP(NE$1,$S36:$HK36,csv!$L36:$HD36)),NA(),LOOKUP(NE$1,$S36:$HK36,csv!$L36:$HD36))</f>
        <v>0</v>
      </c>
      <c r="NF36" s="5">
        <f>IF(ISERROR(LOOKUP(NF$1,$S36:$HK36,csv!$L36:$HD36)),NA(),LOOKUP(NF$1,$S36:$HK36,csv!$L36:$HD36))</f>
        <v>0</v>
      </c>
      <c r="NG36" s="5">
        <f>IF(ISERROR(LOOKUP(NG$1,$S36:$HK36,csv!$L36:$HD36)),NA(),LOOKUP(NG$1,$S36:$HK36,csv!$L36:$HD36))</f>
        <v>0</v>
      </c>
      <c r="NH36" s="5">
        <f>IF(ISERROR(LOOKUP(NH$1,$S36:$HK36,csv!$L36:$HD36)),NA(),LOOKUP(NH$1,$S36:$HK36,csv!$L36:$HD36))</f>
        <v>0</v>
      </c>
      <c r="NI36" s="5">
        <f>IF(ISERROR(LOOKUP(NI$1,$S36:$HK36,csv!$L36:$HD36)),NA(),LOOKUP(NI$1,$S36:$HK36,csv!$L36:$HD36))</f>
        <v>0</v>
      </c>
      <c r="NJ36" s="5">
        <f>IF(ISERROR(LOOKUP(NJ$1,$S36:$HK36,csv!$L36:$HD36)),NA(),LOOKUP(NJ$1,$S36:$HK36,csv!$L36:$HD36))</f>
        <v>0</v>
      </c>
      <c r="NK36" s="5">
        <f>IF(ISERROR(LOOKUP(NK$1,$S36:$HK36,csv!$L36:$HD36)),NA(),LOOKUP(NK$1,$S36:$HK36,csv!$L36:$HD36))</f>
        <v>0</v>
      </c>
      <c r="NL36" s="5">
        <f>IF(ISERROR(LOOKUP(NL$1,$S36:$HK36,csv!$L36:$HD36)),NA(),LOOKUP(NL$1,$S36:$HK36,csv!$L36:$HD36))</f>
        <v>0</v>
      </c>
      <c r="NM36" s="5">
        <f>IF(ISERROR(LOOKUP(NM$1,$S36:$HK36,csv!$L36:$HD36)),NA(),LOOKUP(NM$1,$S36:$HK36,csv!$L36:$HD36))</f>
        <v>0</v>
      </c>
      <c r="NN36" s="5">
        <f>IF(ISERROR(LOOKUP(NN$1,$S36:$HK36,csv!$L36:$HD36)),NA(),LOOKUP(NN$1,$S36:$HK36,csv!$L36:$HD36))</f>
        <v>0</v>
      </c>
      <c r="NO36" s="5">
        <f>IF(ISERROR(LOOKUP(NO$1,$S36:$HK36,csv!$L36:$HD36)),NA(),LOOKUP(NO$1,$S36:$HK36,csv!$L36:$HD36))</f>
        <v>0</v>
      </c>
      <c r="NP36" s="5">
        <f>IF(ISERROR(LOOKUP(NP$1,$S36:$HK36,csv!$L36:$HD36)),NA(),LOOKUP(NP$1,$S36:$HK36,csv!$L36:$HD36))</f>
        <v>0</v>
      </c>
      <c r="NQ36" s="5">
        <f>IF(ISERROR(LOOKUP(NQ$1,$S36:$HK36,csv!$L36:$HD36)),NA(),LOOKUP(NQ$1,$S36:$HK36,csv!$L36:$HD36))</f>
        <v>0</v>
      </c>
      <c r="NR36" s="5">
        <f>IF(ISERROR(LOOKUP(NR$1,$S36:$HK36,csv!$L36:$HD36)),NA(),LOOKUP(NR$1,$S36:$HK36,csv!$L36:$HD36))</f>
        <v>0</v>
      </c>
      <c r="NS36" s="5">
        <f>IF(ISERROR(LOOKUP(NS$1,$S36:$HK36,csv!$L36:$HD36)),NA(),LOOKUP(NS$1,$S36:$HK36,csv!$L36:$HD36))</f>
        <v>0</v>
      </c>
      <c r="NT36" s="5">
        <f>IF(ISERROR(LOOKUP(NT$1,$S36:$HK36,csv!$L36:$HD36)),NA(),LOOKUP(NT$1,$S36:$HK36,csv!$L36:$HD36))</f>
        <v>0</v>
      </c>
      <c r="NU36" s="5">
        <f>IF(ISERROR(LOOKUP(NU$1,$S36:$HK36,csv!$L36:$HD36)),NA(),LOOKUP(NU$1,$S36:$HK36,csv!$L36:$HD36))</f>
        <v>0</v>
      </c>
      <c r="NV36" s="5">
        <f>IF(ISERROR(LOOKUP(NV$1,$S36:$HK36,csv!$L36:$HD36)),NA(),LOOKUP(NV$1,$S36:$HK36,csv!$L36:$HD36))</f>
        <v>0</v>
      </c>
      <c r="NW36" s="5">
        <f>IF(ISERROR(LOOKUP(NW$1,$S36:$HK36,csv!$L36:$HD36)),NA(),LOOKUP(NW$1,$S36:$HK36,csv!$L36:$HD36))</f>
        <v>0</v>
      </c>
      <c r="NX36" s="5">
        <f>IF(ISERROR(LOOKUP(NX$1,$S36:$HK36,csv!$L36:$HD36)),NA(),LOOKUP(NX$1,$S36:$HK36,csv!$L36:$HD36))</f>
        <v>0</v>
      </c>
      <c r="NY36" s="5">
        <f>IF(ISERROR(LOOKUP(NY$1,$S36:$HK36,csv!$L36:$HD36)),NA(),LOOKUP(NY$1,$S36:$HK36,csv!$L36:$HD36))</f>
        <v>0</v>
      </c>
      <c r="NZ36" s="5">
        <f>IF(ISERROR(LOOKUP(NZ$1,$S36:$HK36,csv!$L36:$HD36)),NA(),LOOKUP(NZ$1,$S36:$HK36,csv!$L36:$HD36))</f>
        <v>0</v>
      </c>
      <c r="OA36" s="5">
        <f>IF(ISERROR(LOOKUP(OA$1,$S36:$HK36,csv!$L36:$HD36)),NA(),LOOKUP(OA$1,$S36:$HK36,csv!$L36:$HD36))</f>
        <v>0</v>
      </c>
      <c r="OB36" s="5">
        <f>IF(ISERROR(LOOKUP(OB$1,$S36:$HK36,csv!$L36:$HD36)),NA(),LOOKUP(OB$1,$S36:$HK36,csv!$L36:$HD36))</f>
        <v>0</v>
      </c>
      <c r="OC36" s="5">
        <f>IF(ISERROR(LOOKUP(OC$1,$S36:$HK36,csv!$L36:$HD36)),NA(),LOOKUP(OC$1,$S36:$HK36,csv!$L36:$HD36))</f>
        <v>0</v>
      </c>
      <c r="OD36" s="5">
        <f>IF(ISERROR(LOOKUP(OD$1,$S36:$HK36,csv!$L36:$HD36)),NA(),LOOKUP(OD$1,$S36:$HK36,csv!$L36:$HD36))</f>
        <v>0</v>
      </c>
      <c r="OE36" s="5">
        <f>IF(ISERROR(LOOKUP(OE$1,$S36:$HK36,csv!$L36:$HD36)),NA(),LOOKUP(OE$1,$S36:$HK36,csv!$L36:$HD36))</f>
        <v>0</v>
      </c>
      <c r="OF36" s="5">
        <f>IF(ISERROR(LOOKUP(OF$1,$S36:$HK36,csv!$L36:$HD36)),NA(),LOOKUP(OF$1,$S36:$HK36,csv!$L36:$HD36))</f>
        <v>0</v>
      </c>
      <c r="OG36" s="5">
        <f>IF(ISERROR(LOOKUP(OG$1,$S36:$HK36,csv!$L36:$HD36)),NA(),LOOKUP(OG$1,$S36:$HK36,csv!$L36:$HD36))</f>
        <v>0</v>
      </c>
      <c r="OH36" s="5">
        <f>IF(ISERROR(LOOKUP(OH$1,$S36:$HK36,csv!$L36:$HD36)),NA(),LOOKUP(OH$1,$S36:$HK36,csv!$L36:$HD36))</f>
        <v>0</v>
      </c>
      <c r="OI36" s="5">
        <f>IF(ISERROR(LOOKUP(OI$1,$S36:$HK36,csv!$L36:$HD36)),NA(),LOOKUP(OI$1,$S36:$HK36,csv!$L36:$HD36))</f>
        <v>0</v>
      </c>
      <c r="OJ36" s="5">
        <f>IF(ISERROR(LOOKUP(OJ$1,$S36:$HK36,csv!$L36:$HD36)),NA(),LOOKUP(OJ$1,$S36:$HK36,csv!$L36:$HD36))</f>
        <v>0</v>
      </c>
      <c r="OK36" s="5">
        <f>IF(ISERROR(LOOKUP(OK$1,$S36:$HK36,csv!$L36:$HD36)),NA(),LOOKUP(OK$1,$S36:$HK36,csv!$L36:$HD36))</f>
        <v>0</v>
      </c>
      <c r="OL36" s="5">
        <f>IF(ISERROR(LOOKUP(OL$1,$S36:$HK36,csv!$L36:$HD36)),NA(),LOOKUP(OL$1,$S36:$HK36,csv!$L36:$HD36))</f>
        <v>0</v>
      </c>
      <c r="OM36" s="5">
        <f>IF(ISERROR(LOOKUP(OM$1,$S36:$HK36,csv!$L36:$HD36)),NA(),LOOKUP(OM$1,$S36:$HK36,csv!$L36:$HD36))</f>
        <v>0</v>
      </c>
      <c r="ON36" s="5">
        <f>IF(ISERROR(LOOKUP(ON$1,$S36:$HK36,csv!$L36:$HD36)),NA(),LOOKUP(ON$1,$S36:$HK36,csv!$L36:$HD36))</f>
        <v>0</v>
      </c>
      <c r="OO36" s="5">
        <f>IF(ISERROR(LOOKUP(OO$1,$S36:$HK36,csv!$L36:$HD36)),NA(),LOOKUP(OO$1,$S36:$HK36,csv!$L36:$HD36))</f>
        <v>0</v>
      </c>
      <c r="OP36" s="5">
        <f>IF(ISERROR(LOOKUP(OP$1,$S36:$HK36,csv!$L36:$HD36)),NA(),LOOKUP(OP$1,$S36:$HK36,csv!$L36:$HD36))</f>
        <v>0</v>
      </c>
      <c r="OQ36" s="5">
        <f>IF(ISERROR(LOOKUP(OQ$1,$S36:$HK36,csv!$L36:$HD36)),NA(),LOOKUP(OQ$1,$S36:$HK36,csv!$L36:$HD36))</f>
        <v>0</v>
      </c>
      <c r="OR36" s="5">
        <f>IF(ISERROR(LOOKUP(OR$1,$S36:$HK36,csv!$L36:$HD36)),NA(),LOOKUP(OR$1,$S36:$HK36,csv!$L36:$HD36))</f>
        <v>0</v>
      </c>
      <c r="OS36" s="5">
        <f>IF(ISERROR(LOOKUP(OS$1,$S36:$HK36,csv!$L36:$HD36)),NA(),LOOKUP(OS$1,$S36:$HK36,csv!$L36:$HD36))</f>
        <v>0</v>
      </c>
      <c r="OT36" s="5">
        <f>IF(ISERROR(LOOKUP(OT$1,$S36:$HK36,csv!$L36:$HD36)),NA(),LOOKUP(OT$1,$S36:$HK36,csv!$L36:$HD36))</f>
        <v>0</v>
      </c>
      <c r="OU36" s="5">
        <f>IF(ISERROR(LOOKUP(OU$1,$S36:$HK36,csv!$L36:$HD36)),NA(),LOOKUP(OU$1,$S36:$HK36,csv!$L36:$HD36))</f>
        <v>0</v>
      </c>
      <c r="OV36" s="5">
        <f>IF(ISERROR(LOOKUP(OV$1,$S36:$HK36,csv!$L36:$HD36)),NA(),LOOKUP(OV$1,$S36:$HK36,csv!$L36:$HD36))</f>
        <v>0</v>
      </c>
      <c r="OW36" s="5">
        <f>IF(ISERROR(LOOKUP(OW$1,$S36:$HK36,csv!$L36:$HD36)),NA(),LOOKUP(OW$1,$S36:$HK36,csv!$L36:$HD36))</f>
        <v>0</v>
      </c>
      <c r="OX36" s="5">
        <f>IF(ISERROR(LOOKUP(OX$1,$S36:$HK36,csv!$L36:$HD36)),NA(),LOOKUP(OX$1,$S36:$HK36,csv!$L36:$HD36))</f>
        <v>0</v>
      </c>
      <c r="OY36" s="5">
        <f>IF(ISERROR(LOOKUP(OY$1,$S36:$HK36,csv!$L36:$HD36)),NA(),LOOKUP(OY$1,$S36:$HK36,csv!$L36:$HD36))</f>
        <v>0</v>
      </c>
      <c r="OZ36" s="5">
        <f>IF(ISERROR(LOOKUP(OZ$1,$S36:$HK36,csv!$L36:$HD36)),NA(),LOOKUP(OZ$1,$S36:$HK36,csv!$L36:$HD36))</f>
        <v>0</v>
      </c>
      <c r="PA36" s="5">
        <f>IF(ISERROR(LOOKUP(PA$1,$S36:$HK36,csv!$L36:$HD36)),NA(),LOOKUP(PA$1,$S36:$HK36,csv!$L36:$HD36))</f>
        <v>0</v>
      </c>
      <c r="PB36" s="5">
        <f>IF(ISERROR(LOOKUP(PB$1,$S36:$HK36,csv!$L36:$HD36)),NA(),LOOKUP(PB$1,$S36:$HK36,csv!$L36:$HD36))</f>
        <v>0</v>
      </c>
      <c r="PC36" s="5">
        <f>IF(ISERROR(LOOKUP(PC$1,$S36:$HK36,csv!$L36:$HD36)),NA(),LOOKUP(PC$1,$S36:$HK36,csv!$L36:$HD36))</f>
        <v>0</v>
      </c>
      <c r="PD36" s="5">
        <f>IF(ISERROR(LOOKUP(PD$1,$S36:$HK36,csv!$L36:$HD36)),NA(),LOOKUP(PD$1,$S36:$HK36,csv!$L36:$HD36))</f>
        <v>0</v>
      </c>
      <c r="PE36" s="5">
        <f>IF(ISERROR(LOOKUP(PE$1,$S36:$HK36,csv!$L36:$HD36)),NA(),LOOKUP(PE$1,$S36:$HK36,csv!$L36:$HD36))</f>
        <v>0</v>
      </c>
      <c r="PF36" s="5">
        <f>IF(ISERROR(LOOKUP(PF$1,$S36:$HK36,csv!$L36:$HD36)),NA(),LOOKUP(PF$1,$S36:$HK36,csv!$L36:$HD36))</f>
        <v>0</v>
      </c>
      <c r="PG36" s="5">
        <f>IF(ISERROR(LOOKUP(PG$1,$S36:$HK36,csv!$L36:$HD36)),NA(),LOOKUP(PG$1,$S36:$HK36,csv!$L36:$HD36))</f>
        <v>0</v>
      </c>
      <c r="PH36" s="5">
        <f>IF(ISERROR(LOOKUP(PH$1,$S36:$HK36,csv!$L36:$HD36)),NA(),LOOKUP(PH$1,$S36:$HK36,csv!$L36:$HD36))</f>
        <v>0</v>
      </c>
      <c r="PI36" s="5">
        <f>IF(ISERROR(LOOKUP(PI$1,$S36:$HK36,csv!$L36:$HD36)),NA(),LOOKUP(PI$1,$S36:$HK36,csv!$L36:$HD36))</f>
        <v>0</v>
      </c>
      <c r="PJ36" s="5">
        <f>IF(ISERROR(LOOKUP(PJ$1,$S36:$HK36,csv!$L36:$HD36)),NA(),LOOKUP(PJ$1,$S36:$HK36,csv!$L36:$HD36))</f>
        <v>0</v>
      </c>
      <c r="PK36" s="5">
        <f>IF(ISERROR(LOOKUP(PK$1,$S36:$HK36,csv!$L36:$HD36)),NA(),LOOKUP(PK$1,$S36:$HK36,csv!$L36:$HD36))</f>
        <v>0</v>
      </c>
      <c r="PL36" s="5">
        <f>IF(ISERROR(LOOKUP(PL$1,$S36:$HK36,csv!$L36:$HD36)),NA(),LOOKUP(PL$1,$S36:$HK36,csv!$L36:$HD36))</f>
        <v>0</v>
      </c>
      <c r="PM36" s="5">
        <f>IF(ISERROR(LOOKUP(PM$1,$S36:$HK36,csv!$L36:$HD36)),NA(),LOOKUP(PM$1,$S36:$HK36,csv!$L36:$HD36))</f>
        <v>0</v>
      </c>
      <c r="PN36" s="5">
        <f>IF(ISERROR(LOOKUP(PN$1,$S36:$HK36,csv!$L36:$HD36)),NA(),LOOKUP(PN$1,$S36:$HK36,csv!$L36:$HD36))</f>
        <v>0</v>
      </c>
      <c r="PO36" s="5">
        <f>IF(ISERROR(LOOKUP(PO$1,$S36:$HK36,csv!$L36:$HD36)),NA(),LOOKUP(PO$1,$S36:$HK36,csv!$L36:$HD36))</f>
        <v>0</v>
      </c>
      <c r="PP36" s="5">
        <f>IF(ISERROR(LOOKUP(PP$1,$S36:$HK36,csv!$L36:$HD36)),NA(),LOOKUP(PP$1,$S36:$HK36,csv!$L36:$HD36))</f>
        <v>0</v>
      </c>
      <c r="PQ36" s="5">
        <f>IF(ISERROR(LOOKUP(PQ$1,$S36:$HK36,csv!$L36:$HD36)),NA(),LOOKUP(PQ$1,$S36:$HK36,csv!$L36:$HD36))</f>
        <v>0</v>
      </c>
      <c r="PR36" s="5">
        <f>IF(ISERROR(LOOKUP(PR$1,$S36:$HK36,csv!$L36:$HD36)),NA(),LOOKUP(PR$1,$S36:$HK36,csv!$L36:$HD36))</f>
        <v>0</v>
      </c>
      <c r="PS36" s="5">
        <f>IF(ISERROR(LOOKUP(PS$1,$S36:$HK36,csv!$L36:$HD36)),NA(),LOOKUP(PS$1,$S36:$HK36,csv!$L36:$HD36))</f>
        <v>0</v>
      </c>
      <c r="PT36" s="5">
        <f>IF(ISERROR(LOOKUP(PT$1,$S36:$HK36,csv!$L36:$HD36)),NA(),LOOKUP(PT$1,$S36:$HK36,csv!$L36:$HD36))</f>
        <v>0</v>
      </c>
      <c r="PU36" s="5">
        <f>IF(ISERROR(LOOKUP(PU$1,$S36:$HK36,csv!$L36:$HD36)),NA(),LOOKUP(PU$1,$S36:$HK36,csv!$L36:$HD36))</f>
        <v>0</v>
      </c>
      <c r="PV36" s="5">
        <f>IF(ISERROR(LOOKUP(PV$1,$S36:$HK36,csv!$L36:$HD36)),NA(),LOOKUP(PV$1,$S36:$HK36,csv!$L36:$HD36))</f>
        <v>0</v>
      </c>
      <c r="PW36" s="5">
        <f>IF(ISERROR(LOOKUP(PW$1,$S36:$HK36,csv!$L36:$HD36)),NA(),LOOKUP(PW$1,$S36:$HK36,csv!$L36:$HD36))</f>
        <v>0</v>
      </c>
      <c r="PX36" s="5">
        <f>IF(ISERROR(LOOKUP(PX$1,$S36:$HK36,csv!$L36:$HD36)),NA(),LOOKUP(PX$1,$S36:$HK36,csv!$L36:$HD36))</f>
        <v>0</v>
      </c>
      <c r="PY36" s="5">
        <f>IF(ISERROR(LOOKUP(PY$1,$S36:$HK36,csv!$L36:$HD36)),NA(),LOOKUP(PY$1,$S36:$HK36,csv!$L36:$HD36))</f>
        <v>0</v>
      </c>
      <c r="PZ36" s="5">
        <f>IF(ISERROR(LOOKUP(PZ$1,$S36:$HK36,csv!$L36:$HD36)),NA(),LOOKUP(PZ$1,$S36:$HK36,csv!$L36:$HD36))</f>
        <v>0</v>
      </c>
      <c r="QA36" s="5">
        <f>IF(ISERROR(LOOKUP(QA$1,$S36:$HK36,csv!$L36:$HD36)),NA(),LOOKUP(QA$1,$S36:$HK36,csv!$L36:$HD36))</f>
        <v>0</v>
      </c>
      <c r="QB36" s="5">
        <f>IF(ISERROR(LOOKUP(QB$1,$S36:$HK36,csv!$L36:$HD36)),NA(),LOOKUP(QB$1,$S36:$HK36,csv!$L36:$HD36))</f>
        <v>0</v>
      </c>
      <c r="QC36" s="5">
        <f>IF(ISERROR(LOOKUP(QC$1,$S36:$HK36,csv!$L36:$HD36)),NA(),LOOKUP(QC$1,$S36:$HK36,csv!$L36:$HD36))</f>
        <v>0</v>
      </c>
      <c r="QD36" s="5">
        <f>IF(ISERROR(LOOKUP(QD$1,$S36:$HK36,csv!$L36:$HD36)),NA(),LOOKUP(QD$1,$S36:$HK36,csv!$L36:$HD36))</f>
        <v>0</v>
      </c>
      <c r="QE36" s="5">
        <f>IF(ISERROR(LOOKUP(QE$1,$S36:$HK36,csv!$L36:$HD36)),NA(),LOOKUP(QE$1,$S36:$HK36,csv!$L36:$HD36))</f>
        <v>0</v>
      </c>
      <c r="QF36" s="5">
        <f>IF(ISERROR(LOOKUP(QF$1,$S36:$HK36,csv!$L36:$HD36)),NA(),LOOKUP(QF$1,$S36:$HK36,csv!$L36:$HD36))</f>
        <v>0</v>
      </c>
      <c r="QG36" s="5">
        <f>IF(ISERROR(LOOKUP(QG$1,$S36:$HK36,csv!$L36:$HD36)),NA(),LOOKUP(QG$1,$S36:$HK36,csv!$L36:$HD36))</f>
        <v>0</v>
      </c>
      <c r="QH36" s="5">
        <f>IF(ISERROR(LOOKUP(QH$1,$S36:$HK36,csv!$L36:$HD36)),NA(),LOOKUP(QH$1,$S36:$HK36,csv!$L36:$HD36))</f>
        <v>0</v>
      </c>
      <c r="QI36" s="5">
        <f>IF(ISERROR(LOOKUP(QI$1,$S36:$HK36,csv!$L36:$HD36)),NA(),LOOKUP(QI$1,$S36:$HK36,csv!$L36:$HD36))</f>
        <v>0</v>
      </c>
      <c r="QJ36" s="5">
        <f>IF(ISERROR(LOOKUP(QJ$1,$S36:$HK36,csv!$L36:$HD36)),NA(),LOOKUP(QJ$1,$S36:$HK36,csv!$L36:$HD36))</f>
        <v>0</v>
      </c>
      <c r="QK36" s="5">
        <f>IF(ISERROR(LOOKUP(QK$1,$S36:$HK36,csv!$L36:$HD36)),NA(),LOOKUP(QK$1,$S36:$HK36,csv!$L36:$HD36))</f>
        <v>0</v>
      </c>
      <c r="QL36" s="5">
        <f>IF(ISERROR(LOOKUP(QL$1,$S36:$HK36,csv!$L36:$HD36)),NA(),LOOKUP(QL$1,$S36:$HK36,csv!$L36:$HD36))</f>
        <v>0</v>
      </c>
      <c r="QM36" s="5">
        <f>IF(ISERROR(LOOKUP(QM$1,$S36:$HK36,csv!$L36:$HD36)),NA(),LOOKUP(QM$1,$S36:$HK36,csv!$L36:$HD36))</f>
        <v>0</v>
      </c>
      <c r="QN36" s="5">
        <f>IF(ISERROR(LOOKUP(QN$1,$S36:$HK36,csv!$L36:$HD36)),NA(),LOOKUP(QN$1,$S36:$HK36,csv!$L36:$HD36))</f>
        <v>0</v>
      </c>
      <c r="QO36" s="5">
        <f>IF(ISERROR(LOOKUP(QO$1,$S36:$HK36,csv!$L36:$HD36)),NA(),LOOKUP(QO$1,$S36:$HK36,csv!$L36:$HD36))</f>
        <v>0</v>
      </c>
      <c r="QP36" s="5">
        <f>IF(ISERROR(LOOKUP(QP$1,$S36:$HK36,csv!$L36:$HD36)),NA(),LOOKUP(QP$1,$S36:$HK36,csv!$L36:$HD36))</f>
        <v>0</v>
      </c>
      <c r="QQ36" s="5">
        <f>IF(ISERROR(LOOKUP(QQ$1,$S36:$HK36,csv!$L36:$HD36)),NA(),LOOKUP(QQ$1,$S36:$HK36,csv!$L36:$HD36))</f>
        <v>0</v>
      </c>
      <c r="QR36" s="5">
        <f>IF(ISERROR(LOOKUP(QR$1,$S36:$HK36,csv!$L36:$HD36)),NA(),LOOKUP(QR$1,$S36:$HK36,csv!$L36:$HD36))</f>
        <v>0</v>
      </c>
      <c r="QS36" s="5">
        <f>IF(ISERROR(LOOKUP(QS$1,$S36:$HK36,csv!$L36:$HD36)),NA(),LOOKUP(QS$1,$S36:$HK36,csv!$L36:$HD36))</f>
        <v>0</v>
      </c>
      <c r="QT36" s="5">
        <f>IF(ISERROR(LOOKUP(QT$1,$S36:$HK36,csv!$L36:$HD36)),NA(),LOOKUP(QT$1,$S36:$HK36,csv!$L36:$HD36))</f>
        <v>0</v>
      </c>
      <c r="QU36" s="5">
        <f>IF(ISERROR(LOOKUP(QU$1,$S36:$HK36,csv!$L36:$HD36)),NA(),LOOKUP(QU$1,$S36:$HK36,csv!$L36:$HD36))</f>
        <v>0</v>
      </c>
      <c r="QV36" s="5">
        <f>IF(ISERROR(LOOKUP(QV$1,$S36:$HK36,csv!$L36:$HD36)),NA(),LOOKUP(QV$1,$S36:$HK36,csv!$L36:$HD36))</f>
        <v>0</v>
      </c>
      <c r="QW36" s="5">
        <f>IF(ISERROR(LOOKUP(QW$1,$S36:$HK36,csv!$L36:$HD36)),NA(),LOOKUP(QW$1,$S36:$HK36,csv!$L36:$HD36))</f>
        <v>0</v>
      </c>
      <c r="QX36" s="5">
        <f>IF(ISERROR(LOOKUP(QX$1,$S36:$HK36,csv!$L36:$HD36)),NA(),LOOKUP(QX$1,$S36:$HK36,csv!$L36:$HD36))</f>
        <v>0</v>
      </c>
      <c r="QY36" s="5">
        <f>IF(ISERROR(LOOKUP(QY$1,$S36:$HK36,csv!$L36:$HD36)),NA(),LOOKUP(QY$1,$S36:$HK36,csv!$L36:$HD36))</f>
        <v>0</v>
      </c>
      <c r="QZ36" s="5">
        <f>IF(ISERROR(LOOKUP(QZ$1,$S36:$HK36,csv!$L36:$HD36)),NA(),LOOKUP(QZ$1,$S36:$HK36,csv!$L36:$HD36))</f>
        <v>0</v>
      </c>
      <c r="RA36" s="5">
        <f>IF(ISERROR(LOOKUP(RA$1,$S36:$HK36,csv!$L36:$HD36)),NA(),LOOKUP(RA$1,$S36:$HK36,csv!$L36:$HD36))</f>
        <v>0</v>
      </c>
      <c r="RB36" s="5">
        <f>IF(ISERROR(LOOKUP(RB$1,$S36:$HK36,csv!$L36:$HD36)),NA(),LOOKUP(RB$1,$S36:$HK36,csv!$L36:$HD36))</f>
        <v>0</v>
      </c>
      <c r="RC36" s="5">
        <f>IF(ISERROR(LOOKUP(RC$1,$S36:$HK36,csv!$L36:$HD36)),NA(),LOOKUP(RC$1,$S36:$HK36,csv!$L36:$HD36))</f>
        <v>0</v>
      </c>
      <c r="RD36" s="5">
        <f>IF(ISERROR(LOOKUP(RD$1,$S36:$HK36,csv!$L36:$HD36)),NA(),LOOKUP(RD$1,$S36:$HK36,csv!$L36:$HD36))</f>
        <v>0</v>
      </c>
      <c r="RE36" s="5">
        <f>IF(ISERROR(LOOKUP(RE$1,$S36:$HK36,csv!$L36:$HD36)),NA(),LOOKUP(RE$1,$S36:$HK36,csv!$L36:$HD36))</f>
        <v>0</v>
      </c>
      <c r="RF36" s="5">
        <f>IF(ISERROR(LOOKUP(RF$1,$S36:$HK36,csv!$L36:$HD36)),NA(),LOOKUP(RF$1,$S36:$HK36,csv!$L36:$HD36))</f>
        <v>0</v>
      </c>
      <c r="RG36" s="5">
        <f>IF(ISERROR(LOOKUP(RG$1,$S36:$HK36,csv!$L36:$HD36)),NA(),LOOKUP(RG$1,$S36:$HK36,csv!$L36:$HD36))</f>
        <v>0</v>
      </c>
      <c r="RH36" s="5">
        <f>IF(ISERROR(LOOKUP(RH$1,$S36:$HK36,csv!$L36:$HD36)),NA(),LOOKUP(RH$1,$S36:$HK36,csv!$L36:$HD36))</f>
        <v>0</v>
      </c>
      <c r="RI36" s="5">
        <f>IF(ISERROR(LOOKUP(RI$1,$S36:$HK36,csv!$L36:$HD36)),NA(),LOOKUP(RI$1,$S36:$HK36,csv!$L36:$HD36))</f>
        <v>0</v>
      </c>
      <c r="RJ36" s="5">
        <f>IF(ISERROR(LOOKUP(RJ$1,$S36:$HK36,csv!$L36:$HD36)),NA(),LOOKUP(RJ$1,$S36:$HK36,csv!$L36:$HD36))</f>
        <v>0</v>
      </c>
      <c r="RK36" s="5">
        <f>IF(ISERROR(LOOKUP(RK$1,$S36:$HK36,csv!$L36:$HD36)),NA(),LOOKUP(RK$1,$S36:$HK36,csv!$L36:$HD36))</f>
        <v>0</v>
      </c>
      <c r="RL36" s="5">
        <f>IF(ISERROR(LOOKUP(RL$1,$S36:$HK36,csv!$L36:$HD36)),NA(),LOOKUP(RL$1,$S36:$HK36,csv!$L36:$HD36))</f>
        <v>0</v>
      </c>
      <c r="RM36" s="5">
        <f>IF(ISERROR(LOOKUP(RM$1,$S36:$HK36,csv!$L36:$HD36)),NA(),LOOKUP(RM$1,$S36:$HK36,csv!$L36:$HD36))</f>
        <v>0</v>
      </c>
      <c r="RN36" s="5">
        <f>IF(ISERROR(LOOKUP(RN$1,$S36:$HK36,csv!$L36:$HD36)),NA(),LOOKUP(RN$1,$S36:$HK36,csv!$L36:$HD36))</f>
        <v>0</v>
      </c>
      <c r="RO36" s="5">
        <f>IF(ISERROR(LOOKUP(RO$1,$S36:$HK36,csv!$L36:$HD36)),NA(),LOOKUP(RO$1,$S36:$HK36,csv!$L36:$HD36))</f>
        <v>0</v>
      </c>
      <c r="RP36" s="5">
        <f>IF(ISERROR(LOOKUP(RP$1,$S36:$HK36,csv!$L36:$HD36)),NA(),LOOKUP(RP$1,$S36:$HK36,csv!$L36:$HD36))</f>
        <v>0</v>
      </c>
      <c r="RQ36" s="5">
        <f>IF(ISERROR(LOOKUP(RQ$1,$S36:$HK36,csv!$L36:$HD36)),NA(),LOOKUP(RQ$1,$S36:$HK36,csv!$L36:$HD36))</f>
        <v>0</v>
      </c>
      <c r="RR36" s="5">
        <f>IF(ISERROR(LOOKUP(RR$1,$S36:$HK36,csv!$L36:$HD36)),NA(),LOOKUP(RR$1,$S36:$HK36,csv!$L36:$HD36))</f>
        <v>0</v>
      </c>
      <c r="RS36" s="5">
        <f>IF(ISERROR(LOOKUP(RS$1,$S36:$HK36,csv!$L36:$HD36)),NA(),LOOKUP(RS$1,$S36:$HK36,csv!$L36:$HD36))</f>
        <v>0</v>
      </c>
      <c r="RT36" s="5">
        <f>IF(ISERROR(LOOKUP(RT$1,$S36:$HK36,csv!$L36:$HD36)),NA(),LOOKUP(RT$1,$S36:$HK36,csv!$L36:$HD36))</f>
        <v>0</v>
      </c>
      <c r="RU36" s="5">
        <f>IF(ISERROR(LOOKUP(RU$1,$S36:$HK36,csv!$L36:$HD36)),NA(),LOOKUP(RU$1,$S36:$HK36,csv!$L36:$HD36))</f>
        <v>0</v>
      </c>
      <c r="RV36" s="5">
        <f>IF(ISERROR(LOOKUP(RV$1,$S36:$HK36,csv!$L36:$HD36)),NA(),LOOKUP(RV$1,$S36:$HK36,csv!$L36:$HD36))</f>
        <v>0</v>
      </c>
      <c r="RW36" s="5">
        <f>IF(ISERROR(LOOKUP(RW$1,$S36:$HK36,csv!$L36:$HD36)),NA(),LOOKUP(RW$1,$S36:$HK36,csv!$L36:$HD36))</f>
        <v>0</v>
      </c>
      <c r="RX36" s="5">
        <f>IF(ISERROR(LOOKUP(RX$1,$S36:$HK36,csv!$L36:$HD36)),NA(),LOOKUP(RX$1,$S36:$HK36,csv!$L36:$HD36))</f>
        <v>0</v>
      </c>
      <c r="RY36" s="5">
        <f>IF(ISERROR(LOOKUP(RY$1,$S36:$HK36,csv!$L36:$HD36)),NA(),LOOKUP(RY$1,$S36:$HK36,csv!$L36:$HD36))</f>
        <v>0</v>
      </c>
      <c r="RZ36" s="5">
        <f>IF(ISERROR(LOOKUP(RZ$1,$S36:$HK36,csv!$L36:$HD36)),NA(),LOOKUP(RZ$1,$S36:$HK36,csv!$L36:$HD36))</f>
        <v>0</v>
      </c>
      <c r="SA36" s="5">
        <f>IF(ISERROR(LOOKUP(SA$1,$S36:$HK36,csv!$L36:$HD36)),NA(),LOOKUP(SA$1,$S36:$HK36,csv!$L36:$HD36))</f>
        <v>0</v>
      </c>
      <c r="SB36" s="5">
        <f>IF(ISERROR(LOOKUP(SB$1,$S36:$HK36,csv!$L36:$HD36)),NA(),LOOKUP(SB$1,$S36:$HK36,csv!$L36:$HD36))</f>
        <v>0</v>
      </c>
      <c r="SC36" s="5">
        <f>IF(ISERROR(LOOKUP(SC$1,$S36:$HK36,csv!$L36:$HD36)),NA(),LOOKUP(SC$1,$S36:$HK36,csv!$L36:$HD36))</f>
        <v>0</v>
      </c>
      <c r="SD36" s="5">
        <f>IF(ISERROR(LOOKUP(SD$1,$S36:$HK36,csv!$L36:$HD36)),NA(),LOOKUP(SD$1,$S36:$HK36,csv!$L36:$HD36))</f>
        <v>0</v>
      </c>
      <c r="SE36" s="5">
        <f>IF(ISERROR(LOOKUP(SE$1,$S36:$HK36,csv!$L36:$HD36)),NA(),LOOKUP(SE$1,$S36:$HK36,csv!$L36:$HD36))</f>
        <v>0</v>
      </c>
      <c r="SF36" s="5">
        <f>IF(ISERROR(LOOKUP(SF$1,$S36:$HK36,csv!$L36:$HD36)),NA(),LOOKUP(SF$1,$S36:$HK36,csv!$L36:$HD36))</f>
        <v>0</v>
      </c>
      <c r="SG36" s="5">
        <f>IF(ISERROR(LOOKUP(SG$1,$S36:$HK36,csv!$L36:$HD36)),NA(),LOOKUP(SG$1,$S36:$HK36,csv!$L36:$HD36))</f>
        <v>0</v>
      </c>
      <c r="SH36" s="5">
        <f>IF(ISERROR(LOOKUP(SH$1,$S36:$HK36,csv!$L36:$HD36)),NA(),LOOKUP(SH$1,$S36:$HK36,csv!$L36:$HD36))</f>
        <v>0</v>
      </c>
      <c r="SI36" s="5">
        <f>IF(ISERROR(LOOKUP(SI$1,$S36:$HK36,csv!$L36:$HD36)),NA(),LOOKUP(SI$1,$S36:$HK36,csv!$L36:$HD36))</f>
        <v>0</v>
      </c>
      <c r="SJ36" s="5">
        <f>IF(ISERROR(LOOKUP(SJ$1,$S36:$HK36,csv!$L36:$HD36)),NA(),LOOKUP(SJ$1,$S36:$HK36,csv!$L36:$HD36))</f>
        <v>0</v>
      </c>
      <c r="SK36" s="5">
        <f>IF(ISERROR(LOOKUP(SK$1,$S36:$HK36,csv!$L36:$HD36)),NA(),LOOKUP(SK$1,$S36:$HK36,csv!$L36:$HD36))</f>
        <v>0</v>
      </c>
      <c r="SL36" s="5">
        <f>IF(ISERROR(LOOKUP(SL$1,$S36:$HK36,csv!$L36:$HD36)),NA(),LOOKUP(SL$1,$S36:$HK36,csv!$L36:$HD36))</f>
        <v>0</v>
      </c>
      <c r="SM36" s="5">
        <f>IF(ISERROR(LOOKUP(SM$1,$S36:$HK36,csv!$L36:$HD36)),NA(),LOOKUP(SM$1,$S36:$HK36,csv!$L36:$HD36))</f>
        <v>0</v>
      </c>
      <c r="SN36" s="5">
        <f>IF(ISERROR(LOOKUP(SN$1,$S36:$HK36,csv!$L36:$HD36)),NA(),LOOKUP(SN$1,$S36:$HK36,csv!$L36:$HD36))</f>
        <v>0</v>
      </c>
      <c r="SO36" s="5">
        <f>IF(ISERROR(LOOKUP(SO$1,$S36:$HK36,csv!$L36:$HD36)),NA(),LOOKUP(SO$1,$S36:$HK36,csv!$L36:$HD36))</f>
        <v>0</v>
      </c>
      <c r="SP36" s="5">
        <f>IF(ISERROR(LOOKUP(SP$1,$S36:$HK36,csv!$L36:$HD36)),NA(),LOOKUP(SP$1,$S36:$HK36,csv!$L36:$HD36))</f>
        <v>0</v>
      </c>
      <c r="SQ36" s="5">
        <f>IF(ISERROR(LOOKUP(SQ$1,$S36:$HK36,csv!$L36:$HD36)),NA(),LOOKUP(SQ$1,$S36:$HK36,csv!$L36:$HD36))</f>
        <v>0</v>
      </c>
      <c r="SR36" s="5">
        <f>IF(ISERROR(LOOKUP(SR$1,$S36:$HK36,csv!$L36:$HD36)),NA(),LOOKUP(SR$1,$S36:$HK36,csv!$L36:$HD36))</f>
        <v>0</v>
      </c>
      <c r="SS36" s="5">
        <f>IF(ISERROR(LOOKUP(SS$1,$S36:$HK36,csv!$L36:$HD36)),NA(),LOOKUP(SS$1,$S36:$HK36,csv!$L36:$HD36))</f>
        <v>0</v>
      </c>
      <c r="ST36" s="5">
        <f>IF(ISERROR(LOOKUP(ST$1,$S36:$HK36,csv!$L36:$HD36)),NA(),LOOKUP(ST$1,$S36:$HK36,csv!$L36:$HD36))</f>
        <v>0</v>
      </c>
      <c r="SU36" s="5">
        <f>IF(ISERROR(LOOKUP(SU$1,$S36:$HK36,csv!$L36:$HD36)),NA(),LOOKUP(SU$1,$S36:$HK36,csv!$L36:$HD36))</f>
        <v>0</v>
      </c>
      <c r="SV36" s="5">
        <f>IF(ISERROR(LOOKUP(SV$1,$S36:$HK36,csv!$L36:$HD36)),NA(),LOOKUP(SV$1,$S36:$HK36,csv!$L36:$HD36))</f>
        <v>0</v>
      </c>
      <c r="SW36" s="5">
        <f>IF(ISERROR(LOOKUP(SW$1,$S36:$HK36,csv!$L36:$HD36)),NA(),LOOKUP(SW$1,$S36:$HK36,csv!$L36:$HD36))</f>
        <v>0</v>
      </c>
      <c r="SX36" s="5">
        <f>IF(ISERROR(LOOKUP(SX$1,$S36:$HK36,csv!$L36:$HD36)),NA(),LOOKUP(SX$1,$S36:$HK36,csv!$L36:$HD36))</f>
        <v>0</v>
      </c>
      <c r="SY36" s="5">
        <f>IF(ISERROR(LOOKUP(SY$1,$S36:$HK36,csv!$L36:$HD36)),NA(),LOOKUP(SY$1,$S36:$HK36,csv!$L36:$HD36))</f>
        <v>0</v>
      </c>
      <c r="SZ36" s="5">
        <f>IF(ISERROR(LOOKUP(SZ$1,$S36:$HK36,csv!$L36:$HD36)),NA(),LOOKUP(SZ$1,$S36:$HK36,csv!$L36:$HD36))</f>
        <v>0</v>
      </c>
      <c r="TA36" s="5">
        <f>IF(ISERROR(LOOKUP(TA$1,$S36:$HK36,csv!$L36:$HD36)),NA(),LOOKUP(TA$1,$S36:$HK36,csv!$L36:$HD36))</f>
        <v>0</v>
      </c>
      <c r="TB36" s="5">
        <f>IF(ISERROR(LOOKUP(TB$1,$S36:$HK36,csv!$L36:$HD36)),NA(),LOOKUP(TB$1,$S36:$HK36,csv!$L36:$HD36))</f>
        <v>0</v>
      </c>
      <c r="TD36">
        <f>csv!HG36/10</f>
        <v>0</v>
      </c>
    </row>
    <row r="37" spans="19:525" x14ac:dyDescent="0.15">
      <c r="S37" s="4">
        <f>ROUND((csv!$HG37/10+calc!S$1),1)</f>
        <v>-10</v>
      </c>
      <c r="T37" s="4">
        <f>ROUND((csv!$HG37/10+calc!T$1),1)</f>
        <v>-9.9</v>
      </c>
      <c r="U37" s="4">
        <f>ROUND((csv!$HG37/10+calc!U$1),1)</f>
        <v>-9.8000000000000007</v>
      </c>
      <c r="V37" s="4">
        <f>ROUND((csv!$HG37/10+calc!V$1),1)</f>
        <v>-9.6999999999999993</v>
      </c>
      <c r="W37" s="4">
        <f>ROUND((csv!$HG37/10+calc!W$1),1)</f>
        <v>-9.6</v>
      </c>
      <c r="X37" s="4">
        <f>ROUND((csv!$HG37/10+calc!X$1),1)</f>
        <v>-9.5</v>
      </c>
      <c r="Y37" s="4">
        <f>ROUND((csv!$HG37/10+calc!Y$1),1)</f>
        <v>-9.4</v>
      </c>
      <c r="Z37" s="4">
        <f>ROUND((csv!$HG37/10+calc!Z$1),1)</f>
        <v>-9.3000000000000007</v>
      </c>
      <c r="AA37" s="4">
        <f>ROUND((csv!$HG37/10+calc!AA$1),1)</f>
        <v>-9.1999999999999993</v>
      </c>
      <c r="AB37" s="4">
        <f>ROUND((csv!$HG37/10+calc!AB$1),1)</f>
        <v>-9.1</v>
      </c>
      <c r="AC37" s="4">
        <f>ROUND((csv!$HG37/10+calc!AC$1),1)</f>
        <v>-9</v>
      </c>
      <c r="AD37" s="4">
        <f>ROUND((csv!$HG37/10+calc!AD$1),1)</f>
        <v>-8.9</v>
      </c>
      <c r="AE37" s="4">
        <f>ROUND((csv!$HG37/10+calc!AE$1),1)</f>
        <v>-8.8000000000000007</v>
      </c>
      <c r="AF37" s="4">
        <f>ROUND((csv!$HG37/10+calc!AF$1),1)</f>
        <v>-8.6999999999999993</v>
      </c>
      <c r="AG37" s="4">
        <f>ROUND((csv!$HG37/10+calc!AG$1),1)</f>
        <v>-8.6</v>
      </c>
      <c r="AH37" s="4">
        <f>ROUND((csv!$HG37/10+calc!AH$1),1)</f>
        <v>-8.5</v>
      </c>
      <c r="AI37" s="4">
        <f>ROUND((csv!$HG37/10+calc!AI$1),1)</f>
        <v>-8.4</v>
      </c>
      <c r="AJ37" s="4">
        <f>ROUND((csv!$HG37/10+calc!AJ$1),1)</f>
        <v>-8.3000000000000007</v>
      </c>
      <c r="AK37" s="4">
        <f>ROUND((csv!$HG37/10+calc!AK$1),1)</f>
        <v>-8.1999999999999993</v>
      </c>
      <c r="AL37" s="4">
        <f>ROUND((csv!$HG37/10+calc!AL$1),1)</f>
        <v>-8.1</v>
      </c>
      <c r="AM37" s="4">
        <f>ROUND((csv!$HG37/10+calc!AM$1),1)</f>
        <v>-8</v>
      </c>
      <c r="AN37" s="4">
        <f>ROUND((csv!$HG37/10+calc!AN$1),1)</f>
        <v>-7.9</v>
      </c>
      <c r="AO37" s="4">
        <f>ROUND((csv!$HG37/10+calc!AO$1),1)</f>
        <v>-7.8</v>
      </c>
      <c r="AP37" s="4">
        <f>ROUND((csv!$HG37/10+calc!AP$1),1)</f>
        <v>-7.7</v>
      </c>
      <c r="AQ37" s="4">
        <f>ROUND((csv!$HG37/10+calc!AQ$1),1)</f>
        <v>-7.6</v>
      </c>
      <c r="AR37" s="4">
        <f>ROUND((csv!$HG37/10+calc!AR$1),1)</f>
        <v>-7.5</v>
      </c>
      <c r="AS37" s="4">
        <f>ROUND((csv!$HG37/10+calc!AS$1),1)</f>
        <v>-7.4</v>
      </c>
      <c r="AT37" s="4">
        <f>ROUND((csv!$HG37/10+calc!AT$1),1)</f>
        <v>-7.3</v>
      </c>
      <c r="AU37" s="4">
        <f>ROUND((csv!$HG37/10+calc!AU$1),1)</f>
        <v>-7.2</v>
      </c>
      <c r="AV37" s="4">
        <f>ROUND((csv!$HG37/10+calc!AV$1),1)</f>
        <v>-7.1</v>
      </c>
      <c r="AW37" s="4">
        <f>ROUND((csv!$HG37/10+calc!AW$1),1)</f>
        <v>-7</v>
      </c>
      <c r="AX37" s="4">
        <f>ROUND((csv!$HG37/10+calc!AX$1),1)</f>
        <v>-6.9</v>
      </c>
      <c r="AY37" s="4">
        <f>ROUND((csv!$HG37/10+calc!AY$1),1)</f>
        <v>-6.8</v>
      </c>
      <c r="AZ37" s="4">
        <f>ROUND((csv!$HG37/10+calc!AZ$1),1)</f>
        <v>-6.7</v>
      </c>
      <c r="BA37" s="4">
        <f>ROUND((csv!$HG37/10+calc!BA$1),1)</f>
        <v>-6.6</v>
      </c>
      <c r="BB37" s="4">
        <f>ROUND((csv!$HG37/10+calc!BB$1),1)</f>
        <v>-6.5</v>
      </c>
      <c r="BC37" s="4">
        <f>ROUND((csv!$HG37/10+calc!BC$1),1)</f>
        <v>-6.4</v>
      </c>
      <c r="BD37" s="4">
        <f>ROUND((csv!$HG37/10+calc!BD$1),1)</f>
        <v>-6.3</v>
      </c>
      <c r="BE37" s="4">
        <f>ROUND((csv!$HG37/10+calc!BE$1),1)</f>
        <v>-6.2</v>
      </c>
      <c r="BF37" s="4">
        <f>ROUND((csv!$HG37/10+calc!BF$1),1)</f>
        <v>-6.1</v>
      </c>
      <c r="BG37" s="4">
        <f>ROUND((csv!$HG37/10+calc!BG$1),1)</f>
        <v>-6</v>
      </c>
      <c r="BH37" s="4">
        <f>ROUND((csv!$HG37/10+calc!BH$1),1)</f>
        <v>-5.9</v>
      </c>
      <c r="BI37" s="4">
        <f>ROUND((csv!$HG37/10+calc!BI$1),1)</f>
        <v>-5.8</v>
      </c>
      <c r="BJ37" s="4">
        <f>ROUND((csv!$HG37/10+calc!BJ$1),1)</f>
        <v>-5.7</v>
      </c>
      <c r="BK37" s="4">
        <f>ROUND((csv!$HG37/10+calc!BK$1),1)</f>
        <v>-5.6</v>
      </c>
      <c r="BL37" s="4">
        <f>ROUND((csv!$HG37/10+calc!BL$1),1)</f>
        <v>-5.5</v>
      </c>
      <c r="BM37" s="4">
        <f>ROUND((csv!$HG37/10+calc!BM$1),1)</f>
        <v>-5.4</v>
      </c>
      <c r="BN37" s="4">
        <f>ROUND((csv!$HG37/10+calc!BN$1),1)</f>
        <v>-5.3</v>
      </c>
      <c r="BO37" s="4">
        <f>ROUND((csv!$HG37/10+calc!BO$1),1)</f>
        <v>-5.2</v>
      </c>
      <c r="BP37" s="4">
        <f>ROUND((csv!$HG37/10+calc!BP$1),1)</f>
        <v>-5.0999999999999996</v>
      </c>
      <c r="BQ37" s="4">
        <f>ROUND((csv!$HG37/10+calc!BQ$1),1)</f>
        <v>-5</v>
      </c>
      <c r="BR37" s="4">
        <f>ROUND((csv!$HG37/10+calc!BR$1),1)</f>
        <v>-4.9000000000000004</v>
      </c>
      <c r="BS37" s="4">
        <f>ROUND((csv!$HG37/10+calc!BS$1),1)</f>
        <v>-4.8</v>
      </c>
      <c r="BT37" s="4">
        <f>ROUND((csv!$HG37/10+calc!BT$1),1)</f>
        <v>-4.7</v>
      </c>
      <c r="BU37" s="4">
        <f>ROUND((csv!$HG37/10+calc!BU$1),1)</f>
        <v>-4.5999999999999996</v>
      </c>
      <c r="BV37" s="4">
        <f>ROUND((csv!$HG37/10+calc!BV$1),1)</f>
        <v>-4.5</v>
      </c>
      <c r="BW37" s="4">
        <f>ROUND((csv!$HG37/10+calc!BW$1),1)</f>
        <v>-4.4000000000000004</v>
      </c>
      <c r="BX37" s="4">
        <f>ROUND((csv!$HG37/10+calc!BX$1),1)</f>
        <v>-4.3</v>
      </c>
      <c r="BY37" s="4">
        <f>ROUND((csv!$HG37/10+calc!BY$1),1)</f>
        <v>-4.2</v>
      </c>
      <c r="BZ37" s="4">
        <f>ROUND((csv!$HG37/10+calc!BZ$1),1)</f>
        <v>-4.0999999999999996</v>
      </c>
      <c r="CA37" s="4">
        <f>ROUND((csv!$HG37/10+calc!CA$1),1)</f>
        <v>-4</v>
      </c>
      <c r="CB37" s="4">
        <f>ROUND((csv!$HG37/10+calc!CB$1),1)</f>
        <v>-3.9</v>
      </c>
      <c r="CC37" s="4">
        <f>ROUND((csv!$HG37/10+calc!CC$1),1)</f>
        <v>-3.8</v>
      </c>
      <c r="CD37" s="4">
        <f>ROUND((csv!$HG37/10+calc!CD$1),1)</f>
        <v>-3.7</v>
      </c>
      <c r="CE37" s="4">
        <f>ROUND((csv!$HG37/10+calc!CE$1),1)</f>
        <v>-3.6</v>
      </c>
      <c r="CF37" s="4">
        <f>ROUND((csv!$HG37/10+calc!CF$1),1)</f>
        <v>-3.5</v>
      </c>
      <c r="CG37" s="4">
        <f>ROUND((csv!$HG37/10+calc!CG$1),1)</f>
        <v>-3.4</v>
      </c>
      <c r="CH37" s="4">
        <f>ROUND((csv!$HG37/10+calc!CH$1),1)</f>
        <v>-3.3</v>
      </c>
      <c r="CI37" s="4">
        <f>ROUND((csv!$HG37/10+calc!CI$1),1)</f>
        <v>-3.2</v>
      </c>
      <c r="CJ37" s="4">
        <f>ROUND((csv!$HG37/10+calc!CJ$1),1)</f>
        <v>-3.1</v>
      </c>
      <c r="CK37" s="4">
        <f>ROUND((csv!$HG37/10+calc!CK$1),1)</f>
        <v>-3</v>
      </c>
      <c r="CL37" s="4">
        <f>ROUND((csv!$HG37/10+calc!CL$1),1)</f>
        <v>-2.9</v>
      </c>
      <c r="CM37" s="4">
        <f>ROUND((csv!$HG37/10+calc!CM$1),1)</f>
        <v>-2.8</v>
      </c>
      <c r="CN37" s="4">
        <f>ROUND((csv!$HG37/10+calc!CN$1),1)</f>
        <v>-2.7</v>
      </c>
      <c r="CO37" s="4">
        <f>ROUND((csv!$HG37/10+calc!CO$1),1)</f>
        <v>-2.6</v>
      </c>
      <c r="CP37" s="4">
        <f>ROUND((csv!$HG37/10+calc!CP$1),1)</f>
        <v>-2.5</v>
      </c>
      <c r="CQ37" s="4">
        <f>ROUND((csv!$HG37/10+calc!CQ$1),1)</f>
        <v>-2.4</v>
      </c>
      <c r="CR37" s="4">
        <f>ROUND((csv!$HG37/10+calc!CR$1),1)</f>
        <v>-2.2999999999999998</v>
      </c>
      <c r="CS37" s="4">
        <f>ROUND((csv!$HG37/10+calc!CS$1),1)</f>
        <v>-2.2000000000000002</v>
      </c>
      <c r="CT37" s="4">
        <f>ROUND((csv!$HG37/10+calc!CT$1),1)</f>
        <v>-2.1</v>
      </c>
      <c r="CU37" s="4">
        <f>ROUND((csv!$HG37/10+calc!CU$1),1)</f>
        <v>-2</v>
      </c>
      <c r="CV37" s="4">
        <f>ROUND((csv!$HG37/10+calc!CV$1),1)</f>
        <v>-1.9</v>
      </c>
      <c r="CW37" s="4">
        <f>ROUND((csv!$HG37/10+calc!CW$1),1)</f>
        <v>-1.8</v>
      </c>
      <c r="CX37" s="4">
        <f>ROUND((csv!$HG37/10+calc!CX$1),1)</f>
        <v>-1.7</v>
      </c>
      <c r="CY37" s="4">
        <f>ROUND((csv!$HG37/10+calc!CY$1),1)</f>
        <v>-1.6</v>
      </c>
      <c r="CZ37" s="4">
        <f>ROUND((csv!$HG37/10+calc!CZ$1),1)</f>
        <v>-1.5</v>
      </c>
      <c r="DA37" s="4">
        <f>ROUND((csv!$HG37/10+calc!DA$1),1)</f>
        <v>-1.4</v>
      </c>
      <c r="DB37" s="4">
        <f>ROUND((csv!$HG37/10+calc!DB$1),1)</f>
        <v>-1.3</v>
      </c>
      <c r="DC37" s="4">
        <f>ROUND((csv!$HG37/10+calc!DC$1),1)</f>
        <v>-1.2</v>
      </c>
      <c r="DD37" s="4">
        <f>ROUND((csv!$HG37/10+calc!DD$1),1)</f>
        <v>-1.1000000000000001</v>
      </c>
      <c r="DE37" s="4">
        <f>ROUND((csv!$HG37/10+calc!DE$1),1)</f>
        <v>-1</v>
      </c>
      <c r="DF37" s="4">
        <f>ROUND((csv!$HG37/10+calc!DF$1),1)</f>
        <v>-0.9</v>
      </c>
      <c r="DG37" s="4">
        <f>ROUND((csv!$HG37/10+calc!DG$1),1)</f>
        <v>-0.8</v>
      </c>
      <c r="DH37" s="4">
        <f>ROUND((csv!$HG37/10+calc!DH$1),1)</f>
        <v>-0.7</v>
      </c>
      <c r="DI37" s="4">
        <f>ROUND((csv!$HG37/10+calc!DI$1),1)</f>
        <v>-0.6</v>
      </c>
      <c r="DJ37" s="4">
        <f>ROUND((csv!$HG37/10+calc!DJ$1),1)</f>
        <v>-0.5</v>
      </c>
      <c r="DK37" s="4">
        <f>ROUND((csv!$HG37/10+calc!DK$1),1)</f>
        <v>-0.4</v>
      </c>
      <c r="DL37" s="4">
        <f>ROUND((csv!$HG37/10+calc!DL$1),1)</f>
        <v>-0.3</v>
      </c>
      <c r="DM37" s="4">
        <f>ROUND((csv!$HG37/10+calc!DM$1),1)</f>
        <v>-0.2</v>
      </c>
      <c r="DN37" s="4">
        <f>ROUND((csv!$HG37/10+calc!DN$1),1)</f>
        <v>-0.1</v>
      </c>
      <c r="DO37" s="4">
        <f>ROUND((csv!$HG37/10+calc!DO$1),1)</f>
        <v>0</v>
      </c>
      <c r="DP37" s="4">
        <f>ROUND((csv!$HG37/10+calc!DP$1),1)</f>
        <v>0.1</v>
      </c>
      <c r="DQ37" s="4">
        <f>ROUND((csv!$HG37/10+calc!DQ$1),1)</f>
        <v>0.2</v>
      </c>
      <c r="DR37" s="4">
        <f>ROUND((csv!$HG37/10+calc!DR$1),1)</f>
        <v>0.3</v>
      </c>
      <c r="DS37" s="4">
        <f>ROUND((csv!$HG37/10+calc!DS$1),1)</f>
        <v>0.4</v>
      </c>
      <c r="DT37" s="4">
        <f>ROUND((csv!$HG37/10+calc!DT$1),1)</f>
        <v>0.5</v>
      </c>
      <c r="DU37" s="4">
        <f>ROUND((csv!$HG37/10+calc!DU$1),1)</f>
        <v>0.6</v>
      </c>
      <c r="DV37" s="4">
        <f>ROUND((csv!$HG37/10+calc!DV$1),1)</f>
        <v>0.7</v>
      </c>
      <c r="DW37" s="4">
        <f>ROUND((csv!$HG37/10+calc!DW$1),1)</f>
        <v>0.8</v>
      </c>
      <c r="DX37" s="4">
        <f>ROUND((csv!$HG37/10+calc!DX$1),1)</f>
        <v>0.9</v>
      </c>
      <c r="DY37" s="4">
        <f>ROUND((csv!$HG37/10+calc!DY$1),1)</f>
        <v>1</v>
      </c>
      <c r="DZ37" s="4">
        <f>ROUND((csv!$HG37/10+calc!DZ$1),1)</f>
        <v>1.1000000000000001</v>
      </c>
      <c r="EA37" s="4">
        <f>ROUND((csv!$HG37/10+calc!EA$1),1)</f>
        <v>1.2</v>
      </c>
      <c r="EB37" s="4">
        <f>ROUND((csv!$HG37/10+calc!EB$1),1)</f>
        <v>1.3</v>
      </c>
      <c r="EC37" s="4">
        <f>ROUND((csv!$HG37/10+calc!EC$1),1)</f>
        <v>1.4</v>
      </c>
      <c r="ED37" s="4">
        <f>ROUND((csv!$HG37/10+calc!ED$1),1)</f>
        <v>1.5</v>
      </c>
      <c r="EE37" s="4">
        <f>ROUND((csv!$HG37/10+calc!EE$1),1)</f>
        <v>1.6</v>
      </c>
      <c r="EF37" s="4">
        <f>ROUND((csv!$HG37/10+calc!EF$1),1)</f>
        <v>1.7</v>
      </c>
      <c r="EG37" s="4">
        <f>ROUND((csv!$HG37/10+calc!EG$1),1)</f>
        <v>1.8</v>
      </c>
      <c r="EH37" s="4">
        <f>ROUND((csv!$HG37/10+calc!EH$1),1)</f>
        <v>1.9</v>
      </c>
      <c r="EI37" s="4">
        <f>ROUND((csv!$HG37/10+calc!EI$1),1)</f>
        <v>2</v>
      </c>
      <c r="EJ37" s="4">
        <f>ROUND((csv!$HG37/10+calc!EJ$1),1)</f>
        <v>2.1</v>
      </c>
      <c r="EK37" s="4">
        <f>ROUND((csv!$HG37/10+calc!EK$1),1)</f>
        <v>2.2000000000000002</v>
      </c>
      <c r="EL37" s="4">
        <f>ROUND((csv!$HG37/10+calc!EL$1),1)</f>
        <v>2.2999999999999998</v>
      </c>
      <c r="EM37" s="4">
        <f>ROUND((csv!$HG37/10+calc!EM$1),1)</f>
        <v>2.4</v>
      </c>
      <c r="EN37" s="4">
        <f>ROUND((csv!$HG37/10+calc!EN$1),1)</f>
        <v>2.5</v>
      </c>
      <c r="EO37" s="4">
        <f>ROUND((csv!$HG37/10+calc!EO$1),1)</f>
        <v>2.6</v>
      </c>
      <c r="EP37" s="4">
        <f>ROUND((csv!$HG37/10+calc!EP$1),1)</f>
        <v>2.7</v>
      </c>
      <c r="EQ37" s="4">
        <f>ROUND((csv!$HG37/10+calc!EQ$1),1)</f>
        <v>2.8</v>
      </c>
      <c r="ER37" s="4">
        <f>ROUND((csv!$HG37/10+calc!ER$1),1)</f>
        <v>2.9</v>
      </c>
      <c r="ES37" s="4">
        <f>ROUND((csv!$HG37/10+calc!ES$1),1)</f>
        <v>3</v>
      </c>
      <c r="ET37" s="4">
        <f>ROUND((csv!$HG37/10+calc!ET$1),1)</f>
        <v>3.1</v>
      </c>
      <c r="EU37" s="4">
        <f>ROUND((csv!$HG37/10+calc!EU$1),1)</f>
        <v>3.2</v>
      </c>
      <c r="EV37" s="4">
        <f>ROUND((csv!$HG37/10+calc!EV$1),1)</f>
        <v>3.3</v>
      </c>
      <c r="EW37" s="4">
        <f>ROUND((csv!$HG37/10+calc!EW$1),1)</f>
        <v>3.4</v>
      </c>
      <c r="EX37" s="4">
        <f>ROUND((csv!$HG37/10+calc!EX$1),1)</f>
        <v>3.5</v>
      </c>
      <c r="EY37" s="4">
        <f>ROUND((csv!$HG37/10+calc!EY$1),1)</f>
        <v>3.6</v>
      </c>
      <c r="EZ37" s="4">
        <f>ROUND((csv!$HG37/10+calc!EZ$1),1)</f>
        <v>3.7</v>
      </c>
      <c r="FA37" s="4">
        <f>ROUND((csv!$HG37/10+calc!FA$1),1)</f>
        <v>3.8</v>
      </c>
      <c r="FB37" s="4">
        <f>ROUND((csv!$HG37/10+calc!FB$1),1)</f>
        <v>3.9</v>
      </c>
      <c r="FC37" s="4">
        <f>ROUND((csv!$HG37/10+calc!FC$1),1)</f>
        <v>4</v>
      </c>
      <c r="FD37" s="4">
        <f>ROUND((csv!$HG37/10+calc!FD$1),1)</f>
        <v>4.0999999999999996</v>
      </c>
      <c r="FE37" s="4">
        <f>ROUND((csv!$HG37/10+calc!FE$1),1)</f>
        <v>4.2</v>
      </c>
      <c r="FF37" s="4">
        <f>ROUND((csv!$HG37/10+calc!FF$1),1)</f>
        <v>4.3</v>
      </c>
      <c r="FG37" s="4">
        <f>ROUND((csv!$HG37/10+calc!FG$1),1)</f>
        <v>4.4000000000000004</v>
      </c>
      <c r="FH37" s="4">
        <f>ROUND((csv!$HG37/10+calc!FH$1),1)</f>
        <v>4.5</v>
      </c>
      <c r="FI37" s="4">
        <f>ROUND((csv!$HG37/10+calc!FI$1),1)</f>
        <v>4.5999999999999996</v>
      </c>
      <c r="FJ37" s="4">
        <f>ROUND((csv!$HG37/10+calc!FJ$1),1)</f>
        <v>4.7</v>
      </c>
      <c r="FK37" s="4">
        <f>ROUND((csv!$HG37/10+calc!FK$1),1)</f>
        <v>4.8</v>
      </c>
      <c r="FL37" s="4">
        <f>ROUND((csv!$HG37/10+calc!FL$1),1)</f>
        <v>4.9000000000000004</v>
      </c>
      <c r="FM37" s="4">
        <f>ROUND((csv!$HG37/10+calc!FM$1),1)</f>
        <v>5</v>
      </c>
      <c r="FN37" s="4">
        <f>ROUND((csv!$HG37/10+calc!FN$1),1)</f>
        <v>5.0999999999999996</v>
      </c>
      <c r="FO37" s="4">
        <f>ROUND((csv!$HG37/10+calc!FO$1),1)</f>
        <v>5.2</v>
      </c>
      <c r="FP37" s="4">
        <f>ROUND((csv!$HG37/10+calc!FP$1),1)</f>
        <v>5.3</v>
      </c>
      <c r="FQ37" s="4">
        <f>ROUND((csv!$HG37/10+calc!FQ$1),1)</f>
        <v>5.4</v>
      </c>
      <c r="FR37" s="4">
        <f>ROUND((csv!$HG37/10+calc!FR$1),1)</f>
        <v>5.5</v>
      </c>
      <c r="FS37" s="4">
        <f>ROUND((csv!$HG37/10+calc!FS$1),1)</f>
        <v>5.6</v>
      </c>
      <c r="FT37" s="4">
        <f>ROUND((csv!$HG37/10+calc!FT$1),1)</f>
        <v>5.7</v>
      </c>
      <c r="FU37" s="4">
        <f>ROUND((csv!$HG37/10+calc!FU$1),1)</f>
        <v>5.8</v>
      </c>
      <c r="FV37" s="4">
        <f>ROUND((csv!$HG37/10+calc!FV$1),1)</f>
        <v>5.9</v>
      </c>
      <c r="FW37" s="4">
        <f>ROUND((csv!$HG37/10+calc!FW$1),1)</f>
        <v>6</v>
      </c>
      <c r="FX37" s="4">
        <f>ROUND((csv!$HG37/10+calc!FX$1),1)</f>
        <v>6.1</v>
      </c>
      <c r="FY37" s="4">
        <f>ROUND((csv!$HG37/10+calc!FY$1),1)</f>
        <v>6.2</v>
      </c>
      <c r="FZ37" s="4">
        <f>ROUND((csv!$HG37/10+calc!FZ$1),1)</f>
        <v>6.3</v>
      </c>
      <c r="GA37" s="4">
        <f>ROUND((csv!$HG37/10+calc!GA$1),1)</f>
        <v>6.4</v>
      </c>
      <c r="GB37" s="4">
        <f>ROUND((csv!$HG37/10+calc!GB$1),1)</f>
        <v>6.5</v>
      </c>
      <c r="GC37" s="4">
        <f>ROUND((csv!$HG37/10+calc!GC$1),1)</f>
        <v>6.6</v>
      </c>
      <c r="GD37" s="4">
        <f>ROUND((csv!$HG37/10+calc!GD$1),1)</f>
        <v>6.7</v>
      </c>
      <c r="GE37" s="4">
        <f>ROUND((csv!$HG37/10+calc!GE$1),1)</f>
        <v>6.8</v>
      </c>
      <c r="GF37" s="4">
        <f>ROUND((csv!$HG37/10+calc!GF$1),1)</f>
        <v>6.9</v>
      </c>
      <c r="GG37" s="4">
        <f>ROUND((csv!$HG37/10+calc!GG$1),1)</f>
        <v>7</v>
      </c>
      <c r="GH37" s="4">
        <f>ROUND((csv!$HG37/10+calc!GH$1),1)</f>
        <v>7.1</v>
      </c>
      <c r="GI37" s="4">
        <f>ROUND((csv!$HG37/10+calc!GI$1),1)</f>
        <v>7.2</v>
      </c>
      <c r="GJ37" s="4">
        <f>ROUND((csv!$HG37/10+calc!GJ$1),1)</f>
        <v>7.3</v>
      </c>
      <c r="GK37" s="4">
        <f>ROUND((csv!$HG37/10+calc!GK$1),1)</f>
        <v>7.4</v>
      </c>
      <c r="GL37" s="4">
        <f>ROUND((csv!$HG37/10+calc!GL$1),1)</f>
        <v>7.5</v>
      </c>
      <c r="GM37" s="4">
        <f>ROUND((csv!$HG37/10+calc!GM$1),1)</f>
        <v>7.6</v>
      </c>
      <c r="GN37" s="4">
        <f>ROUND((csv!$HG37/10+calc!GN$1),1)</f>
        <v>7.7</v>
      </c>
      <c r="GO37" s="4">
        <f>ROUND((csv!$HG37/10+calc!GO$1),1)</f>
        <v>7.8</v>
      </c>
      <c r="GP37" s="4">
        <f>ROUND((csv!$HG37/10+calc!GP$1),1)</f>
        <v>7.9</v>
      </c>
      <c r="GQ37" s="4">
        <f>ROUND((csv!$HG37/10+calc!GQ$1),1)</f>
        <v>8</v>
      </c>
      <c r="GR37" s="4">
        <f>ROUND((csv!$HG37/10+calc!GR$1),1)</f>
        <v>8.1</v>
      </c>
      <c r="GS37" s="4">
        <f>ROUND((csv!$HG37/10+calc!GS$1),1)</f>
        <v>8.1999999999999993</v>
      </c>
      <c r="GT37" s="4">
        <f>ROUND((csv!$HG37/10+calc!GT$1),1)</f>
        <v>8.3000000000000007</v>
      </c>
      <c r="GU37" s="4">
        <f>ROUND((csv!$HG37/10+calc!GU$1),1)</f>
        <v>8.4</v>
      </c>
      <c r="GV37" s="4">
        <f>ROUND((csv!$HG37/10+calc!GV$1),1)</f>
        <v>8.5</v>
      </c>
      <c r="GW37" s="4">
        <f>ROUND((csv!$HG37/10+calc!GW$1),1)</f>
        <v>8.6</v>
      </c>
      <c r="GX37" s="4">
        <f>ROUND((csv!$HG37/10+calc!GX$1),1)</f>
        <v>8.6999999999999993</v>
      </c>
      <c r="GY37" s="4">
        <f>ROUND((csv!$HG37/10+calc!GY$1),1)</f>
        <v>8.8000000000000007</v>
      </c>
      <c r="GZ37" s="4">
        <f>ROUND((csv!$HG37/10+calc!GZ$1),1)</f>
        <v>8.9</v>
      </c>
      <c r="HA37" s="4">
        <f>ROUND((csv!$HG37/10+calc!HA$1),1)</f>
        <v>9</v>
      </c>
      <c r="HB37" s="4">
        <f>ROUND((csv!$HG37/10+calc!HB$1),1)</f>
        <v>9.1</v>
      </c>
      <c r="HC37" s="4">
        <f>ROUND((csv!$HG37/10+calc!HC$1),1)</f>
        <v>9.1999999999999993</v>
      </c>
      <c r="HD37" s="4">
        <f>ROUND((csv!$HG37/10+calc!HD$1),1)</f>
        <v>9.3000000000000007</v>
      </c>
      <c r="HE37" s="4">
        <f>ROUND((csv!$HG37/10+calc!HE$1),1)</f>
        <v>9.4</v>
      </c>
      <c r="HF37" s="4">
        <f>ROUND((csv!$HG37/10+calc!HF$1),1)</f>
        <v>9.5</v>
      </c>
      <c r="HG37" s="4">
        <f>ROUND((csv!$HG37/10+calc!HG$1),1)</f>
        <v>9.6</v>
      </c>
      <c r="HH37" s="4">
        <f>ROUND((csv!$HG37/10+calc!HH$1),1)</f>
        <v>9.6999999999999993</v>
      </c>
      <c r="HI37" s="4">
        <f>ROUND((csv!$HG37/10+calc!HI$1),1)</f>
        <v>9.8000000000000007</v>
      </c>
      <c r="HJ37" s="4">
        <f>ROUND((csv!$HG37/10+calc!HJ$1),1)</f>
        <v>9.9</v>
      </c>
      <c r="HK37" s="4">
        <f>ROUND((csv!$HG37/10+calc!HK$1),1)</f>
        <v>10</v>
      </c>
      <c r="HM37" s="2">
        <f>csv!A37*10000+csv!B37*100+csv!C37</f>
        <v>0</v>
      </c>
      <c r="HN37" s="5">
        <f>IF(ISERROR(LOOKUP(HN$1,$S37:$HK37,csv!$L37:$HD37)),NA(),LOOKUP(HN$1,$S37:$HK37,csv!$L37:$HD37))</f>
        <v>0</v>
      </c>
      <c r="HO37" s="5">
        <f>IF(ISERROR(LOOKUP(HO$1,$S37:$HK37,csv!$L37:$HD37)),NA(),LOOKUP(HO$1,$S37:$HK37,csv!$L37:$HD37))</f>
        <v>0</v>
      </c>
      <c r="HP37" s="5">
        <f>IF(ISERROR(LOOKUP(HP$1,$S37:$HK37,csv!$L37:$HD37)),NA(),LOOKUP(HP$1,$S37:$HK37,csv!$L37:$HD37))</f>
        <v>0</v>
      </c>
      <c r="HQ37" s="5">
        <f>IF(ISERROR(LOOKUP(HQ$1,$S37:$HK37,csv!$L37:$HD37)),NA(),LOOKUP(HQ$1,$S37:$HK37,csv!$L37:$HD37))</f>
        <v>0</v>
      </c>
      <c r="HR37" s="5">
        <f>IF(ISERROR(LOOKUP(HR$1,$S37:$HK37,csv!$L37:$HD37)),NA(),LOOKUP(HR$1,$S37:$HK37,csv!$L37:$HD37))</f>
        <v>0</v>
      </c>
      <c r="HS37" s="5">
        <f>IF(ISERROR(LOOKUP(HS$1,$S37:$HK37,csv!$L37:$HD37)),NA(),LOOKUP(HS$1,$S37:$HK37,csv!$L37:$HD37))</f>
        <v>0</v>
      </c>
      <c r="HT37" s="5">
        <f>IF(ISERROR(LOOKUP(HT$1,$S37:$HK37,csv!$L37:$HD37)),NA(),LOOKUP(HT$1,$S37:$HK37,csv!$L37:$HD37))</f>
        <v>0</v>
      </c>
      <c r="HU37" s="5">
        <f>IF(ISERROR(LOOKUP(HU$1,$S37:$HK37,csv!$L37:$HD37)),NA(),LOOKUP(HU$1,$S37:$HK37,csv!$L37:$HD37))</f>
        <v>0</v>
      </c>
      <c r="HV37" s="5">
        <f>IF(ISERROR(LOOKUP(HV$1,$S37:$HK37,csv!$L37:$HD37)),NA(),LOOKUP(HV$1,$S37:$HK37,csv!$L37:$HD37))</f>
        <v>0</v>
      </c>
      <c r="HW37" s="5">
        <f>IF(ISERROR(LOOKUP(HW$1,$S37:$HK37,csv!$L37:$HD37)),NA(),LOOKUP(HW$1,$S37:$HK37,csv!$L37:$HD37))</f>
        <v>0</v>
      </c>
      <c r="HX37" s="5">
        <f>IF(ISERROR(LOOKUP(HX$1,$S37:$HK37,csv!$L37:$HD37)),NA(),LOOKUP(HX$1,$S37:$HK37,csv!$L37:$HD37))</f>
        <v>0</v>
      </c>
      <c r="HY37" s="5">
        <f>IF(ISERROR(LOOKUP(HY$1,$S37:$HK37,csv!$L37:$HD37)),NA(),LOOKUP(HY$1,$S37:$HK37,csv!$L37:$HD37))</f>
        <v>0</v>
      </c>
      <c r="HZ37" s="5">
        <f>IF(ISERROR(LOOKUP(HZ$1,$S37:$HK37,csv!$L37:$HD37)),NA(),LOOKUP(HZ$1,$S37:$HK37,csv!$L37:$HD37))</f>
        <v>0</v>
      </c>
      <c r="IA37" s="5">
        <f>IF(ISERROR(LOOKUP(IA$1,$S37:$HK37,csv!$L37:$HD37)),NA(),LOOKUP(IA$1,$S37:$HK37,csv!$L37:$HD37))</f>
        <v>0</v>
      </c>
      <c r="IB37" s="5">
        <f>IF(ISERROR(LOOKUP(IB$1,$S37:$HK37,csv!$L37:$HD37)),NA(),LOOKUP(IB$1,$S37:$HK37,csv!$L37:$HD37))</f>
        <v>0</v>
      </c>
      <c r="IC37" s="5">
        <f>IF(ISERROR(LOOKUP(IC$1,$S37:$HK37,csv!$L37:$HD37)),NA(),LOOKUP(IC$1,$S37:$HK37,csv!$L37:$HD37))</f>
        <v>0</v>
      </c>
      <c r="ID37" s="5">
        <f>IF(ISERROR(LOOKUP(ID$1,$S37:$HK37,csv!$L37:$HD37)),NA(),LOOKUP(ID$1,$S37:$HK37,csv!$L37:$HD37))</f>
        <v>0</v>
      </c>
      <c r="IE37" s="5">
        <f>IF(ISERROR(LOOKUP(IE$1,$S37:$HK37,csv!$L37:$HD37)),NA(),LOOKUP(IE$1,$S37:$HK37,csv!$L37:$HD37))</f>
        <v>0</v>
      </c>
      <c r="IF37" s="5">
        <f>IF(ISERROR(LOOKUP(IF$1,$S37:$HK37,csv!$L37:$HD37)),NA(),LOOKUP(IF$1,$S37:$HK37,csv!$L37:$HD37))</f>
        <v>0</v>
      </c>
      <c r="IG37" s="5">
        <f>IF(ISERROR(LOOKUP(IG$1,$S37:$HK37,csv!$L37:$HD37)),NA(),LOOKUP(IG$1,$S37:$HK37,csv!$L37:$HD37))</f>
        <v>0</v>
      </c>
      <c r="IH37" s="5">
        <f>IF(ISERROR(LOOKUP(IH$1,$S37:$HK37,csv!$L37:$HD37)),NA(),LOOKUP(IH$1,$S37:$HK37,csv!$L37:$HD37))</f>
        <v>0</v>
      </c>
      <c r="II37" s="5">
        <f>IF(ISERROR(LOOKUP(II$1,$S37:$HK37,csv!$L37:$HD37)),NA(),LOOKUP(II$1,$S37:$HK37,csv!$L37:$HD37))</f>
        <v>0</v>
      </c>
      <c r="IJ37" s="5">
        <f>IF(ISERROR(LOOKUP(IJ$1,$S37:$HK37,csv!$L37:$HD37)),NA(),LOOKUP(IJ$1,$S37:$HK37,csv!$L37:$HD37))</f>
        <v>0</v>
      </c>
      <c r="IK37" s="5">
        <f>IF(ISERROR(LOOKUP(IK$1,$S37:$HK37,csv!$L37:$HD37)),NA(),LOOKUP(IK$1,$S37:$HK37,csv!$L37:$HD37))</f>
        <v>0</v>
      </c>
      <c r="IL37" s="5">
        <f>IF(ISERROR(LOOKUP(IL$1,$S37:$HK37,csv!$L37:$HD37)),NA(),LOOKUP(IL$1,$S37:$HK37,csv!$L37:$HD37))</f>
        <v>0</v>
      </c>
      <c r="IM37" s="5">
        <f>IF(ISERROR(LOOKUP(IM$1,$S37:$HK37,csv!$L37:$HD37)),NA(),LOOKUP(IM$1,$S37:$HK37,csv!$L37:$HD37))</f>
        <v>0</v>
      </c>
      <c r="IN37" s="5">
        <f>IF(ISERROR(LOOKUP(IN$1,$S37:$HK37,csv!$L37:$HD37)),NA(),LOOKUP(IN$1,$S37:$HK37,csv!$L37:$HD37))</f>
        <v>0</v>
      </c>
      <c r="IO37" s="5">
        <f>IF(ISERROR(LOOKUP(IO$1,$S37:$HK37,csv!$L37:$HD37)),NA(),LOOKUP(IO$1,$S37:$HK37,csv!$L37:$HD37))</f>
        <v>0</v>
      </c>
      <c r="IP37" s="5">
        <f>IF(ISERROR(LOOKUP(IP$1,$S37:$HK37,csv!$L37:$HD37)),NA(),LOOKUP(IP$1,$S37:$HK37,csv!$L37:$HD37))</f>
        <v>0</v>
      </c>
      <c r="IQ37" s="5">
        <f>IF(ISERROR(LOOKUP(IQ$1,$S37:$HK37,csv!$L37:$HD37)),NA(),LOOKUP(IQ$1,$S37:$HK37,csv!$L37:$HD37))</f>
        <v>0</v>
      </c>
      <c r="IR37" s="5">
        <f>IF(ISERROR(LOOKUP(IR$1,$S37:$HK37,csv!$L37:$HD37)),NA(),LOOKUP(IR$1,$S37:$HK37,csv!$L37:$HD37))</f>
        <v>0</v>
      </c>
      <c r="IS37" s="5">
        <f>IF(ISERROR(LOOKUP(IS$1,$S37:$HK37,csv!$L37:$HD37)),NA(),LOOKUP(IS$1,$S37:$HK37,csv!$L37:$HD37))</f>
        <v>0</v>
      </c>
      <c r="IT37" s="5">
        <f>IF(ISERROR(LOOKUP(IT$1,$S37:$HK37,csv!$L37:$HD37)),NA(),LOOKUP(IT$1,$S37:$HK37,csv!$L37:$HD37))</f>
        <v>0</v>
      </c>
      <c r="IU37" s="5">
        <f>IF(ISERROR(LOOKUP(IU$1,$S37:$HK37,csv!$L37:$HD37)),NA(),LOOKUP(IU$1,$S37:$HK37,csv!$L37:$HD37))</f>
        <v>0</v>
      </c>
      <c r="IV37" s="5">
        <f>IF(ISERROR(LOOKUP(IV$1,$S37:$HK37,csv!$L37:$HD37)),NA(),LOOKUP(IV$1,$S37:$HK37,csv!$L37:$HD37))</f>
        <v>0</v>
      </c>
      <c r="IW37" s="5">
        <f>IF(ISERROR(LOOKUP(IW$1,$S37:$HK37,csv!$L37:$HD37)),NA(),LOOKUP(IW$1,$S37:$HK37,csv!$L37:$HD37))</f>
        <v>0</v>
      </c>
      <c r="IX37" s="5">
        <f>IF(ISERROR(LOOKUP(IX$1,$S37:$HK37,csv!$L37:$HD37)),NA(),LOOKUP(IX$1,$S37:$HK37,csv!$L37:$HD37))</f>
        <v>0</v>
      </c>
      <c r="IY37" s="5">
        <f>IF(ISERROR(LOOKUP(IY$1,$S37:$HK37,csv!$L37:$HD37)),NA(),LOOKUP(IY$1,$S37:$HK37,csv!$L37:$HD37))</f>
        <v>0</v>
      </c>
      <c r="IZ37" s="5">
        <f>IF(ISERROR(LOOKUP(IZ$1,$S37:$HK37,csv!$L37:$HD37)),NA(),LOOKUP(IZ$1,$S37:$HK37,csv!$L37:$HD37))</f>
        <v>0</v>
      </c>
      <c r="JA37" s="5">
        <f>IF(ISERROR(LOOKUP(JA$1,$S37:$HK37,csv!$L37:$HD37)),NA(),LOOKUP(JA$1,$S37:$HK37,csv!$L37:$HD37))</f>
        <v>0</v>
      </c>
      <c r="JB37" s="5">
        <f>IF(ISERROR(LOOKUP(JB$1,$S37:$HK37,csv!$L37:$HD37)),NA(),LOOKUP(JB$1,$S37:$HK37,csv!$L37:$HD37))</f>
        <v>0</v>
      </c>
      <c r="JC37" s="5">
        <f>IF(ISERROR(LOOKUP(JC$1,$S37:$HK37,csv!$L37:$HD37)),NA(),LOOKUP(JC$1,$S37:$HK37,csv!$L37:$HD37))</f>
        <v>0</v>
      </c>
      <c r="JD37" s="5">
        <f>IF(ISERROR(LOOKUP(JD$1,$S37:$HK37,csv!$L37:$HD37)),NA(),LOOKUP(JD$1,$S37:$HK37,csv!$L37:$HD37))</f>
        <v>0</v>
      </c>
      <c r="JE37" s="5">
        <f>IF(ISERROR(LOOKUP(JE$1,$S37:$HK37,csv!$L37:$HD37)),NA(),LOOKUP(JE$1,$S37:$HK37,csv!$L37:$HD37))</f>
        <v>0</v>
      </c>
      <c r="JF37" s="5">
        <f>IF(ISERROR(LOOKUP(JF$1,$S37:$HK37,csv!$L37:$HD37)),NA(),LOOKUP(JF$1,$S37:$HK37,csv!$L37:$HD37))</f>
        <v>0</v>
      </c>
      <c r="JG37" s="5">
        <f>IF(ISERROR(LOOKUP(JG$1,$S37:$HK37,csv!$L37:$HD37)),NA(),LOOKUP(JG$1,$S37:$HK37,csv!$L37:$HD37))</f>
        <v>0</v>
      </c>
      <c r="JH37" s="5">
        <f>IF(ISERROR(LOOKUP(JH$1,$S37:$HK37,csv!$L37:$HD37)),NA(),LOOKUP(JH$1,$S37:$HK37,csv!$L37:$HD37))</f>
        <v>0</v>
      </c>
      <c r="JI37" s="5">
        <f>IF(ISERROR(LOOKUP(JI$1,$S37:$HK37,csv!$L37:$HD37)),NA(),LOOKUP(JI$1,$S37:$HK37,csv!$L37:$HD37))</f>
        <v>0</v>
      </c>
      <c r="JJ37" s="5">
        <f>IF(ISERROR(LOOKUP(JJ$1,$S37:$HK37,csv!$L37:$HD37)),NA(),LOOKUP(JJ$1,$S37:$HK37,csv!$L37:$HD37))</f>
        <v>0</v>
      </c>
      <c r="JK37" s="5">
        <f>IF(ISERROR(LOOKUP(JK$1,$S37:$HK37,csv!$L37:$HD37)),NA(),LOOKUP(JK$1,$S37:$HK37,csv!$L37:$HD37))</f>
        <v>0</v>
      </c>
      <c r="JL37" s="5">
        <f>IF(ISERROR(LOOKUP(JL$1,$S37:$HK37,csv!$L37:$HD37)),NA(),LOOKUP(JL$1,$S37:$HK37,csv!$L37:$HD37))</f>
        <v>0</v>
      </c>
      <c r="JM37" s="5">
        <f>IF(ISERROR(LOOKUP(JM$1,$S37:$HK37,csv!$L37:$HD37)),NA(),LOOKUP(JM$1,$S37:$HK37,csv!$L37:$HD37))</f>
        <v>0</v>
      </c>
      <c r="JN37" s="5">
        <f>IF(ISERROR(LOOKUP(JN$1,$S37:$HK37,csv!$L37:$HD37)),NA(),LOOKUP(JN$1,$S37:$HK37,csv!$L37:$HD37))</f>
        <v>0</v>
      </c>
      <c r="JO37" s="5">
        <f>IF(ISERROR(LOOKUP(JO$1,$S37:$HK37,csv!$L37:$HD37)),NA(),LOOKUP(JO$1,$S37:$HK37,csv!$L37:$HD37))</f>
        <v>0</v>
      </c>
      <c r="JP37" s="5">
        <f>IF(ISERROR(LOOKUP(JP$1,$S37:$HK37,csv!$L37:$HD37)),NA(),LOOKUP(JP$1,$S37:$HK37,csv!$L37:$HD37))</f>
        <v>0</v>
      </c>
      <c r="JQ37" s="5">
        <f>IF(ISERROR(LOOKUP(JQ$1,$S37:$HK37,csv!$L37:$HD37)),NA(),LOOKUP(JQ$1,$S37:$HK37,csv!$L37:$HD37))</f>
        <v>0</v>
      </c>
      <c r="JR37" s="5">
        <f>IF(ISERROR(LOOKUP(JR$1,$S37:$HK37,csv!$L37:$HD37)),NA(),LOOKUP(JR$1,$S37:$HK37,csv!$L37:$HD37))</f>
        <v>0</v>
      </c>
      <c r="JS37" s="5">
        <f>IF(ISERROR(LOOKUP(JS$1,$S37:$HK37,csv!$L37:$HD37)),NA(),LOOKUP(JS$1,$S37:$HK37,csv!$L37:$HD37))</f>
        <v>0</v>
      </c>
      <c r="JT37" s="5">
        <f>IF(ISERROR(LOOKUP(JT$1,$S37:$HK37,csv!$L37:$HD37)),NA(),LOOKUP(JT$1,$S37:$HK37,csv!$L37:$HD37))</f>
        <v>0</v>
      </c>
      <c r="JU37" s="5">
        <f>IF(ISERROR(LOOKUP(JU$1,$S37:$HK37,csv!$L37:$HD37)),NA(),LOOKUP(JU$1,$S37:$HK37,csv!$L37:$HD37))</f>
        <v>0</v>
      </c>
      <c r="JV37" s="5">
        <f>IF(ISERROR(LOOKUP(JV$1,$S37:$HK37,csv!$L37:$HD37)),NA(),LOOKUP(JV$1,$S37:$HK37,csv!$L37:$HD37))</f>
        <v>0</v>
      </c>
      <c r="JW37" s="5">
        <f>IF(ISERROR(LOOKUP(JW$1,$S37:$HK37,csv!$L37:$HD37)),NA(),LOOKUP(JW$1,$S37:$HK37,csv!$L37:$HD37))</f>
        <v>0</v>
      </c>
      <c r="JX37" s="5">
        <f>IF(ISERROR(LOOKUP(JX$1,$S37:$HK37,csv!$L37:$HD37)),NA(),LOOKUP(JX$1,$S37:$HK37,csv!$L37:$HD37))</f>
        <v>0</v>
      </c>
      <c r="JY37" s="5">
        <f>IF(ISERROR(LOOKUP(JY$1,$S37:$HK37,csv!$L37:$HD37)),NA(),LOOKUP(JY$1,$S37:$HK37,csv!$L37:$HD37))</f>
        <v>0</v>
      </c>
      <c r="JZ37" s="5">
        <f>IF(ISERROR(LOOKUP(JZ$1,$S37:$HK37,csv!$L37:$HD37)),NA(),LOOKUP(JZ$1,$S37:$HK37,csv!$L37:$HD37))</f>
        <v>0</v>
      </c>
      <c r="KA37" s="5">
        <f>IF(ISERROR(LOOKUP(KA$1,$S37:$HK37,csv!$L37:$HD37)),NA(),LOOKUP(KA$1,$S37:$HK37,csv!$L37:$HD37))</f>
        <v>0</v>
      </c>
      <c r="KB37" s="5">
        <f>IF(ISERROR(LOOKUP(KB$1,$S37:$HK37,csv!$L37:$HD37)),NA(),LOOKUP(KB$1,$S37:$HK37,csv!$L37:$HD37))</f>
        <v>0</v>
      </c>
      <c r="KC37" s="5">
        <f>IF(ISERROR(LOOKUP(KC$1,$S37:$HK37,csv!$L37:$HD37)),NA(),LOOKUP(KC$1,$S37:$HK37,csv!$L37:$HD37))</f>
        <v>0</v>
      </c>
      <c r="KD37" s="5">
        <f>IF(ISERROR(LOOKUP(KD$1,$S37:$HK37,csv!$L37:$HD37)),NA(),LOOKUP(KD$1,$S37:$HK37,csv!$L37:$HD37))</f>
        <v>0</v>
      </c>
      <c r="KE37" s="5">
        <f>IF(ISERROR(LOOKUP(KE$1,$S37:$HK37,csv!$L37:$HD37)),NA(),LOOKUP(KE$1,$S37:$HK37,csv!$L37:$HD37))</f>
        <v>0</v>
      </c>
      <c r="KF37" s="5">
        <f>IF(ISERROR(LOOKUP(KF$1,$S37:$HK37,csv!$L37:$HD37)),NA(),LOOKUP(KF$1,$S37:$HK37,csv!$L37:$HD37))</f>
        <v>0</v>
      </c>
      <c r="KG37" s="5">
        <f>IF(ISERROR(LOOKUP(KG$1,$S37:$HK37,csv!$L37:$HD37)),NA(),LOOKUP(KG$1,$S37:$HK37,csv!$L37:$HD37))</f>
        <v>0</v>
      </c>
      <c r="KH37" s="5">
        <f>IF(ISERROR(LOOKUP(KH$1,$S37:$HK37,csv!$L37:$HD37)),NA(),LOOKUP(KH$1,$S37:$HK37,csv!$L37:$HD37))</f>
        <v>0</v>
      </c>
      <c r="KI37" s="5">
        <f>IF(ISERROR(LOOKUP(KI$1,$S37:$HK37,csv!$L37:$HD37)),NA(),LOOKUP(KI$1,$S37:$HK37,csv!$L37:$HD37))</f>
        <v>0</v>
      </c>
      <c r="KJ37" s="5">
        <f>IF(ISERROR(LOOKUP(KJ$1,$S37:$HK37,csv!$L37:$HD37)),NA(),LOOKUP(KJ$1,$S37:$HK37,csv!$L37:$HD37))</f>
        <v>0</v>
      </c>
      <c r="KK37" s="5">
        <f>IF(ISERROR(LOOKUP(KK$1,$S37:$HK37,csv!$L37:$HD37)),NA(),LOOKUP(KK$1,$S37:$HK37,csv!$L37:$HD37))</f>
        <v>0</v>
      </c>
      <c r="KL37" s="5">
        <f>IF(ISERROR(LOOKUP(KL$1,$S37:$HK37,csv!$L37:$HD37)),NA(),LOOKUP(KL$1,$S37:$HK37,csv!$L37:$HD37))</f>
        <v>0</v>
      </c>
      <c r="KM37" s="5">
        <f>IF(ISERROR(LOOKUP(KM$1,$S37:$HK37,csv!$L37:$HD37)),NA(),LOOKUP(KM$1,$S37:$HK37,csv!$L37:$HD37))</f>
        <v>0</v>
      </c>
      <c r="KN37" s="5">
        <f>IF(ISERROR(LOOKUP(KN$1,$S37:$HK37,csv!$L37:$HD37)),NA(),LOOKUP(KN$1,$S37:$HK37,csv!$L37:$HD37))</f>
        <v>0</v>
      </c>
      <c r="KO37" s="5">
        <f>IF(ISERROR(LOOKUP(KO$1,$S37:$HK37,csv!$L37:$HD37)),NA(),LOOKUP(KO$1,$S37:$HK37,csv!$L37:$HD37))</f>
        <v>0</v>
      </c>
      <c r="KP37" s="5">
        <f>IF(ISERROR(LOOKUP(KP$1,$S37:$HK37,csv!$L37:$HD37)),NA(),LOOKUP(KP$1,$S37:$HK37,csv!$L37:$HD37))</f>
        <v>0</v>
      </c>
      <c r="KQ37" s="5">
        <f>IF(ISERROR(LOOKUP(KQ$1,$S37:$HK37,csv!$L37:$HD37)),NA(),LOOKUP(KQ$1,$S37:$HK37,csv!$L37:$HD37))</f>
        <v>0</v>
      </c>
      <c r="KR37" s="5">
        <f>IF(ISERROR(LOOKUP(KR$1,$S37:$HK37,csv!$L37:$HD37)),NA(),LOOKUP(KR$1,$S37:$HK37,csv!$L37:$HD37))</f>
        <v>0</v>
      </c>
      <c r="KS37" s="5">
        <f>IF(ISERROR(LOOKUP(KS$1,$S37:$HK37,csv!$L37:$HD37)),NA(),LOOKUP(KS$1,$S37:$HK37,csv!$L37:$HD37))</f>
        <v>0</v>
      </c>
      <c r="KT37" s="5">
        <f>IF(ISERROR(LOOKUP(KT$1,$S37:$HK37,csv!$L37:$HD37)),NA(),LOOKUP(KT$1,$S37:$HK37,csv!$L37:$HD37))</f>
        <v>0</v>
      </c>
      <c r="KU37" s="5">
        <f>IF(ISERROR(LOOKUP(KU$1,$S37:$HK37,csv!$L37:$HD37)),NA(),LOOKUP(KU$1,$S37:$HK37,csv!$L37:$HD37))</f>
        <v>0</v>
      </c>
      <c r="KV37" s="5">
        <f>IF(ISERROR(LOOKUP(KV$1,$S37:$HK37,csv!$L37:$HD37)),NA(),LOOKUP(KV$1,$S37:$HK37,csv!$L37:$HD37))</f>
        <v>0</v>
      </c>
      <c r="KW37" s="5">
        <f>IF(ISERROR(LOOKUP(KW$1,$S37:$HK37,csv!$L37:$HD37)),NA(),LOOKUP(KW$1,$S37:$HK37,csv!$L37:$HD37))</f>
        <v>0</v>
      </c>
      <c r="KX37" s="5">
        <f>IF(ISERROR(LOOKUP(KX$1,$S37:$HK37,csv!$L37:$HD37)),NA(),LOOKUP(KX$1,$S37:$HK37,csv!$L37:$HD37))</f>
        <v>0</v>
      </c>
      <c r="KY37" s="5">
        <f>IF(ISERROR(LOOKUP(KY$1,$S37:$HK37,csv!$L37:$HD37)),NA(),LOOKUP(KY$1,$S37:$HK37,csv!$L37:$HD37))</f>
        <v>0</v>
      </c>
      <c r="KZ37" s="5">
        <f>IF(ISERROR(LOOKUP(KZ$1,$S37:$HK37,csv!$L37:$HD37)),NA(),LOOKUP(KZ$1,$S37:$HK37,csv!$L37:$HD37))</f>
        <v>0</v>
      </c>
      <c r="LA37" s="5">
        <f>IF(ISERROR(LOOKUP(LA$1,$S37:$HK37,csv!$L37:$HD37)),NA(),LOOKUP(LA$1,$S37:$HK37,csv!$L37:$HD37))</f>
        <v>0</v>
      </c>
      <c r="LB37" s="5">
        <f>IF(ISERROR(LOOKUP(LB$1,$S37:$HK37,csv!$L37:$HD37)),NA(),LOOKUP(LB$1,$S37:$HK37,csv!$L37:$HD37))</f>
        <v>0</v>
      </c>
      <c r="LC37" s="5">
        <f>IF(ISERROR(LOOKUP(LC$1,$S37:$HK37,csv!$L37:$HD37)),NA(),LOOKUP(LC$1,$S37:$HK37,csv!$L37:$HD37))</f>
        <v>0</v>
      </c>
      <c r="LD37" s="5">
        <f>IF(ISERROR(LOOKUP(LD$1,$S37:$HK37,csv!$L37:$HD37)),NA(),LOOKUP(LD$1,$S37:$HK37,csv!$L37:$HD37))</f>
        <v>0</v>
      </c>
      <c r="LE37" s="5">
        <f>IF(ISERROR(LOOKUP(LE$1,$S37:$HK37,csv!$L37:$HD37)),NA(),LOOKUP(LE$1,$S37:$HK37,csv!$L37:$HD37))</f>
        <v>0</v>
      </c>
      <c r="LF37" s="5">
        <f>IF(ISERROR(LOOKUP(LF$1,$S37:$HK37,csv!$L37:$HD37)),NA(),LOOKUP(LF$1,$S37:$HK37,csv!$L37:$HD37))</f>
        <v>0</v>
      </c>
      <c r="LG37" s="5">
        <f>IF(ISERROR(LOOKUP(LG$1,$S37:$HK37,csv!$L37:$HD37)),NA(),LOOKUP(LG$1,$S37:$HK37,csv!$L37:$HD37))</f>
        <v>0</v>
      </c>
      <c r="LH37" s="5">
        <f>IF(ISERROR(LOOKUP(LH$1,$S37:$HK37,csv!$L37:$HD37)),NA(),LOOKUP(LH$1,$S37:$HK37,csv!$L37:$HD37))</f>
        <v>0</v>
      </c>
      <c r="LI37" s="5">
        <f>IF(ISERROR(LOOKUP(LI$1,$S37:$HK37,csv!$L37:$HD37)),NA(),LOOKUP(LI$1,$S37:$HK37,csv!$L37:$HD37))</f>
        <v>0</v>
      </c>
      <c r="LJ37" s="5">
        <f>IF(ISERROR(LOOKUP(LJ$1,$S37:$HK37,csv!$L37:$HD37)),NA(),LOOKUP(LJ$1,$S37:$HK37,csv!$L37:$HD37))</f>
        <v>0</v>
      </c>
      <c r="LK37" s="5">
        <f>IF(ISERROR(LOOKUP(LK$1,$S37:$HK37,csv!$L37:$HD37)),NA(),LOOKUP(LK$1,$S37:$HK37,csv!$L37:$HD37))</f>
        <v>0</v>
      </c>
      <c r="LL37" s="5">
        <f>IF(ISERROR(LOOKUP(LL$1,$S37:$HK37,csv!$L37:$HD37)),NA(),LOOKUP(LL$1,$S37:$HK37,csv!$L37:$HD37))</f>
        <v>0</v>
      </c>
      <c r="LM37" s="5">
        <f>IF(ISERROR(LOOKUP(LM$1,$S37:$HK37,csv!$L37:$HD37)),NA(),LOOKUP(LM$1,$S37:$HK37,csv!$L37:$HD37))</f>
        <v>0</v>
      </c>
      <c r="LN37" s="5">
        <f>IF(ISERROR(LOOKUP(LN$1,$S37:$HK37,csv!$L37:$HD37)),NA(),LOOKUP(LN$1,$S37:$HK37,csv!$L37:$HD37))</f>
        <v>0</v>
      </c>
      <c r="LO37" s="5">
        <f>IF(ISERROR(LOOKUP(LO$1,$S37:$HK37,csv!$L37:$HD37)),NA(),LOOKUP(LO$1,$S37:$HK37,csv!$L37:$HD37))</f>
        <v>0</v>
      </c>
      <c r="LP37" s="5">
        <f>IF(ISERROR(LOOKUP(LP$1,$S37:$HK37,csv!$L37:$HD37)),NA(),LOOKUP(LP$1,$S37:$HK37,csv!$L37:$HD37))</f>
        <v>0</v>
      </c>
      <c r="LQ37" s="5">
        <f>IF(ISERROR(LOOKUP(LQ$1,$S37:$HK37,csv!$L37:$HD37)),NA(),LOOKUP(LQ$1,$S37:$HK37,csv!$L37:$HD37))</f>
        <v>0</v>
      </c>
      <c r="LR37" s="5">
        <f>IF(ISERROR(LOOKUP(LR$1,$S37:$HK37,csv!$L37:$HD37)),NA(),LOOKUP(LR$1,$S37:$HK37,csv!$L37:$HD37))</f>
        <v>0</v>
      </c>
      <c r="LS37" s="5">
        <f>IF(ISERROR(LOOKUP(LS$1,$S37:$HK37,csv!$L37:$HD37)),NA(),LOOKUP(LS$1,$S37:$HK37,csv!$L37:$HD37))</f>
        <v>0</v>
      </c>
      <c r="LT37" s="5">
        <f>IF(ISERROR(LOOKUP(LT$1,$S37:$HK37,csv!$L37:$HD37)),NA(),LOOKUP(LT$1,$S37:$HK37,csv!$L37:$HD37))</f>
        <v>0</v>
      </c>
      <c r="LU37" s="5">
        <f>IF(ISERROR(LOOKUP(LU$1,$S37:$HK37,csv!$L37:$HD37)),NA(),LOOKUP(LU$1,$S37:$HK37,csv!$L37:$HD37))</f>
        <v>0</v>
      </c>
      <c r="LV37" s="5">
        <f>IF(ISERROR(LOOKUP(LV$1,$S37:$HK37,csv!$L37:$HD37)),NA(),LOOKUP(LV$1,$S37:$HK37,csv!$L37:$HD37))</f>
        <v>0</v>
      </c>
      <c r="LW37" s="5">
        <f>IF(ISERROR(LOOKUP(LW$1,$S37:$HK37,csv!$L37:$HD37)),NA(),LOOKUP(LW$1,$S37:$HK37,csv!$L37:$HD37))</f>
        <v>0</v>
      </c>
      <c r="LX37" s="5">
        <f>IF(ISERROR(LOOKUP(LX$1,$S37:$HK37,csv!$L37:$HD37)),NA(),LOOKUP(LX$1,$S37:$HK37,csv!$L37:$HD37))</f>
        <v>0</v>
      </c>
      <c r="LY37" s="5">
        <f>IF(ISERROR(LOOKUP(LY$1,$S37:$HK37,csv!$L37:$HD37)),NA(),LOOKUP(LY$1,$S37:$HK37,csv!$L37:$HD37))</f>
        <v>0</v>
      </c>
      <c r="LZ37" s="5">
        <f>IF(ISERROR(LOOKUP(LZ$1,$S37:$HK37,csv!$L37:$HD37)),NA(),LOOKUP(LZ$1,$S37:$HK37,csv!$L37:$HD37))</f>
        <v>0</v>
      </c>
      <c r="MA37" s="5">
        <f>IF(ISERROR(LOOKUP(MA$1,$S37:$HK37,csv!$L37:$HD37)),NA(),LOOKUP(MA$1,$S37:$HK37,csv!$L37:$HD37))</f>
        <v>0</v>
      </c>
      <c r="MB37" s="5">
        <f>IF(ISERROR(LOOKUP(MB$1,$S37:$HK37,csv!$L37:$HD37)),NA(),LOOKUP(MB$1,$S37:$HK37,csv!$L37:$HD37))</f>
        <v>0</v>
      </c>
      <c r="MC37" s="5">
        <f>IF(ISERROR(LOOKUP(MC$1,$S37:$HK37,csv!$L37:$HD37)),NA(),LOOKUP(MC$1,$S37:$HK37,csv!$L37:$HD37))</f>
        <v>0</v>
      </c>
      <c r="MD37" s="5">
        <f>IF(ISERROR(LOOKUP(MD$1,$S37:$HK37,csv!$L37:$HD37)),NA(),LOOKUP(MD$1,$S37:$HK37,csv!$L37:$HD37))</f>
        <v>0</v>
      </c>
      <c r="ME37" s="5">
        <f>IF(ISERROR(LOOKUP(ME$1,$S37:$HK37,csv!$L37:$HD37)),NA(),LOOKUP(ME$1,$S37:$HK37,csv!$L37:$HD37))</f>
        <v>0</v>
      </c>
      <c r="MF37" s="5">
        <f>IF(ISERROR(LOOKUP(MF$1,$S37:$HK37,csv!$L37:$HD37)),NA(),LOOKUP(MF$1,$S37:$HK37,csv!$L37:$HD37))</f>
        <v>0</v>
      </c>
      <c r="MG37" s="5">
        <f>IF(ISERROR(LOOKUP(MG$1,$S37:$HK37,csv!$L37:$HD37)),NA(),LOOKUP(MG$1,$S37:$HK37,csv!$L37:$HD37))</f>
        <v>0</v>
      </c>
      <c r="MH37" s="5">
        <f>IF(ISERROR(LOOKUP(MH$1,$S37:$HK37,csv!$L37:$HD37)),NA(),LOOKUP(MH$1,$S37:$HK37,csv!$L37:$HD37))</f>
        <v>0</v>
      </c>
      <c r="MI37" s="5">
        <f>IF(ISERROR(LOOKUP(MI$1,$S37:$HK37,csv!$L37:$HD37)),NA(),LOOKUP(MI$1,$S37:$HK37,csv!$L37:$HD37))</f>
        <v>0</v>
      </c>
      <c r="MJ37" s="5">
        <f>IF(ISERROR(LOOKUP(MJ$1,$S37:$HK37,csv!$L37:$HD37)),NA(),LOOKUP(MJ$1,$S37:$HK37,csv!$L37:$HD37))</f>
        <v>0</v>
      </c>
      <c r="MK37" s="5">
        <f>IF(ISERROR(LOOKUP(MK$1,$S37:$HK37,csv!$L37:$HD37)),NA(),LOOKUP(MK$1,$S37:$HK37,csv!$L37:$HD37))</f>
        <v>0</v>
      </c>
      <c r="ML37" s="5">
        <f>IF(ISERROR(LOOKUP(ML$1,$S37:$HK37,csv!$L37:$HD37)),NA(),LOOKUP(ML$1,$S37:$HK37,csv!$L37:$HD37))</f>
        <v>0</v>
      </c>
      <c r="MM37" s="5">
        <f>IF(ISERROR(LOOKUP(MM$1,$S37:$HK37,csv!$L37:$HD37)),NA(),LOOKUP(MM$1,$S37:$HK37,csv!$L37:$HD37))</f>
        <v>0</v>
      </c>
      <c r="MN37" s="5">
        <f>IF(ISERROR(LOOKUP(MN$1,$S37:$HK37,csv!$L37:$HD37)),NA(),LOOKUP(MN$1,$S37:$HK37,csv!$L37:$HD37))</f>
        <v>0</v>
      </c>
      <c r="MO37" s="5">
        <f>IF(ISERROR(LOOKUP(MO$1,$S37:$HK37,csv!$L37:$HD37)),NA(),LOOKUP(MO$1,$S37:$HK37,csv!$L37:$HD37))</f>
        <v>0</v>
      </c>
      <c r="MP37" s="5">
        <f>IF(ISERROR(LOOKUP(MP$1,$S37:$HK37,csv!$L37:$HD37)),NA(),LOOKUP(MP$1,$S37:$HK37,csv!$L37:$HD37))</f>
        <v>0</v>
      </c>
      <c r="MQ37" s="5">
        <f>IF(ISERROR(LOOKUP(MQ$1,$S37:$HK37,csv!$L37:$HD37)),NA(),LOOKUP(MQ$1,$S37:$HK37,csv!$L37:$HD37))</f>
        <v>0</v>
      </c>
      <c r="MR37" s="5">
        <f>IF(ISERROR(LOOKUP(MR$1,$S37:$HK37,csv!$L37:$HD37)),NA(),LOOKUP(MR$1,$S37:$HK37,csv!$L37:$HD37))</f>
        <v>0</v>
      </c>
      <c r="MS37" s="5">
        <f>IF(ISERROR(LOOKUP(MS$1,$S37:$HK37,csv!$L37:$HD37)),NA(),LOOKUP(MS$1,$S37:$HK37,csv!$L37:$HD37))</f>
        <v>0</v>
      </c>
      <c r="MT37" s="5">
        <f>IF(ISERROR(LOOKUP(MT$1,$S37:$HK37,csv!$L37:$HD37)),NA(),LOOKUP(MT$1,$S37:$HK37,csv!$L37:$HD37))</f>
        <v>0</v>
      </c>
      <c r="MU37" s="5">
        <f>IF(ISERROR(LOOKUP(MU$1,$S37:$HK37,csv!$L37:$HD37)),NA(),LOOKUP(MU$1,$S37:$HK37,csv!$L37:$HD37))</f>
        <v>0</v>
      </c>
      <c r="MV37" s="5">
        <f>IF(ISERROR(LOOKUP(MV$1,$S37:$HK37,csv!$L37:$HD37)),NA(),LOOKUP(MV$1,$S37:$HK37,csv!$L37:$HD37))</f>
        <v>0</v>
      </c>
      <c r="MW37" s="5">
        <f>IF(ISERROR(LOOKUP(MW$1,$S37:$HK37,csv!$L37:$HD37)),NA(),LOOKUP(MW$1,$S37:$HK37,csv!$L37:$HD37))</f>
        <v>0</v>
      </c>
      <c r="MX37" s="5">
        <f>IF(ISERROR(LOOKUP(MX$1,$S37:$HK37,csv!$L37:$HD37)),NA(),LOOKUP(MX$1,$S37:$HK37,csv!$L37:$HD37))</f>
        <v>0</v>
      </c>
      <c r="MY37" s="5">
        <f>IF(ISERROR(LOOKUP(MY$1,$S37:$HK37,csv!$L37:$HD37)),NA(),LOOKUP(MY$1,$S37:$HK37,csv!$L37:$HD37))</f>
        <v>0</v>
      </c>
      <c r="MZ37" s="5">
        <f>IF(ISERROR(LOOKUP(MZ$1,$S37:$HK37,csv!$L37:$HD37)),NA(),LOOKUP(MZ$1,$S37:$HK37,csv!$L37:$HD37))</f>
        <v>0</v>
      </c>
      <c r="NA37" s="5">
        <f>IF(ISERROR(LOOKUP(NA$1,$S37:$HK37,csv!$L37:$HD37)),NA(),LOOKUP(NA$1,$S37:$HK37,csv!$L37:$HD37))</f>
        <v>0</v>
      </c>
      <c r="NB37" s="5">
        <f>IF(ISERROR(LOOKUP(NB$1,$S37:$HK37,csv!$L37:$HD37)),NA(),LOOKUP(NB$1,$S37:$HK37,csv!$L37:$HD37))</f>
        <v>0</v>
      </c>
      <c r="NC37" s="5">
        <f>IF(ISERROR(LOOKUP(NC$1,$S37:$HK37,csv!$L37:$HD37)),NA(),LOOKUP(NC$1,$S37:$HK37,csv!$L37:$HD37))</f>
        <v>0</v>
      </c>
      <c r="ND37" s="5">
        <f>IF(ISERROR(LOOKUP(ND$1,$S37:$HK37,csv!$L37:$HD37)),NA(),LOOKUP(ND$1,$S37:$HK37,csv!$L37:$HD37))</f>
        <v>0</v>
      </c>
      <c r="NE37" s="5">
        <f>IF(ISERROR(LOOKUP(NE$1,$S37:$HK37,csv!$L37:$HD37)),NA(),LOOKUP(NE$1,$S37:$HK37,csv!$L37:$HD37))</f>
        <v>0</v>
      </c>
      <c r="NF37" s="5">
        <f>IF(ISERROR(LOOKUP(NF$1,$S37:$HK37,csv!$L37:$HD37)),NA(),LOOKUP(NF$1,$S37:$HK37,csv!$L37:$HD37))</f>
        <v>0</v>
      </c>
      <c r="NG37" s="5">
        <f>IF(ISERROR(LOOKUP(NG$1,$S37:$HK37,csv!$L37:$HD37)),NA(),LOOKUP(NG$1,$S37:$HK37,csv!$L37:$HD37))</f>
        <v>0</v>
      </c>
      <c r="NH37" s="5">
        <f>IF(ISERROR(LOOKUP(NH$1,$S37:$HK37,csv!$L37:$HD37)),NA(),LOOKUP(NH$1,$S37:$HK37,csv!$L37:$HD37))</f>
        <v>0</v>
      </c>
      <c r="NI37" s="5">
        <f>IF(ISERROR(LOOKUP(NI$1,$S37:$HK37,csv!$L37:$HD37)),NA(),LOOKUP(NI$1,$S37:$HK37,csv!$L37:$HD37))</f>
        <v>0</v>
      </c>
      <c r="NJ37" s="5">
        <f>IF(ISERROR(LOOKUP(NJ$1,$S37:$HK37,csv!$L37:$HD37)),NA(),LOOKUP(NJ$1,$S37:$HK37,csv!$L37:$HD37))</f>
        <v>0</v>
      </c>
      <c r="NK37" s="5">
        <f>IF(ISERROR(LOOKUP(NK$1,$S37:$HK37,csv!$L37:$HD37)),NA(),LOOKUP(NK$1,$S37:$HK37,csv!$L37:$HD37))</f>
        <v>0</v>
      </c>
      <c r="NL37" s="5">
        <f>IF(ISERROR(LOOKUP(NL$1,$S37:$HK37,csv!$L37:$HD37)),NA(),LOOKUP(NL$1,$S37:$HK37,csv!$L37:$HD37))</f>
        <v>0</v>
      </c>
      <c r="NM37" s="5">
        <f>IF(ISERROR(LOOKUP(NM$1,$S37:$HK37,csv!$L37:$HD37)),NA(),LOOKUP(NM$1,$S37:$HK37,csv!$L37:$HD37))</f>
        <v>0</v>
      </c>
      <c r="NN37" s="5">
        <f>IF(ISERROR(LOOKUP(NN$1,$S37:$HK37,csv!$L37:$HD37)),NA(),LOOKUP(NN$1,$S37:$HK37,csv!$L37:$HD37))</f>
        <v>0</v>
      </c>
      <c r="NO37" s="5">
        <f>IF(ISERROR(LOOKUP(NO$1,$S37:$HK37,csv!$L37:$HD37)),NA(),LOOKUP(NO$1,$S37:$HK37,csv!$L37:$HD37))</f>
        <v>0</v>
      </c>
      <c r="NP37" s="5">
        <f>IF(ISERROR(LOOKUP(NP$1,$S37:$HK37,csv!$L37:$HD37)),NA(),LOOKUP(NP$1,$S37:$HK37,csv!$L37:$HD37))</f>
        <v>0</v>
      </c>
      <c r="NQ37" s="5">
        <f>IF(ISERROR(LOOKUP(NQ$1,$S37:$HK37,csv!$L37:$HD37)),NA(),LOOKUP(NQ$1,$S37:$HK37,csv!$L37:$HD37))</f>
        <v>0</v>
      </c>
      <c r="NR37" s="5">
        <f>IF(ISERROR(LOOKUP(NR$1,$S37:$HK37,csv!$L37:$HD37)),NA(),LOOKUP(NR$1,$S37:$HK37,csv!$L37:$HD37))</f>
        <v>0</v>
      </c>
      <c r="NS37" s="5">
        <f>IF(ISERROR(LOOKUP(NS$1,$S37:$HK37,csv!$L37:$HD37)),NA(),LOOKUP(NS$1,$S37:$HK37,csv!$L37:$HD37))</f>
        <v>0</v>
      </c>
      <c r="NT37" s="5">
        <f>IF(ISERROR(LOOKUP(NT$1,$S37:$HK37,csv!$L37:$HD37)),NA(),LOOKUP(NT$1,$S37:$HK37,csv!$L37:$HD37))</f>
        <v>0</v>
      </c>
      <c r="NU37" s="5">
        <f>IF(ISERROR(LOOKUP(NU$1,$S37:$HK37,csv!$L37:$HD37)),NA(),LOOKUP(NU$1,$S37:$HK37,csv!$L37:$HD37))</f>
        <v>0</v>
      </c>
      <c r="NV37" s="5">
        <f>IF(ISERROR(LOOKUP(NV$1,$S37:$HK37,csv!$L37:$HD37)),NA(),LOOKUP(NV$1,$S37:$HK37,csv!$L37:$HD37))</f>
        <v>0</v>
      </c>
      <c r="NW37" s="5">
        <f>IF(ISERROR(LOOKUP(NW$1,$S37:$HK37,csv!$L37:$HD37)),NA(),LOOKUP(NW$1,$S37:$HK37,csv!$L37:$HD37))</f>
        <v>0</v>
      </c>
      <c r="NX37" s="5">
        <f>IF(ISERROR(LOOKUP(NX$1,$S37:$HK37,csv!$L37:$HD37)),NA(),LOOKUP(NX$1,$S37:$HK37,csv!$L37:$HD37))</f>
        <v>0</v>
      </c>
      <c r="NY37" s="5">
        <f>IF(ISERROR(LOOKUP(NY$1,$S37:$HK37,csv!$L37:$HD37)),NA(),LOOKUP(NY$1,$S37:$HK37,csv!$L37:$HD37))</f>
        <v>0</v>
      </c>
      <c r="NZ37" s="5">
        <f>IF(ISERROR(LOOKUP(NZ$1,$S37:$HK37,csv!$L37:$HD37)),NA(),LOOKUP(NZ$1,$S37:$HK37,csv!$L37:$HD37))</f>
        <v>0</v>
      </c>
      <c r="OA37" s="5">
        <f>IF(ISERROR(LOOKUP(OA$1,$S37:$HK37,csv!$L37:$HD37)),NA(),LOOKUP(OA$1,$S37:$HK37,csv!$L37:$HD37))</f>
        <v>0</v>
      </c>
      <c r="OB37" s="5">
        <f>IF(ISERROR(LOOKUP(OB$1,$S37:$HK37,csv!$L37:$HD37)),NA(),LOOKUP(OB$1,$S37:$HK37,csv!$L37:$HD37))</f>
        <v>0</v>
      </c>
      <c r="OC37" s="5">
        <f>IF(ISERROR(LOOKUP(OC$1,$S37:$HK37,csv!$L37:$HD37)),NA(),LOOKUP(OC$1,$S37:$HK37,csv!$L37:$HD37))</f>
        <v>0</v>
      </c>
      <c r="OD37" s="5">
        <f>IF(ISERROR(LOOKUP(OD$1,$S37:$HK37,csv!$L37:$HD37)),NA(),LOOKUP(OD$1,$S37:$HK37,csv!$L37:$HD37))</f>
        <v>0</v>
      </c>
      <c r="OE37" s="5">
        <f>IF(ISERROR(LOOKUP(OE$1,$S37:$HK37,csv!$L37:$HD37)),NA(),LOOKUP(OE$1,$S37:$HK37,csv!$L37:$HD37))</f>
        <v>0</v>
      </c>
      <c r="OF37" s="5">
        <f>IF(ISERROR(LOOKUP(OF$1,$S37:$HK37,csv!$L37:$HD37)),NA(),LOOKUP(OF$1,$S37:$HK37,csv!$L37:$HD37))</f>
        <v>0</v>
      </c>
      <c r="OG37" s="5">
        <f>IF(ISERROR(LOOKUP(OG$1,$S37:$HK37,csv!$L37:$HD37)),NA(),LOOKUP(OG$1,$S37:$HK37,csv!$L37:$HD37))</f>
        <v>0</v>
      </c>
      <c r="OH37" s="5">
        <f>IF(ISERROR(LOOKUP(OH$1,$S37:$HK37,csv!$L37:$HD37)),NA(),LOOKUP(OH$1,$S37:$HK37,csv!$L37:$HD37))</f>
        <v>0</v>
      </c>
      <c r="OI37" s="5">
        <f>IF(ISERROR(LOOKUP(OI$1,$S37:$HK37,csv!$L37:$HD37)),NA(),LOOKUP(OI$1,$S37:$HK37,csv!$L37:$HD37))</f>
        <v>0</v>
      </c>
      <c r="OJ37" s="5">
        <f>IF(ISERROR(LOOKUP(OJ$1,$S37:$HK37,csv!$L37:$HD37)),NA(),LOOKUP(OJ$1,$S37:$HK37,csv!$L37:$HD37))</f>
        <v>0</v>
      </c>
      <c r="OK37" s="5">
        <f>IF(ISERROR(LOOKUP(OK$1,$S37:$HK37,csv!$L37:$HD37)),NA(),LOOKUP(OK$1,$S37:$HK37,csv!$L37:$HD37))</f>
        <v>0</v>
      </c>
      <c r="OL37" s="5">
        <f>IF(ISERROR(LOOKUP(OL$1,$S37:$HK37,csv!$L37:$HD37)),NA(),LOOKUP(OL$1,$S37:$HK37,csv!$L37:$HD37))</f>
        <v>0</v>
      </c>
      <c r="OM37" s="5">
        <f>IF(ISERROR(LOOKUP(OM$1,$S37:$HK37,csv!$L37:$HD37)),NA(),LOOKUP(OM$1,$S37:$HK37,csv!$L37:$HD37))</f>
        <v>0</v>
      </c>
      <c r="ON37" s="5">
        <f>IF(ISERROR(LOOKUP(ON$1,$S37:$HK37,csv!$L37:$HD37)),NA(),LOOKUP(ON$1,$S37:$HK37,csv!$L37:$HD37))</f>
        <v>0</v>
      </c>
      <c r="OO37" s="5">
        <f>IF(ISERROR(LOOKUP(OO$1,$S37:$HK37,csv!$L37:$HD37)),NA(),LOOKUP(OO$1,$S37:$HK37,csv!$L37:$HD37))</f>
        <v>0</v>
      </c>
      <c r="OP37" s="5">
        <f>IF(ISERROR(LOOKUP(OP$1,$S37:$HK37,csv!$L37:$HD37)),NA(),LOOKUP(OP$1,$S37:$HK37,csv!$L37:$HD37))</f>
        <v>0</v>
      </c>
      <c r="OQ37" s="5">
        <f>IF(ISERROR(LOOKUP(OQ$1,$S37:$HK37,csv!$L37:$HD37)),NA(),LOOKUP(OQ$1,$S37:$HK37,csv!$L37:$HD37))</f>
        <v>0</v>
      </c>
      <c r="OR37" s="5">
        <f>IF(ISERROR(LOOKUP(OR$1,$S37:$HK37,csv!$L37:$HD37)),NA(),LOOKUP(OR$1,$S37:$HK37,csv!$L37:$HD37))</f>
        <v>0</v>
      </c>
      <c r="OS37" s="5">
        <f>IF(ISERROR(LOOKUP(OS$1,$S37:$HK37,csv!$L37:$HD37)),NA(),LOOKUP(OS$1,$S37:$HK37,csv!$L37:$HD37))</f>
        <v>0</v>
      </c>
      <c r="OT37" s="5">
        <f>IF(ISERROR(LOOKUP(OT$1,$S37:$HK37,csv!$L37:$HD37)),NA(),LOOKUP(OT$1,$S37:$HK37,csv!$L37:$HD37))</f>
        <v>0</v>
      </c>
      <c r="OU37" s="5">
        <f>IF(ISERROR(LOOKUP(OU$1,$S37:$HK37,csv!$L37:$HD37)),NA(),LOOKUP(OU$1,$S37:$HK37,csv!$L37:$HD37))</f>
        <v>0</v>
      </c>
      <c r="OV37" s="5">
        <f>IF(ISERROR(LOOKUP(OV$1,$S37:$HK37,csv!$L37:$HD37)),NA(),LOOKUP(OV$1,$S37:$HK37,csv!$L37:$HD37))</f>
        <v>0</v>
      </c>
      <c r="OW37" s="5">
        <f>IF(ISERROR(LOOKUP(OW$1,$S37:$HK37,csv!$L37:$HD37)),NA(),LOOKUP(OW$1,$S37:$HK37,csv!$L37:$HD37))</f>
        <v>0</v>
      </c>
      <c r="OX37" s="5">
        <f>IF(ISERROR(LOOKUP(OX$1,$S37:$HK37,csv!$L37:$HD37)),NA(),LOOKUP(OX$1,$S37:$HK37,csv!$L37:$HD37))</f>
        <v>0</v>
      </c>
      <c r="OY37" s="5">
        <f>IF(ISERROR(LOOKUP(OY$1,$S37:$HK37,csv!$L37:$HD37)),NA(),LOOKUP(OY$1,$S37:$HK37,csv!$L37:$HD37))</f>
        <v>0</v>
      </c>
      <c r="OZ37" s="5">
        <f>IF(ISERROR(LOOKUP(OZ$1,$S37:$HK37,csv!$L37:$HD37)),NA(),LOOKUP(OZ$1,$S37:$HK37,csv!$L37:$HD37))</f>
        <v>0</v>
      </c>
      <c r="PA37" s="5">
        <f>IF(ISERROR(LOOKUP(PA$1,$S37:$HK37,csv!$L37:$HD37)),NA(),LOOKUP(PA$1,$S37:$HK37,csv!$L37:$HD37))</f>
        <v>0</v>
      </c>
      <c r="PB37" s="5">
        <f>IF(ISERROR(LOOKUP(PB$1,$S37:$HK37,csv!$L37:$HD37)),NA(),LOOKUP(PB$1,$S37:$HK37,csv!$L37:$HD37))</f>
        <v>0</v>
      </c>
      <c r="PC37" s="5">
        <f>IF(ISERROR(LOOKUP(PC$1,$S37:$HK37,csv!$L37:$HD37)),NA(),LOOKUP(PC$1,$S37:$HK37,csv!$L37:$HD37))</f>
        <v>0</v>
      </c>
      <c r="PD37" s="5">
        <f>IF(ISERROR(LOOKUP(PD$1,$S37:$HK37,csv!$L37:$HD37)),NA(),LOOKUP(PD$1,$S37:$HK37,csv!$L37:$HD37))</f>
        <v>0</v>
      </c>
      <c r="PE37" s="5">
        <f>IF(ISERROR(LOOKUP(PE$1,$S37:$HK37,csv!$L37:$HD37)),NA(),LOOKUP(PE$1,$S37:$HK37,csv!$L37:$HD37))</f>
        <v>0</v>
      </c>
      <c r="PF37" s="5">
        <f>IF(ISERROR(LOOKUP(PF$1,$S37:$HK37,csv!$L37:$HD37)),NA(),LOOKUP(PF$1,$S37:$HK37,csv!$L37:$HD37))</f>
        <v>0</v>
      </c>
      <c r="PG37" s="5">
        <f>IF(ISERROR(LOOKUP(PG$1,$S37:$HK37,csv!$L37:$HD37)),NA(),LOOKUP(PG$1,$S37:$HK37,csv!$L37:$HD37))</f>
        <v>0</v>
      </c>
      <c r="PH37" s="5">
        <f>IF(ISERROR(LOOKUP(PH$1,$S37:$HK37,csv!$L37:$HD37)),NA(),LOOKUP(PH$1,$S37:$HK37,csv!$L37:$HD37))</f>
        <v>0</v>
      </c>
      <c r="PI37" s="5">
        <f>IF(ISERROR(LOOKUP(PI$1,$S37:$HK37,csv!$L37:$HD37)),NA(),LOOKUP(PI$1,$S37:$HK37,csv!$L37:$HD37))</f>
        <v>0</v>
      </c>
      <c r="PJ37" s="5">
        <f>IF(ISERROR(LOOKUP(PJ$1,$S37:$HK37,csv!$L37:$HD37)),NA(),LOOKUP(PJ$1,$S37:$HK37,csv!$L37:$HD37))</f>
        <v>0</v>
      </c>
      <c r="PK37" s="5">
        <f>IF(ISERROR(LOOKUP(PK$1,$S37:$HK37,csv!$L37:$HD37)),NA(),LOOKUP(PK$1,$S37:$HK37,csv!$L37:$HD37))</f>
        <v>0</v>
      </c>
      <c r="PL37" s="5">
        <f>IF(ISERROR(LOOKUP(PL$1,$S37:$HK37,csv!$L37:$HD37)),NA(),LOOKUP(PL$1,$S37:$HK37,csv!$L37:$HD37))</f>
        <v>0</v>
      </c>
      <c r="PM37" s="5">
        <f>IF(ISERROR(LOOKUP(PM$1,$S37:$HK37,csv!$L37:$HD37)),NA(),LOOKUP(PM$1,$S37:$HK37,csv!$L37:$HD37))</f>
        <v>0</v>
      </c>
      <c r="PN37" s="5">
        <f>IF(ISERROR(LOOKUP(PN$1,$S37:$HK37,csv!$L37:$HD37)),NA(),LOOKUP(PN$1,$S37:$HK37,csv!$L37:$HD37))</f>
        <v>0</v>
      </c>
      <c r="PO37" s="5">
        <f>IF(ISERROR(LOOKUP(PO$1,$S37:$HK37,csv!$L37:$HD37)),NA(),LOOKUP(PO$1,$S37:$HK37,csv!$L37:$HD37))</f>
        <v>0</v>
      </c>
      <c r="PP37" s="5">
        <f>IF(ISERROR(LOOKUP(PP$1,$S37:$HK37,csv!$L37:$HD37)),NA(),LOOKUP(PP$1,$S37:$HK37,csv!$L37:$HD37))</f>
        <v>0</v>
      </c>
      <c r="PQ37" s="5">
        <f>IF(ISERROR(LOOKUP(PQ$1,$S37:$HK37,csv!$L37:$HD37)),NA(),LOOKUP(PQ$1,$S37:$HK37,csv!$L37:$HD37))</f>
        <v>0</v>
      </c>
      <c r="PR37" s="5">
        <f>IF(ISERROR(LOOKUP(PR$1,$S37:$HK37,csv!$L37:$HD37)),NA(),LOOKUP(PR$1,$S37:$HK37,csv!$L37:$HD37))</f>
        <v>0</v>
      </c>
      <c r="PS37" s="5">
        <f>IF(ISERROR(LOOKUP(PS$1,$S37:$HK37,csv!$L37:$HD37)),NA(),LOOKUP(PS$1,$S37:$HK37,csv!$L37:$HD37))</f>
        <v>0</v>
      </c>
      <c r="PT37" s="5">
        <f>IF(ISERROR(LOOKUP(PT$1,$S37:$HK37,csv!$L37:$HD37)),NA(),LOOKUP(PT$1,$S37:$HK37,csv!$L37:$HD37))</f>
        <v>0</v>
      </c>
      <c r="PU37" s="5">
        <f>IF(ISERROR(LOOKUP(PU$1,$S37:$HK37,csv!$L37:$HD37)),NA(),LOOKUP(PU$1,$S37:$HK37,csv!$L37:$HD37))</f>
        <v>0</v>
      </c>
      <c r="PV37" s="5">
        <f>IF(ISERROR(LOOKUP(PV$1,$S37:$HK37,csv!$L37:$HD37)),NA(),LOOKUP(PV$1,$S37:$HK37,csv!$L37:$HD37))</f>
        <v>0</v>
      </c>
      <c r="PW37" s="5">
        <f>IF(ISERROR(LOOKUP(PW$1,$S37:$HK37,csv!$L37:$HD37)),NA(),LOOKUP(PW$1,$S37:$HK37,csv!$L37:$HD37))</f>
        <v>0</v>
      </c>
      <c r="PX37" s="5">
        <f>IF(ISERROR(LOOKUP(PX$1,$S37:$HK37,csv!$L37:$HD37)),NA(),LOOKUP(PX$1,$S37:$HK37,csv!$L37:$HD37))</f>
        <v>0</v>
      </c>
      <c r="PY37" s="5">
        <f>IF(ISERROR(LOOKUP(PY$1,$S37:$HK37,csv!$L37:$HD37)),NA(),LOOKUP(PY$1,$S37:$HK37,csv!$L37:$HD37))</f>
        <v>0</v>
      </c>
      <c r="PZ37" s="5">
        <f>IF(ISERROR(LOOKUP(PZ$1,$S37:$HK37,csv!$L37:$HD37)),NA(),LOOKUP(PZ$1,$S37:$HK37,csv!$L37:$HD37))</f>
        <v>0</v>
      </c>
      <c r="QA37" s="5">
        <f>IF(ISERROR(LOOKUP(QA$1,$S37:$HK37,csv!$L37:$HD37)),NA(),LOOKUP(QA$1,$S37:$HK37,csv!$L37:$HD37))</f>
        <v>0</v>
      </c>
      <c r="QB37" s="5">
        <f>IF(ISERROR(LOOKUP(QB$1,$S37:$HK37,csv!$L37:$HD37)),NA(),LOOKUP(QB$1,$S37:$HK37,csv!$L37:$HD37))</f>
        <v>0</v>
      </c>
      <c r="QC37" s="5">
        <f>IF(ISERROR(LOOKUP(QC$1,$S37:$HK37,csv!$L37:$HD37)),NA(),LOOKUP(QC$1,$S37:$HK37,csv!$L37:$HD37))</f>
        <v>0</v>
      </c>
      <c r="QD37" s="5">
        <f>IF(ISERROR(LOOKUP(QD$1,$S37:$HK37,csv!$L37:$HD37)),NA(),LOOKUP(QD$1,$S37:$HK37,csv!$L37:$HD37))</f>
        <v>0</v>
      </c>
      <c r="QE37" s="5">
        <f>IF(ISERROR(LOOKUP(QE$1,$S37:$HK37,csv!$L37:$HD37)),NA(),LOOKUP(QE$1,$S37:$HK37,csv!$L37:$HD37))</f>
        <v>0</v>
      </c>
      <c r="QF37" s="5">
        <f>IF(ISERROR(LOOKUP(QF$1,$S37:$HK37,csv!$L37:$HD37)),NA(),LOOKUP(QF$1,$S37:$HK37,csv!$L37:$HD37))</f>
        <v>0</v>
      </c>
      <c r="QG37" s="5">
        <f>IF(ISERROR(LOOKUP(QG$1,$S37:$HK37,csv!$L37:$HD37)),NA(),LOOKUP(QG$1,$S37:$HK37,csv!$L37:$HD37))</f>
        <v>0</v>
      </c>
      <c r="QH37" s="5">
        <f>IF(ISERROR(LOOKUP(QH$1,$S37:$HK37,csv!$L37:$HD37)),NA(),LOOKUP(QH$1,$S37:$HK37,csv!$L37:$HD37))</f>
        <v>0</v>
      </c>
      <c r="QI37" s="5">
        <f>IF(ISERROR(LOOKUP(QI$1,$S37:$HK37,csv!$L37:$HD37)),NA(),LOOKUP(QI$1,$S37:$HK37,csv!$L37:$HD37))</f>
        <v>0</v>
      </c>
      <c r="QJ37" s="5">
        <f>IF(ISERROR(LOOKUP(QJ$1,$S37:$HK37,csv!$L37:$HD37)),NA(),LOOKUP(QJ$1,$S37:$HK37,csv!$L37:$HD37))</f>
        <v>0</v>
      </c>
      <c r="QK37" s="5">
        <f>IF(ISERROR(LOOKUP(QK$1,$S37:$HK37,csv!$L37:$HD37)),NA(),LOOKUP(QK$1,$S37:$HK37,csv!$L37:$HD37))</f>
        <v>0</v>
      </c>
      <c r="QL37" s="5">
        <f>IF(ISERROR(LOOKUP(QL$1,$S37:$HK37,csv!$L37:$HD37)),NA(),LOOKUP(QL$1,$S37:$HK37,csv!$L37:$HD37))</f>
        <v>0</v>
      </c>
      <c r="QM37" s="5">
        <f>IF(ISERROR(LOOKUP(QM$1,$S37:$HK37,csv!$L37:$HD37)),NA(),LOOKUP(QM$1,$S37:$HK37,csv!$L37:$HD37))</f>
        <v>0</v>
      </c>
      <c r="QN37" s="5">
        <f>IF(ISERROR(LOOKUP(QN$1,$S37:$HK37,csv!$L37:$HD37)),NA(),LOOKUP(QN$1,$S37:$HK37,csv!$L37:$HD37))</f>
        <v>0</v>
      </c>
      <c r="QO37" s="5">
        <f>IF(ISERROR(LOOKUP(QO$1,$S37:$HK37,csv!$L37:$HD37)),NA(),LOOKUP(QO$1,$S37:$HK37,csv!$L37:$HD37))</f>
        <v>0</v>
      </c>
      <c r="QP37" s="5">
        <f>IF(ISERROR(LOOKUP(QP$1,$S37:$HK37,csv!$L37:$HD37)),NA(),LOOKUP(QP$1,$S37:$HK37,csv!$L37:$HD37))</f>
        <v>0</v>
      </c>
      <c r="QQ37" s="5">
        <f>IF(ISERROR(LOOKUP(QQ$1,$S37:$HK37,csv!$L37:$HD37)),NA(),LOOKUP(QQ$1,$S37:$HK37,csv!$L37:$HD37))</f>
        <v>0</v>
      </c>
      <c r="QR37" s="5">
        <f>IF(ISERROR(LOOKUP(QR$1,$S37:$HK37,csv!$L37:$HD37)),NA(),LOOKUP(QR$1,$S37:$HK37,csv!$L37:$HD37))</f>
        <v>0</v>
      </c>
      <c r="QS37" s="5">
        <f>IF(ISERROR(LOOKUP(QS$1,$S37:$HK37,csv!$L37:$HD37)),NA(),LOOKUP(QS$1,$S37:$HK37,csv!$L37:$HD37))</f>
        <v>0</v>
      </c>
      <c r="QT37" s="5">
        <f>IF(ISERROR(LOOKUP(QT$1,$S37:$HK37,csv!$L37:$HD37)),NA(),LOOKUP(QT$1,$S37:$HK37,csv!$L37:$HD37))</f>
        <v>0</v>
      </c>
      <c r="QU37" s="5">
        <f>IF(ISERROR(LOOKUP(QU$1,$S37:$HK37,csv!$L37:$HD37)),NA(),LOOKUP(QU$1,$S37:$HK37,csv!$L37:$HD37))</f>
        <v>0</v>
      </c>
      <c r="QV37" s="5">
        <f>IF(ISERROR(LOOKUP(QV$1,$S37:$HK37,csv!$L37:$HD37)),NA(),LOOKUP(QV$1,$S37:$HK37,csv!$L37:$HD37))</f>
        <v>0</v>
      </c>
      <c r="QW37" s="5">
        <f>IF(ISERROR(LOOKUP(QW$1,$S37:$HK37,csv!$L37:$HD37)),NA(),LOOKUP(QW$1,$S37:$HK37,csv!$L37:$HD37))</f>
        <v>0</v>
      </c>
      <c r="QX37" s="5">
        <f>IF(ISERROR(LOOKUP(QX$1,$S37:$HK37,csv!$L37:$HD37)),NA(),LOOKUP(QX$1,$S37:$HK37,csv!$L37:$HD37))</f>
        <v>0</v>
      </c>
      <c r="QY37" s="5">
        <f>IF(ISERROR(LOOKUP(QY$1,$S37:$HK37,csv!$L37:$HD37)),NA(),LOOKUP(QY$1,$S37:$HK37,csv!$L37:$HD37))</f>
        <v>0</v>
      </c>
      <c r="QZ37" s="5">
        <f>IF(ISERROR(LOOKUP(QZ$1,$S37:$HK37,csv!$L37:$HD37)),NA(),LOOKUP(QZ$1,$S37:$HK37,csv!$L37:$HD37))</f>
        <v>0</v>
      </c>
      <c r="RA37" s="5">
        <f>IF(ISERROR(LOOKUP(RA$1,$S37:$HK37,csv!$L37:$HD37)),NA(),LOOKUP(RA$1,$S37:$HK37,csv!$L37:$HD37))</f>
        <v>0</v>
      </c>
      <c r="RB37" s="5">
        <f>IF(ISERROR(LOOKUP(RB$1,$S37:$HK37,csv!$L37:$HD37)),NA(),LOOKUP(RB$1,$S37:$HK37,csv!$L37:$HD37))</f>
        <v>0</v>
      </c>
      <c r="RC37" s="5">
        <f>IF(ISERROR(LOOKUP(RC$1,$S37:$HK37,csv!$L37:$HD37)),NA(),LOOKUP(RC$1,$S37:$HK37,csv!$L37:$HD37))</f>
        <v>0</v>
      </c>
      <c r="RD37" s="5">
        <f>IF(ISERROR(LOOKUP(RD$1,$S37:$HK37,csv!$L37:$HD37)),NA(),LOOKUP(RD$1,$S37:$HK37,csv!$L37:$HD37))</f>
        <v>0</v>
      </c>
      <c r="RE37" s="5">
        <f>IF(ISERROR(LOOKUP(RE$1,$S37:$HK37,csv!$L37:$HD37)),NA(),LOOKUP(RE$1,$S37:$HK37,csv!$L37:$HD37))</f>
        <v>0</v>
      </c>
      <c r="RF37" s="5">
        <f>IF(ISERROR(LOOKUP(RF$1,$S37:$HK37,csv!$L37:$HD37)),NA(),LOOKUP(RF$1,$S37:$HK37,csv!$L37:$HD37))</f>
        <v>0</v>
      </c>
      <c r="RG37" s="5">
        <f>IF(ISERROR(LOOKUP(RG$1,$S37:$HK37,csv!$L37:$HD37)),NA(),LOOKUP(RG$1,$S37:$HK37,csv!$L37:$HD37))</f>
        <v>0</v>
      </c>
      <c r="RH37" s="5">
        <f>IF(ISERROR(LOOKUP(RH$1,$S37:$HK37,csv!$L37:$HD37)),NA(),LOOKUP(RH$1,$S37:$HK37,csv!$L37:$HD37))</f>
        <v>0</v>
      </c>
      <c r="RI37" s="5">
        <f>IF(ISERROR(LOOKUP(RI$1,$S37:$HK37,csv!$L37:$HD37)),NA(),LOOKUP(RI$1,$S37:$HK37,csv!$L37:$HD37))</f>
        <v>0</v>
      </c>
      <c r="RJ37" s="5">
        <f>IF(ISERROR(LOOKUP(RJ$1,$S37:$HK37,csv!$L37:$HD37)),NA(),LOOKUP(RJ$1,$S37:$HK37,csv!$L37:$HD37))</f>
        <v>0</v>
      </c>
      <c r="RK37" s="5">
        <f>IF(ISERROR(LOOKUP(RK$1,$S37:$HK37,csv!$L37:$HD37)),NA(),LOOKUP(RK$1,$S37:$HK37,csv!$L37:$HD37))</f>
        <v>0</v>
      </c>
      <c r="RL37" s="5">
        <f>IF(ISERROR(LOOKUP(RL$1,$S37:$HK37,csv!$L37:$HD37)),NA(),LOOKUP(RL$1,$S37:$HK37,csv!$L37:$HD37))</f>
        <v>0</v>
      </c>
      <c r="RM37" s="5">
        <f>IF(ISERROR(LOOKUP(RM$1,$S37:$HK37,csv!$L37:$HD37)),NA(),LOOKUP(RM$1,$S37:$HK37,csv!$L37:$HD37))</f>
        <v>0</v>
      </c>
      <c r="RN37" s="5">
        <f>IF(ISERROR(LOOKUP(RN$1,$S37:$HK37,csv!$L37:$HD37)),NA(),LOOKUP(RN$1,$S37:$HK37,csv!$L37:$HD37))</f>
        <v>0</v>
      </c>
      <c r="RO37" s="5">
        <f>IF(ISERROR(LOOKUP(RO$1,$S37:$HK37,csv!$L37:$HD37)),NA(),LOOKUP(RO$1,$S37:$HK37,csv!$L37:$HD37))</f>
        <v>0</v>
      </c>
      <c r="RP37" s="5">
        <f>IF(ISERROR(LOOKUP(RP$1,$S37:$HK37,csv!$L37:$HD37)),NA(),LOOKUP(RP$1,$S37:$HK37,csv!$L37:$HD37))</f>
        <v>0</v>
      </c>
      <c r="RQ37" s="5">
        <f>IF(ISERROR(LOOKUP(RQ$1,$S37:$HK37,csv!$L37:$HD37)),NA(),LOOKUP(RQ$1,$S37:$HK37,csv!$L37:$HD37))</f>
        <v>0</v>
      </c>
      <c r="RR37" s="5">
        <f>IF(ISERROR(LOOKUP(RR$1,$S37:$HK37,csv!$L37:$HD37)),NA(),LOOKUP(RR$1,$S37:$HK37,csv!$L37:$HD37))</f>
        <v>0</v>
      </c>
      <c r="RS37" s="5">
        <f>IF(ISERROR(LOOKUP(RS$1,$S37:$HK37,csv!$L37:$HD37)),NA(),LOOKUP(RS$1,$S37:$HK37,csv!$L37:$HD37))</f>
        <v>0</v>
      </c>
      <c r="RT37" s="5">
        <f>IF(ISERROR(LOOKUP(RT$1,$S37:$HK37,csv!$L37:$HD37)),NA(),LOOKUP(RT$1,$S37:$HK37,csv!$L37:$HD37))</f>
        <v>0</v>
      </c>
      <c r="RU37" s="5">
        <f>IF(ISERROR(LOOKUP(RU$1,$S37:$HK37,csv!$L37:$HD37)),NA(),LOOKUP(RU$1,$S37:$HK37,csv!$L37:$HD37))</f>
        <v>0</v>
      </c>
      <c r="RV37" s="5">
        <f>IF(ISERROR(LOOKUP(RV$1,$S37:$HK37,csv!$L37:$HD37)),NA(),LOOKUP(RV$1,$S37:$HK37,csv!$L37:$HD37))</f>
        <v>0</v>
      </c>
      <c r="RW37" s="5">
        <f>IF(ISERROR(LOOKUP(RW$1,$S37:$HK37,csv!$L37:$HD37)),NA(),LOOKUP(RW$1,$S37:$HK37,csv!$L37:$HD37))</f>
        <v>0</v>
      </c>
      <c r="RX37" s="5">
        <f>IF(ISERROR(LOOKUP(RX$1,$S37:$HK37,csv!$L37:$HD37)),NA(),LOOKUP(RX$1,$S37:$HK37,csv!$L37:$HD37))</f>
        <v>0</v>
      </c>
      <c r="RY37" s="5">
        <f>IF(ISERROR(LOOKUP(RY$1,$S37:$HK37,csv!$L37:$HD37)),NA(),LOOKUP(RY$1,$S37:$HK37,csv!$L37:$HD37))</f>
        <v>0</v>
      </c>
      <c r="RZ37" s="5">
        <f>IF(ISERROR(LOOKUP(RZ$1,$S37:$HK37,csv!$L37:$HD37)),NA(),LOOKUP(RZ$1,$S37:$HK37,csv!$L37:$HD37))</f>
        <v>0</v>
      </c>
      <c r="SA37" s="5">
        <f>IF(ISERROR(LOOKUP(SA$1,$S37:$HK37,csv!$L37:$HD37)),NA(),LOOKUP(SA$1,$S37:$HK37,csv!$L37:$HD37))</f>
        <v>0</v>
      </c>
      <c r="SB37" s="5">
        <f>IF(ISERROR(LOOKUP(SB$1,$S37:$HK37,csv!$L37:$HD37)),NA(),LOOKUP(SB$1,$S37:$HK37,csv!$L37:$HD37))</f>
        <v>0</v>
      </c>
      <c r="SC37" s="5">
        <f>IF(ISERROR(LOOKUP(SC$1,$S37:$HK37,csv!$L37:$HD37)),NA(),LOOKUP(SC$1,$S37:$HK37,csv!$L37:$HD37))</f>
        <v>0</v>
      </c>
      <c r="SD37" s="5">
        <f>IF(ISERROR(LOOKUP(SD$1,$S37:$HK37,csv!$L37:$HD37)),NA(),LOOKUP(SD$1,$S37:$HK37,csv!$L37:$HD37))</f>
        <v>0</v>
      </c>
      <c r="SE37" s="5">
        <f>IF(ISERROR(LOOKUP(SE$1,$S37:$HK37,csv!$L37:$HD37)),NA(),LOOKUP(SE$1,$S37:$HK37,csv!$L37:$HD37))</f>
        <v>0</v>
      </c>
      <c r="SF37" s="5">
        <f>IF(ISERROR(LOOKUP(SF$1,$S37:$HK37,csv!$L37:$HD37)),NA(),LOOKUP(SF$1,$S37:$HK37,csv!$L37:$HD37))</f>
        <v>0</v>
      </c>
      <c r="SG37" s="5">
        <f>IF(ISERROR(LOOKUP(SG$1,$S37:$HK37,csv!$L37:$HD37)),NA(),LOOKUP(SG$1,$S37:$HK37,csv!$L37:$HD37))</f>
        <v>0</v>
      </c>
      <c r="SH37" s="5">
        <f>IF(ISERROR(LOOKUP(SH$1,$S37:$HK37,csv!$L37:$HD37)),NA(),LOOKUP(SH$1,$S37:$HK37,csv!$L37:$HD37))</f>
        <v>0</v>
      </c>
      <c r="SI37" s="5">
        <f>IF(ISERROR(LOOKUP(SI$1,$S37:$HK37,csv!$L37:$HD37)),NA(),LOOKUP(SI$1,$S37:$HK37,csv!$L37:$HD37))</f>
        <v>0</v>
      </c>
      <c r="SJ37" s="5">
        <f>IF(ISERROR(LOOKUP(SJ$1,$S37:$HK37,csv!$L37:$HD37)),NA(),LOOKUP(SJ$1,$S37:$HK37,csv!$L37:$HD37))</f>
        <v>0</v>
      </c>
      <c r="SK37" s="5">
        <f>IF(ISERROR(LOOKUP(SK$1,$S37:$HK37,csv!$L37:$HD37)),NA(),LOOKUP(SK$1,$S37:$HK37,csv!$L37:$HD37))</f>
        <v>0</v>
      </c>
      <c r="SL37" s="5">
        <f>IF(ISERROR(LOOKUP(SL$1,$S37:$HK37,csv!$L37:$HD37)),NA(),LOOKUP(SL$1,$S37:$HK37,csv!$L37:$HD37))</f>
        <v>0</v>
      </c>
      <c r="SM37" s="5">
        <f>IF(ISERROR(LOOKUP(SM$1,$S37:$HK37,csv!$L37:$HD37)),NA(),LOOKUP(SM$1,$S37:$HK37,csv!$L37:$HD37))</f>
        <v>0</v>
      </c>
      <c r="SN37" s="5">
        <f>IF(ISERROR(LOOKUP(SN$1,$S37:$HK37,csv!$L37:$HD37)),NA(),LOOKUP(SN$1,$S37:$HK37,csv!$L37:$HD37))</f>
        <v>0</v>
      </c>
      <c r="SO37" s="5">
        <f>IF(ISERROR(LOOKUP(SO$1,$S37:$HK37,csv!$L37:$HD37)),NA(),LOOKUP(SO$1,$S37:$HK37,csv!$L37:$HD37))</f>
        <v>0</v>
      </c>
      <c r="SP37" s="5">
        <f>IF(ISERROR(LOOKUP(SP$1,$S37:$HK37,csv!$L37:$HD37)),NA(),LOOKUP(SP$1,$S37:$HK37,csv!$L37:$HD37))</f>
        <v>0</v>
      </c>
      <c r="SQ37" s="5">
        <f>IF(ISERROR(LOOKUP(SQ$1,$S37:$HK37,csv!$L37:$HD37)),NA(),LOOKUP(SQ$1,$S37:$HK37,csv!$L37:$HD37))</f>
        <v>0</v>
      </c>
      <c r="SR37" s="5">
        <f>IF(ISERROR(LOOKUP(SR$1,$S37:$HK37,csv!$L37:$HD37)),NA(),LOOKUP(SR$1,$S37:$HK37,csv!$L37:$HD37))</f>
        <v>0</v>
      </c>
      <c r="SS37" s="5">
        <f>IF(ISERROR(LOOKUP(SS$1,$S37:$HK37,csv!$L37:$HD37)),NA(),LOOKUP(SS$1,$S37:$HK37,csv!$L37:$HD37))</f>
        <v>0</v>
      </c>
      <c r="ST37" s="5">
        <f>IF(ISERROR(LOOKUP(ST$1,$S37:$HK37,csv!$L37:$HD37)),NA(),LOOKUP(ST$1,$S37:$HK37,csv!$L37:$HD37))</f>
        <v>0</v>
      </c>
      <c r="SU37" s="5">
        <f>IF(ISERROR(LOOKUP(SU$1,$S37:$HK37,csv!$L37:$HD37)),NA(),LOOKUP(SU$1,$S37:$HK37,csv!$L37:$HD37))</f>
        <v>0</v>
      </c>
      <c r="SV37" s="5">
        <f>IF(ISERROR(LOOKUP(SV$1,$S37:$HK37,csv!$L37:$HD37)),NA(),LOOKUP(SV$1,$S37:$HK37,csv!$L37:$HD37))</f>
        <v>0</v>
      </c>
      <c r="SW37" s="5">
        <f>IF(ISERROR(LOOKUP(SW$1,$S37:$HK37,csv!$L37:$HD37)),NA(),LOOKUP(SW$1,$S37:$HK37,csv!$L37:$HD37))</f>
        <v>0</v>
      </c>
      <c r="SX37" s="5">
        <f>IF(ISERROR(LOOKUP(SX$1,$S37:$HK37,csv!$L37:$HD37)),NA(),LOOKUP(SX$1,$S37:$HK37,csv!$L37:$HD37))</f>
        <v>0</v>
      </c>
      <c r="SY37" s="5">
        <f>IF(ISERROR(LOOKUP(SY$1,$S37:$HK37,csv!$L37:$HD37)),NA(),LOOKUP(SY$1,$S37:$HK37,csv!$L37:$HD37))</f>
        <v>0</v>
      </c>
      <c r="SZ37" s="5">
        <f>IF(ISERROR(LOOKUP(SZ$1,$S37:$HK37,csv!$L37:$HD37)),NA(),LOOKUP(SZ$1,$S37:$HK37,csv!$L37:$HD37))</f>
        <v>0</v>
      </c>
      <c r="TA37" s="5">
        <f>IF(ISERROR(LOOKUP(TA$1,$S37:$HK37,csv!$L37:$HD37)),NA(),LOOKUP(TA$1,$S37:$HK37,csv!$L37:$HD37))</f>
        <v>0</v>
      </c>
      <c r="TB37" s="5">
        <f>IF(ISERROR(LOOKUP(TB$1,$S37:$HK37,csv!$L37:$HD37)),NA(),LOOKUP(TB$1,$S37:$HK37,csv!$L37:$HD37))</f>
        <v>0</v>
      </c>
      <c r="TD37">
        <f>csv!HG37/10</f>
        <v>0</v>
      </c>
    </row>
    <row r="38" spans="19:525" x14ac:dyDescent="0.15">
      <c r="S38" s="4">
        <f>ROUND((csv!$HG38/10+calc!S$1),1)</f>
        <v>-10</v>
      </c>
      <c r="T38" s="4">
        <f>ROUND((csv!$HG38/10+calc!T$1),1)</f>
        <v>-9.9</v>
      </c>
      <c r="U38" s="4">
        <f>ROUND((csv!$HG38/10+calc!U$1),1)</f>
        <v>-9.8000000000000007</v>
      </c>
      <c r="V38" s="4">
        <f>ROUND((csv!$HG38/10+calc!V$1),1)</f>
        <v>-9.6999999999999993</v>
      </c>
      <c r="W38" s="4">
        <f>ROUND((csv!$HG38/10+calc!W$1),1)</f>
        <v>-9.6</v>
      </c>
      <c r="X38" s="4">
        <f>ROUND((csv!$HG38/10+calc!X$1),1)</f>
        <v>-9.5</v>
      </c>
      <c r="Y38" s="4">
        <f>ROUND((csv!$HG38/10+calc!Y$1),1)</f>
        <v>-9.4</v>
      </c>
      <c r="Z38" s="4">
        <f>ROUND((csv!$HG38/10+calc!Z$1),1)</f>
        <v>-9.3000000000000007</v>
      </c>
      <c r="AA38" s="4">
        <f>ROUND((csv!$HG38/10+calc!AA$1),1)</f>
        <v>-9.1999999999999993</v>
      </c>
      <c r="AB38" s="4">
        <f>ROUND((csv!$HG38/10+calc!AB$1),1)</f>
        <v>-9.1</v>
      </c>
      <c r="AC38" s="4">
        <f>ROUND((csv!$HG38/10+calc!AC$1),1)</f>
        <v>-9</v>
      </c>
      <c r="AD38" s="4">
        <f>ROUND((csv!$HG38/10+calc!AD$1),1)</f>
        <v>-8.9</v>
      </c>
      <c r="AE38" s="4">
        <f>ROUND((csv!$HG38/10+calc!AE$1),1)</f>
        <v>-8.8000000000000007</v>
      </c>
      <c r="AF38" s="4">
        <f>ROUND((csv!$HG38/10+calc!AF$1),1)</f>
        <v>-8.6999999999999993</v>
      </c>
      <c r="AG38" s="4">
        <f>ROUND((csv!$HG38/10+calc!AG$1),1)</f>
        <v>-8.6</v>
      </c>
      <c r="AH38" s="4">
        <f>ROUND((csv!$HG38/10+calc!AH$1),1)</f>
        <v>-8.5</v>
      </c>
      <c r="AI38" s="4">
        <f>ROUND((csv!$HG38/10+calc!AI$1),1)</f>
        <v>-8.4</v>
      </c>
      <c r="AJ38" s="4">
        <f>ROUND((csv!$HG38/10+calc!AJ$1),1)</f>
        <v>-8.3000000000000007</v>
      </c>
      <c r="AK38" s="4">
        <f>ROUND((csv!$HG38/10+calc!AK$1),1)</f>
        <v>-8.1999999999999993</v>
      </c>
      <c r="AL38" s="4">
        <f>ROUND((csv!$HG38/10+calc!AL$1),1)</f>
        <v>-8.1</v>
      </c>
      <c r="AM38" s="4">
        <f>ROUND((csv!$HG38/10+calc!AM$1),1)</f>
        <v>-8</v>
      </c>
      <c r="AN38" s="4">
        <f>ROUND((csv!$HG38/10+calc!AN$1),1)</f>
        <v>-7.9</v>
      </c>
      <c r="AO38" s="4">
        <f>ROUND((csv!$HG38/10+calc!AO$1),1)</f>
        <v>-7.8</v>
      </c>
      <c r="AP38" s="4">
        <f>ROUND((csv!$HG38/10+calc!AP$1),1)</f>
        <v>-7.7</v>
      </c>
      <c r="AQ38" s="4">
        <f>ROUND((csv!$HG38/10+calc!AQ$1),1)</f>
        <v>-7.6</v>
      </c>
      <c r="AR38" s="4">
        <f>ROUND((csv!$HG38/10+calc!AR$1),1)</f>
        <v>-7.5</v>
      </c>
      <c r="AS38" s="4">
        <f>ROUND((csv!$HG38/10+calc!AS$1),1)</f>
        <v>-7.4</v>
      </c>
      <c r="AT38" s="4">
        <f>ROUND((csv!$HG38/10+calc!AT$1),1)</f>
        <v>-7.3</v>
      </c>
      <c r="AU38" s="4">
        <f>ROUND((csv!$HG38/10+calc!AU$1),1)</f>
        <v>-7.2</v>
      </c>
      <c r="AV38" s="4">
        <f>ROUND((csv!$HG38/10+calc!AV$1),1)</f>
        <v>-7.1</v>
      </c>
      <c r="AW38" s="4">
        <f>ROUND((csv!$HG38/10+calc!AW$1),1)</f>
        <v>-7</v>
      </c>
      <c r="AX38" s="4">
        <f>ROUND((csv!$HG38/10+calc!AX$1),1)</f>
        <v>-6.9</v>
      </c>
      <c r="AY38" s="4">
        <f>ROUND((csv!$HG38/10+calc!AY$1),1)</f>
        <v>-6.8</v>
      </c>
      <c r="AZ38" s="4">
        <f>ROUND((csv!$HG38/10+calc!AZ$1),1)</f>
        <v>-6.7</v>
      </c>
      <c r="BA38" s="4">
        <f>ROUND((csv!$HG38/10+calc!BA$1),1)</f>
        <v>-6.6</v>
      </c>
      <c r="BB38" s="4">
        <f>ROUND((csv!$HG38/10+calc!BB$1),1)</f>
        <v>-6.5</v>
      </c>
      <c r="BC38" s="4">
        <f>ROUND((csv!$HG38/10+calc!BC$1),1)</f>
        <v>-6.4</v>
      </c>
      <c r="BD38" s="4">
        <f>ROUND((csv!$HG38/10+calc!BD$1),1)</f>
        <v>-6.3</v>
      </c>
      <c r="BE38" s="4">
        <f>ROUND((csv!$HG38/10+calc!BE$1),1)</f>
        <v>-6.2</v>
      </c>
      <c r="BF38" s="4">
        <f>ROUND((csv!$HG38/10+calc!BF$1),1)</f>
        <v>-6.1</v>
      </c>
      <c r="BG38" s="4">
        <f>ROUND((csv!$HG38/10+calc!BG$1),1)</f>
        <v>-6</v>
      </c>
      <c r="BH38" s="4">
        <f>ROUND((csv!$HG38/10+calc!BH$1),1)</f>
        <v>-5.9</v>
      </c>
      <c r="BI38" s="4">
        <f>ROUND((csv!$HG38/10+calc!BI$1),1)</f>
        <v>-5.8</v>
      </c>
      <c r="BJ38" s="4">
        <f>ROUND((csv!$HG38/10+calc!BJ$1),1)</f>
        <v>-5.7</v>
      </c>
      <c r="BK38" s="4">
        <f>ROUND((csv!$HG38/10+calc!BK$1),1)</f>
        <v>-5.6</v>
      </c>
      <c r="BL38" s="4">
        <f>ROUND((csv!$HG38/10+calc!BL$1),1)</f>
        <v>-5.5</v>
      </c>
      <c r="BM38" s="4">
        <f>ROUND((csv!$HG38/10+calc!BM$1),1)</f>
        <v>-5.4</v>
      </c>
      <c r="BN38" s="4">
        <f>ROUND((csv!$HG38/10+calc!BN$1),1)</f>
        <v>-5.3</v>
      </c>
      <c r="BO38" s="4">
        <f>ROUND((csv!$HG38/10+calc!BO$1),1)</f>
        <v>-5.2</v>
      </c>
      <c r="BP38" s="4">
        <f>ROUND((csv!$HG38/10+calc!BP$1),1)</f>
        <v>-5.0999999999999996</v>
      </c>
      <c r="BQ38" s="4">
        <f>ROUND((csv!$HG38/10+calc!BQ$1),1)</f>
        <v>-5</v>
      </c>
      <c r="BR38" s="4">
        <f>ROUND((csv!$HG38/10+calc!BR$1),1)</f>
        <v>-4.9000000000000004</v>
      </c>
      <c r="BS38" s="4">
        <f>ROUND((csv!$HG38/10+calc!BS$1),1)</f>
        <v>-4.8</v>
      </c>
      <c r="BT38" s="4">
        <f>ROUND((csv!$HG38/10+calc!BT$1),1)</f>
        <v>-4.7</v>
      </c>
      <c r="BU38" s="4">
        <f>ROUND((csv!$HG38/10+calc!BU$1),1)</f>
        <v>-4.5999999999999996</v>
      </c>
      <c r="BV38" s="4">
        <f>ROUND((csv!$HG38/10+calc!BV$1),1)</f>
        <v>-4.5</v>
      </c>
      <c r="BW38" s="4">
        <f>ROUND((csv!$HG38/10+calc!BW$1),1)</f>
        <v>-4.4000000000000004</v>
      </c>
      <c r="BX38" s="4">
        <f>ROUND((csv!$HG38/10+calc!BX$1),1)</f>
        <v>-4.3</v>
      </c>
      <c r="BY38" s="4">
        <f>ROUND((csv!$HG38/10+calc!BY$1),1)</f>
        <v>-4.2</v>
      </c>
      <c r="BZ38" s="4">
        <f>ROUND((csv!$HG38/10+calc!BZ$1),1)</f>
        <v>-4.0999999999999996</v>
      </c>
      <c r="CA38" s="4">
        <f>ROUND((csv!$HG38/10+calc!CA$1),1)</f>
        <v>-4</v>
      </c>
      <c r="CB38" s="4">
        <f>ROUND((csv!$HG38/10+calc!CB$1),1)</f>
        <v>-3.9</v>
      </c>
      <c r="CC38" s="4">
        <f>ROUND((csv!$HG38/10+calc!CC$1),1)</f>
        <v>-3.8</v>
      </c>
      <c r="CD38" s="4">
        <f>ROUND((csv!$HG38/10+calc!CD$1),1)</f>
        <v>-3.7</v>
      </c>
      <c r="CE38" s="4">
        <f>ROUND((csv!$HG38/10+calc!CE$1),1)</f>
        <v>-3.6</v>
      </c>
      <c r="CF38" s="4">
        <f>ROUND((csv!$HG38/10+calc!CF$1),1)</f>
        <v>-3.5</v>
      </c>
      <c r="CG38" s="4">
        <f>ROUND((csv!$HG38/10+calc!CG$1),1)</f>
        <v>-3.4</v>
      </c>
      <c r="CH38" s="4">
        <f>ROUND((csv!$HG38/10+calc!CH$1),1)</f>
        <v>-3.3</v>
      </c>
      <c r="CI38" s="4">
        <f>ROUND((csv!$HG38/10+calc!CI$1),1)</f>
        <v>-3.2</v>
      </c>
      <c r="CJ38" s="4">
        <f>ROUND((csv!$HG38/10+calc!CJ$1),1)</f>
        <v>-3.1</v>
      </c>
      <c r="CK38" s="4">
        <f>ROUND((csv!$HG38/10+calc!CK$1),1)</f>
        <v>-3</v>
      </c>
      <c r="CL38" s="4">
        <f>ROUND((csv!$HG38/10+calc!CL$1),1)</f>
        <v>-2.9</v>
      </c>
      <c r="CM38" s="4">
        <f>ROUND((csv!$HG38/10+calc!CM$1),1)</f>
        <v>-2.8</v>
      </c>
      <c r="CN38" s="4">
        <f>ROUND((csv!$HG38/10+calc!CN$1),1)</f>
        <v>-2.7</v>
      </c>
      <c r="CO38" s="4">
        <f>ROUND((csv!$HG38/10+calc!CO$1),1)</f>
        <v>-2.6</v>
      </c>
      <c r="CP38" s="4">
        <f>ROUND((csv!$HG38/10+calc!CP$1),1)</f>
        <v>-2.5</v>
      </c>
      <c r="CQ38" s="4">
        <f>ROUND((csv!$HG38/10+calc!CQ$1),1)</f>
        <v>-2.4</v>
      </c>
      <c r="CR38" s="4">
        <f>ROUND((csv!$HG38/10+calc!CR$1),1)</f>
        <v>-2.2999999999999998</v>
      </c>
      <c r="CS38" s="4">
        <f>ROUND((csv!$HG38/10+calc!CS$1),1)</f>
        <v>-2.2000000000000002</v>
      </c>
      <c r="CT38" s="4">
        <f>ROUND((csv!$HG38/10+calc!CT$1),1)</f>
        <v>-2.1</v>
      </c>
      <c r="CU38" s="4">
        <f>ROUND((csv!$HG38/10+calc!CU$1),1)</f>
        <v>-2</v>
      </c>
      <c r="CV38" s="4">
        <f>ROUND((csv!$HG38/10+calc!CV$1),1)</f>
        <v>-1.9</v>
      </c>
      <c r="CW38" s="4">
        <f>ROUND((csv!$HG38/10+calc!CW$1),1)</f>
        <v>-1.8</v>
      </c>
      <c r="CX38" s="4">
        <f>ROUND((csv!$HG38/10+calc!CX$1),1)</f>
        <v>-1.7</v>
      </c>
      <c r="CY38" s="4">
        <f>ROUND((csv!$HG38/10+calc!CY$1),1)</f>
        <v>-1.6</v>
      </c>
      <c r="CZ38" s="4">
        <f>ROUND((csv!$HG38/10+calc!CZ$1),1)</f>
        <v>-1.5</v>
      </c>
      <c r="DA38" s="4">
        <f>ROUND((csv!$HG38/10+calc!DA$1),1)</f>
        <v>-1.4</v>
      </c>
      <c r="DB38" s="4">
        <f>ROUND((csv!$HG38/10+calc!DB$1),1)</f>
        <v>-1.3</v>
      </c>
      <c r="DC38" s="4">
        <f>ROUND((csv!$HG38/10+calc!DC$1),1)</f>
        <v>-1.2</v>
      </c>
      <c r="DD38" s="4">
        <f>ROUND((csv!$HG38/10+calc!DD$1),1)</f>
        <v>-1.1000000000000001</v>
      </c>
      <c r="DE38" s="4">
        <f>ROUND((csv!$HG38/10+calc!DE$1),1)</f>
        <v>-1</v>
      </c>
      <c r="DF38" s="4">
        <f>ROUND((csv!$HG38/10+calc!DF$1),1)</f>
        <v>-0.9</v>
      </c>
      <c r="DG38" s="4">
        <f>ROUND((csv!$HG38/10+calc!DG$1),1)</f>
        <v>-0.8</v>
      </c>
      <c r="DH38" s="4">
        <f>ROUND((csv!$HG38/10+calc!DH$1),1)</f>
        <v>-0.7</v>
      </c>
      <c r="DI38" s="4">
        <f>ROUND((csv!$HG38/10+calc!DI$1),1)</f>
        <v>-0.6</v>
      </c>
      <c r="DJ38" s="4">
        <f>ROUND((csv!$HG38/10+calc!DJ$1),1)</f>
        <v>-0.5</v>
      </c>
      <c r="DK38" s="4">
        <f>ROUND((csv!$HG38/10+calc!DK$1),1)</f>
        <v>-0.4</v>
      </c>
      <c r="DL38" s="4">
        <f>ROUND((csv!$HG38/10+calc!DL$1),1)</f>
        <v>-0.3</v>
      </c>
      <c r="DM38" s="4">
        <f>ROUND((csv!$HG38/10+calc!DM$1),1)</f>
        <v>-0.2</v>
      </c>
      <c r="DN38" s="4">
        <f>ROUND((csv!$HG38/10+calc!DN$1),1)</f>
        <v>-0.1</v>
      </c>
      <c r="DO38" s="4">
        <f>ROUND((csv!$HG38/10+calc!DO$1),1)</f>
        <v>0</v>
      </c>
      <c r="DP38" s="4">
        <f>ROUND((csv!$HG38/10+calc!DP$1),1)</f>
        <v>0.1</v>
      </c>
      <c r="DQ38" s="4">
        <f>ROUND((csv!$HG38/10+calc!DQ$1),1)</f>
        <v>0.2</v>
      </c>
      <c r="DR38" s="4">
        <f>ROUND((csv!$HG38/10+calc!DR$1),1)</f>
        <v>0.3</v>
      </c>
      <c r="DS38" s="4">
        <f>ROUND((csv!$HG38/10+calc!DS$1),1)</f>
        <v>0.4</v>
      </c>
      <c r="DT38" s="4">
        <f>ROUND((csv!$HG38/10+calc!DT$1),1)</f>
        <v>0.5</v>
      </c>
      <c r="DU38" s="4">
        <f>ROUND((csv!$HG38/10+calc!DU$1),1)</f>
        <v>0.6</v>
      </c>
      <c r="DV38" s="4">
        <f>ROUND((csv!$HG38/10+calc!DV$1),1)</f>
        <v>0.7</v>
      </c>
      <c r="DW38" s="4">
        <f>ROUND((csv!$HG38/10+calc!DW$1),1)</f>
        <v>0.8</v>
      </c>
      <c r="DX38" s="4">
        <f>ROUND((csv!$HG38/10+calc!DX$1),1)</f>
        <v>0.9</v>
      </c>
      <c r="DY38" s="4">
        <f>ROUND((csv!$HG38/10+calc!DY$1),1)</f>
        <v>1</v>
      </c>
      <c r="DZ38" s="4">
        <f>ROUND((csv!$HG38/10+calc!DZ$1),1)</f>
        <v>1.1000000000000001</v>
      </c>
      <c r="EA38" s="4">
        <f>ROUND((csv!$HG38/10+calc!EA$1),1)</f>
        <v>1.2</v>
      </c>
      <c r="EB38" s="4">
        <f>ROUND((csv!$HG38/10+calc!EB$1),1)</f>
        <v>1.3</v>
      </c>
      <c r="EC38" s="4">
        <f>ROUND((csv!$HG38/10+calc!EC$1),1)</f>
        <v>1.4</v>
      </c>
      <c r="ED38" s="4">
        <f>ROUND((csv!$HG38/10+calc!ED$1),1)</f>
        <v>1.5</v>
      </c>
      <c r="EE38" s="4">
        <f>ROUND((csv!$HG38/10+calc!EE$1),1)</f>
        <v>1.6</v>
      </c>
      <c r="EF38" s="4">
        <f>ROUND((csv!$HG38/10+calc!EF$1),1)</f>
        <v>1.7</v>
      </c>
      <c r="EG38" s="4">
        <f>ROUND((csv!$HG38/10+calc!EG$1),1)</f>
        <v>1.8</v>
      </c>
      <c r="EH38" s="4">
        <f>ROUND((csv!$HG38/10+calc!EH$1),1)</f>
        <v>1.9</v>
      </c>
      <c r="EI38" s="4">
        <f>ROUND((csv!$HG38/10+calc!EI$1),1)</f>
        <v>2</v>
      </c>
      <c r="EJ38" s="4">
        <f>ROUND((csv!$HG38/10+calc!EJ$1),1)</f>
        <v>2.1</v>
      </c>
      <c r="EK38" s="4">
        <f>ROUND((csv!$HG38/10+calc!EK$1),1)</f>
        <v>2.2000000000000002</v>
      </c>
      <c r="EL38" s="4">
        <f>ROUND((csv!$HG38/10+calc!EL$1),1)</f>
        <v>2.2999999999999998</v>
      </c>
      <c r="EM38" s="4">
        <f>ROUND((csv!$HG38/10+calc!EM$1),1)</f>
        <v>2.4</v>
      </c>
      <c r="EN38" s="4">
        <f>ROUND((csv!$HG38/10+calc!EN$1),1)</f>
        <v>2.5</v>
      </c>
      <c r="EO38" s="4">
        <f>ROUND((csv!$HG38/10+calc!EO$1),1)</f>
        <v>2.6</v>
      </c>
      <c r="EP38" s="4">
        <f>ROUND((csv!$HG38/10+calc!EP$1),1)</f>
        <v>2.7</v>
      </c>
      <c r="EQ38" s="4">
        <f>ROUND((csv!$HG38/10+calc!EQ$1),1)</f>
        <v>2.8</v>
      </c>
      <c r="ER38" s="4">
        <f>ROUND((csv!$HG38/10+calc!ER$1),1)</f>
        <v>2.9</v>
      </c>
      <c r="ES38" s="4">
        <f>ROUND((csv!$HG38/10+calc!ES$1),1)</f>
        <v>3</v>
      </c>
      <c r="ET38" s="4">
        <f>ROUND((csv!$HG38/10+calc!ET$1),1)</f>
        <v>3.1</v>
      </c>
      <c r="EU38" s="4">
        <f>ROUND((csv!$HG38/10+calc!EU$1),1)</f>
        <v>3.2</v>
      </c>
      <c r="EV38" s="4">
        <f>ROUND((csv!$HG38/10+calc!EV$1),1)</f>
        <v>3.3</v>
      </c>
      <c r="EW38" s="4">
        <f>ROUND((csv!$HG38/10+calc!EW$1),1)</f>
        <v>3.4</v>
      </c>
      <c r="EX38" s="4">
        <f>ROUND((csv!$HG38/10+calc!EX$1),1)</f>
        <v>3.5</v>
      </c>
      <c r="EY38" s="4">
        <f>ROUND((csv!$HG38/10+calc!EY$1),1)</f>
        <v>3.6</v>
      </c>
      <c r="EZ38" s="4">
        <f>ROUND((csv!$HG38/10+calc!EZ$1),1)</f>
        <v>3.7</v>
      </c>
      <c r="FA38" s="4">
        <f>ROUND((csv!$HG38/10+calc!FA$1),1)</f>
        <v>3.8</v>
      </c>
      <c r="FB38" s="4">
        <f>ROUND((csv!$HG38/10+calc!FB$1),1)</f>
        <v>3.9</v>
      </c>
      <c r="FC38" s="4">
        <f>ROUND((csv!$HG38/10+calc!FC$1),1)</f>
        <v>4</v>
      </c>
      <c r="FD38" s="4">
        <f>ROUND((csv!$HG38/10+calc!FD$1),1)</f>
        <v>4.0999999999999996</v>
      </c>
      <c r="FE38" s="4">
        <f>ROUND((csv!$HG38/10+calc!FE$1),1)</f>
        <v>4.2</v>
      </c>
      <c r="FF38" s="4">
        <f>ROUND((csv!$HG38/10+calc!FF$1),1)</f>
        <v>4.3</v>
      </c>
      <c r="FG38" s="4">
        <f>ROUND((csv!$HG38/10+calc!FG$1),1)</f>
        <v>4.4000000000000004</v>
      </c>
      <c r="FH38" s="4">
        <f>ROUND((csv!$HG38/10+calc!FH$1),1)</f>
        <v>4.5</v>
      </c>
      <c r="FI38" s="4">
        <f>ROUND((csv!$HG38/10+calc!FI$1),1)</f>
        <v>4.5999999999999996</v>
      </c>
      <c r="FJ38" s="4">
        <f>ROUND((csv!$HG38/10+calc!FJ$1),1)</f>
        <v>4.7</v>
      </c>
      <c r="FK38" s="4">
        <f>ROUND((csv!$HG38/10+calc!FK$1),1)</f>
        <v>4.8</v>
      </c>
      <c r="FL38" s="4">
        <f>ROUND((csv!$HG38/10+calc!FL$1),1)</f>
        <v>4.9000000000000004</v>
      </c>
      <c r="FM38" s="4">
        <f>ROUND((csv!$HG38/10+calc!FM$1),1)</f>
        <v>5</v>
      </c>
      <c r="FN38" s="4">
        <f>ROUND((csv!$HG38/10+calc!FN$1),1)</f>
        <v>5.0999999999999996</v>
      </c>
      <c r="FO38" s="4">
        <f>ROUND((csv!$HG38/10+calc!FO$1),1)</f>
        <v>5.2</v>
      </c>
      <c r="FP38" s="4">
        <f>ROUND((csv!$HG38/10+calc!FP$1),1)</f>
        <v>5.3</v>
      </c>
      <c r="FQ38" s="4">
        <f>ROUND((csv!$HG38/10+calc!FQ$1),1)</f>
        <v>5.4</v>
      </c>
      <c r="FR38" s="4">
        <f>ROUND((csv!$HG38/10+calc!FR$1),1)</f>
        <v>5.5</v>
      </c>
      <c r="FS38" s="4">
        <f>ROUND((csv!$HG38/10+calc!FS$1),1)</f>
        <v>5.6</v>
      </c>
      <c r="FT38" s="4">
        <f>ROUND((csv!$HG38/10+calc!FT$1),1)</f>
        <v>5.7</v>
      </c>
      <c r="FU38" s="4">
        <f>ROUND((csv!$HG38/10+calc!FU$1),1)</f>
        <v>5.8</v>
      </c>
      <c r="FV38" s="4">
        <f>ROUND((csv!$HG38/10+calc!FV$1),1)</f>
        <v>5.9</v>
      </c>
      <c r="FW38" s="4">
        <f>ROUND((csv!$HG38/10+calc!FW$1),1)</f>
        <v>6</v>
      </c>
      <c r="FX38" s="4">
        <f>ROUND((csv!$HG38/10+calc!FX$1),1)</f>
        <v>6.1</v>
      </c>
      <c r="FY38" s="4">
        <f>ROUND((csv!$HG38/10+calc!FY$1),1)</f>
        <v>6.2</v>
      </c>
      <c r="FZ38" s="4">
        <f>ROUND((csv!$HG38/10+calc!FZ$1),1)</f>
        <v>6.3</v>
      </c>
      <c r="GA38" s="4">
        <f>ROUND((csv!$HG38/10+calc!GA$1),1)</f>
        <v>6.4</v>
      </c>
      <c r="GB38" s="4">
        <f>ROUND((csv!$HG38/10+calc!GB$1),1)</f>
        <v>6.5</v>
      </c>
      <c r="GC38" s="4">
        <f>ROUND((csv!$HG38/10+calc!GC$1),1)</f>
        <v>6.6</v>
      </c>
      <c r="GD38" s="4">
        <f>ROUND((csv!$HG38/10+calc!GD$1),1)</f>
        <v>6.7</v>
      </c>
      <c r="GE38" s="4">
        <f>ROUND((csv!$HG38/10+calc!GE$1),1)</f>
        <v>6.8</v>
      </c>
      <c r="GF38" s="4">
        <f>ROUND((csv!$HG38/10+calc!GF$1),1)</f>
        <v>6.9</v>
      </c>
      <c r="GG38" s="4">
        <f>ROUND((csv!$HG38/10+calc!GG$1),1)</f>
        <v>7</v>
      </c>
      <c r="GH38" s="4">
        <f>ROUND((csv!$HG38/10+calc!GH$1),1)</f>
        <v>7.1</v>
      </c>
      <c r="GI38" s="4">
        <f>ROUND((csv!$HG38/10+calc!GI$1),1)</f>
        <v>7.2</v>
      </c>
      <c r="GJ38" s="4">
        <f>ROUND((csv!$HG38/10+calc!GJ$1),1)</f>
        <v>7.3</v>
      </c>
      <c r="GK38" s="4">
        <f>ROUND((csv!$HG38/10+calc!GK$1),1)</f>
        <v>7.4</v>
      </c>
      <c r="GL38" s="4">
        <f>ROUND((csv!$HG38/10+calc!GL$1),1)</f>
        <v>7.5</v>
      </c>
      <c r="GM38" s="4">
        <f>ROUND((csv!$HG38/10+calc!GM$1),1)</f>
        <v>7.6</v>
      </c>
      <c r="GN38" s="4">
        <f>ROUND((csv!$HG38/10+calc!GN$1),1)</f>
        <v>7.7</v>
      </c>
      <c r="GO38" s="4">
        <f>ROUND((csv!$HG38/10+calc!GO$1),1)</f>
        <v>7.8</v>
      </c>
      <c r="GP38" s="4">
        <f>ROUND((csv!$HG38/10+calc!GP$1),1)</f>
        <v>7.9</v>
      </c>
      <c r="GQ38" s="4">
        <f>ROUND((csv!$HG38/10+calc!GQ$1),1)</f>
        <v>8</v>
      </c>
      <c r="GR38" s="4">
        <f>ROUND((csv!$HG38/10+calc!GR$1),1)</f>
        <v>8.1</v>
      </c>
      <c r="GS38" s="4">
        <f>ROUND((csv!$HG38/10+calc!GS$1),1)</f>
        <v>8.1999999999999993</v>
      </c>
      <c r="GT38" s="4">
        <f>ROUND((csv!$HG38/10+calc!GT$1),1)</f>
        <v>8.3000000000000007</v>
      </c>
      <c r="GU38" s="4">
        <f>ROUND((csv!$HG38/10+calc!GU$1),1)</f>
        <v>8.4</v>
      </c>
      <c r="GV38" s="4">
        <f>ROUND((csv!$HG38/10+calc!GV$1),1)</f>
        <v>8.5</v>
      </c>
      <c r="GW38" s="4">
        <f>ROUND((csv!$HG38/10+calc!GW$1),1)</f>
        <v>8.6</v>
      </c>
      <c r="GX38" s="4">
        <f>ROUND((csv!$HG38/10+calc!GX$1),1)</f>
        <v>8.6999999999999993</v>
      </c>
      <c r="GY38" s="4">
        <f>ROUND((csv!$HG38/10+calc!GY$1),1)</f>
        <v>8.8000000000000007</v>
      </c>
      <c r="GZ38" s="4">
        <f>ROUND((csv!$HG38/10+calc!GZ$1),1)</f>
        <v>8.9</v>
      </c>
      <c r="HA38" s="4">
        <f>ROUND((csv!$HG38/10+calc!HA$1),1)</f>
        <v>9</v>
      </c>
      <c r="HB38" s="4">
        <f>ROUND((csv!$HG38/10+calc!HB$1),1)</f>
        <v>9.1</v>
      </c>
      <c r="HC38" s="4">
        <f>ROUND((csv!$HG38/10+calc!HC$1),1)</f>
        <v>9.1999999999999993</v>
      </c>
      <c r="HD38" s="4">
        <f>ROUND((csv!$HG38/10+calc!HD$1),1)</f>
        <v>9.3000000000000007</v>
      </c>
      <c r="HE38" s="4">
        <f>ROUND((csv!$HG38/10+calc!HE$1),1)</f>
        <v>9.4</v>
      </c>
      <c r="HF38" s="4">
        <f>ROUND((csv!$HG38/10+calc!HF$1),1)</f>
        <v>9.5</v>
      </c>
      <c r="HG38" s="4">
        <f>ROUND((csv!$HG38/10+calc!HG$1),1)</f>
        <v>9.6</v>
      </c>
      <c r="HH38" s="4">
        <f>ROUND((csv!$HG38/10+calc!HH$1),1)</f>
        <v>9.6999999999999993</v>
      </c>
      <c r="HI38" s="4">
        <f>ROUND((csv!$HG38/10+calc!HI$1),1)</f>
        <v>9.8000000000000007</v>
      </c>
      <c r="HJ38" s="4">
        <f>ROUND((csv!$HG38/10+calc!HJ$1),1)</f>
        <v>9.9</v>
      </c>
      <c r="HK38" s="4">
        <f>ROUND((csv!$HG38/10+calc!HK$1),1)</f>
        <v>10</v>
      </c>
      <c r="HM38" s="2">
        <f>csv!A38*10000+csv!B38*100+csv!C38</f>
        <v>0</v>
      </c>
      <c r="HN38" s="5">
        <f>IF(ISERROR(LOOKUP(HN$1,$S38:$HK38,csv!$L38:$HD38)),NA(),LOOKUP(HN$1,$S38:$HK38,csv!$L38:$HD38))</f>
        <v>0</v>
      </c>
      <c r="HO38" s="5">
        <f>IF(ISERROR(LOOKUP(HO$1,$S38:$HK38,csv!$L38:$HD38)),NA(),LOOKUP(HO$1,$S38:$HK38,csv!$L38:$HD38))</f>
        <v>0</v>
      </c>
      <c r="HP38" s="5">
        <f>IF(ISERROR(LOOKUP(HP$1,$S38:$HK38,csv!$L38:$HD38)),NA(),LOOKUP(HP$1,$S38:$HK38,csv!$L38:$HD38))</f>
        <v>0</v>
      </c>
      <c r="HQ38" s="5">
        <f>IF(ISERROR(LOOKUP(HQ$1,$S38:$HK38,csv!$L38:$HD38)),NA(),LOOKUP(HQ$1,$S38:$HK38,csv!$L38:$HD38))</f>
        <v>0</v>
      </c>
      <c r="HR38" s="5">
        <f>IF(ISERROR(LOOKUP(HR$1,$S38:$HK38,csv!$L38:$HD38)),NA(),LOOKUP(HR$1,$S38:$HK38,csv!$L38:$HD38))</f>
        <v>0</v>
      </c>
      <c r="HS38" s="5">
        <f>IF(ISERROR(LOOKUP(HS$1,$S38:$HK38,csv!$L38:$HD38)),NA(),LOOKUP(HS$1,$S38:$HK38,csv!$L38:$HD38))</f>
        <v>0</v>
      </c>
      <c r="HT38" s="5">
        <f>IF(ISERROR(LOOKUP(HT$1,$S38:$HK38,csv!$L38:$HD38)),NA(),LOOKUP(HT$1,$S38:$HK38,csv!$L38:$HD38))</f>
        <v>0</v>
      </c>
      <c r="HU38" s="5">
        <f>IF(ISERROR(LOOKUP(HU$1,$S38:$HK38,csv!$L38:$HD38)),NA(),LOOKUP(HU$1,$S38:$HK38,csv!$L38:$HD38))</f>
        <v>0</v>
      </c>
      <c r="HV38" s="5">
        <f>IF(ISERROR(LOOKUP(HV$1,$S38:$HK38,csv!$L38:$HD38)),NA(),LOOKUP(HV$1,$S38:$HK38,csv!$L38:$HD38))</f>
        <v>0</v>
      </c>
      <c r="HW38" s="5">
        <f>IF(ISERROR(LOOKUP(HW$1,$S38:$HK38,csv!$L38:$HD38)),NA(),LOOKUP(HW$1,$S38:$HK38,csv!$L38:$HD38))</f>
        <v>0</v>
      </c>
      <c r="HX38" s="5">
        <f>IF(ISERROR(LOOKUP(HX$1,$S38:$HK38,csv!$L38:$HD38)),NA(),LOOKUP(HX$1,$S38:$HK38,csv!$L38:$HD38))</f>
        <v>0</v>
      </c>
      <c r="HY38" s="5">
        <f>IF(ISERROR(LOOKUP(HY$1,$S38:$HK38,csv!$L38:$HD38)),NA(),LOOKUP(HY$1,$S38:$HK38,csv!$L38:$HD38))</f>
        <v>0</v>
      </c>
      <c r="HZ38" s="5">
        <f>IF(ISERROR(LOOKUP(HZ$1,$S38:$HK38,csv!$L38:$HD38)),NA(),LOOKUP(HZ$1,$S38:$HK38,csv!$L38:$HD38))</f>
        <v>0</v>
      </c>
      <c r="IA38" s="5">
        <f>IF(ISERROR(LOOKUP(IA$1,$S38:$HK38,csv!$L38:$HD38)),NA(),LOOKUP(IA$1,$S38:$HK38,csv!$L38:$HD38))</f>
        <v>0</v>
      </c>
      <c r="IB38" s="5">
        <f>IF(ISERROR(LOOKUP(IB$1,$S38:$HK38,csv!$L38:$HD38)),NA(),LOOKUP(IB$1,$S38:$HK38,csv!$L38:$HD38))</f>
        <v>0</v>
      </c>
      <c r="IC38" s="5">
        <f>IF(ISERROR(LOOKUP(IC$1,$S38:$HK38,csv!$L38:$HD38)),NA(),LOOKUP(IC$1,$S38:$HK38,csv!$L38:$HD38))</f>
        <v>0</v>
      </c>
      <c r="ID38" s="5">
        <f>IF(ISERROR(LOOKUP(ID$1,$S38:$HK38,csv!$L38:$HD38)),NA(),LOOKUP(ID$1,$S38:$HK38,csv!$L38:$HD38))</f>
        <v>0</v>
      </c>
      <c r="IE38" s="5">
        <f>IF(ISERROR(LOOKUP(IE$1,$S38:$HK38,csv!$L38:$HD38)),NA(),LOOKUP(IE$1,$S38:$HK38,csv!$L38:$HD38))</f>
        <v>0</v>
      </c>
      <c r="IF38" s="5">
        <f>IF(ISERROR(LOOKUP(IF$1,$S38:$HK38,csv!$L38:$HD38)),NA(),LOOKUP(IF$1,$S38:$HK38,csv!$L38:$HD38))</f>
        <v>0</v>
      </c>
      <c r="IG38" s="5">
        <f>IF(ISERROR(LOOKUP(IG$1,$S38:$HK38,csv!$L38:$HD38)),NA(),LOOKUP(IG$1,$S38:$HK38,csv!$L38:$HD38))</f>
        <v>0</v>
      </c>
      <c r="IH38" s="5">
        <f>IF(ISERROR(LOOKUP(IH$1,$S38:$HK38,csv!$L38:$HD38)),NA(),LOOKUP(IH$1,$S38:$HK38,csv!$L38:$HD38))</f>
        <v>0</v>
      </c>
      <c r="II38" s="5">
        <f>IF(ISERROR(LOOKUP(II$1,$S38:$HK38,csv!$L38:$HD38)),NA(),LOOKUP(II$1,$S38:$HK38,csv!$L38:$HD38))</f>
        <v>0</v>
      </c>
      <c r="IJ38" s="5">
        <f>IF(ISERROR(LOOKUP(IJ$1,$S38:$HK38,csv!$L38:$HD38)),NA(),LOOKUP(IJ$1,$S38:$HK38,csv!$L38:$HD38))</f>
        <v>0</v>
      </c>
      <c r="IK38" s="5">
        <f>IF(ISERROR(LOOKUP(IK$1,$S38:$HK38,csv!$L38:$HD38)),NA(),LOOKUP(IK$1,$S38:$HK38,csv!$L38:$HD38))</f>
        <v>0</v>
      </c>
      <c r="IL38" s="5">
        <f>IF(ISERROR(LOOKUP(IL$1,$S38:$HK38,csv!$L38:$HD38)),NA(),LOOKUP(IL$1,$S38:$HK38,csv!$L38:$HD38))</f>
        <v>0</v>
      </c>
      <c r="IM38" s="5">
        <f>IF(ISERROR(LOOKUP(IM$1,$S38:$HK38,csv!$L38:$HD38)),NA(),LOOKUP(IM$1,$S38:$HK38,csv!$L38:$HD38))</f>
        <v>0</v>
      </c>
      <c r="IN38" s="5">
        <f>IF(ISERROR(LOOKUP(IN$1,$S38:$HK38,csv!$L38:$HD38)),NA(),LOOKUP(IN$1,$S38:$HK38,csv!$L38:$HD38))</f>
        <v>0</v>
      </c>
      <c r="IO38" s="5">
        <f>IF(ISERROR(LOOKUP(IO$1,$S38:$HK38,csv!$L38:$HD38)),NA(),LOOKUP(IO$1,$S38:$HK38,csv!$L38:$HD38))</f>
        <v>0</v>
      </c>
      <c r="IP38" s="5">
        <f>IF(ISERROR(LOOKUP(IP$1,$S38:$HK38,csv!$L38:$HD38)),NA(),LOOKUP(IP$1,$S38:$HK38,csv!$L38:$HD38))</f>
        <v>0</v>
      </c>
      <c r="IQ38" s="5">
        <f>IF(ISERROR(LOOKUP(IQ$1,$S38:$HK38,csv!$L38:$HD38)),NA(),LOOKUP(IQ$1,$S38:$HK38,csv!$L38:$HD38))</f>
        <v>0</v>
      </c>
      <c r="IR38" s="5">
        <f>IF(ISERROR(LOOKUP(IR$1,$S38:$HK38,csv!$L38:$HD38)),NA(),LOOKUP(IR$1,$S38:$HK38,csv!$L38:$HD38))</f>
        <v>0</v>
      </c>
      <c r="IS38" s="5">
        <f>IF(ISERROR(LOOKUP(IS$1,$S38:$HK38,csv!$L38:$HD38)),NA(),LOOKUP(IS$1,$S38:$HK38,csv!$L38:$HD38))</f>
        <v>0</v>
      </c>
      <c r="IT38" s="5">
        <f>IF(ISERROR(LOOKUP(IT$1,$S38:$HK38,csv!$L38:$HD38)),NA(),LOOKUP(IT$1,$S38:$HK38,csv!$L38:$HD38))</f>
        <v>0</v>
      </c>
      <c r="IU38" s="5">
        <f>IF(ISERROR(LOOKUP(IU$1,$S38:$HK38,csv!$L38:$HD38)),NA(),LOOKUP(IU$1,$S38:$HK38,csv!$L38:$HD38))</f>
        <v>0</v>
      </c>
      <c r="IV38" s="5">
        <f>IF(ISERROR(LOOKUP(IV$1,$S38:$HK38,csv!$L38:$HD38)),NA(),LOOKUP(IV$1,$S38:$HK38,csv!$L38:$HD38))</f>
        <v>0</v>
      </c>
      <c r="IW38" s="5">
        <f>IF(ISERROR(LOOKUP(IW$1,$S38:$HK38,csv!$L38:$HD38)),NA(),LOOKUP(IW$1,$S38:$HK38,csv!$L38:$HD38))</f>
        <v>0</v>
      </c>
      <c r="IX38" s="5">
        <f>IF(ISERROR(LOOKUP(IX$1,$S38:$HK38,csv!$L38:$HD38)),NA(),LOOKUP(IX$1,$S38:$HK38,csv!$L38:$HD38))</f>
        <v>0</v>
      </c>
      <c r="IY38" s="5">
        <f>IF(ISERROR(LOOKUP(IY$1,$S38:$HK38,csv!$L38:$HD38)),NA(),LOOKUP(IY$1,$S38:$HK38,csv!$L38:$HD38))</f>
        <v>0</v>
      </c>
      <c r="IZ38" s="5">
        <f>IF(ISERROR(LOOKUP(IZ$1,$S38:$HK38,csv!$L38:$HD38)),NA(),LOOKUP(IZ$1,$S38:$HK38,csv!$L38:$HD38))</f>
        <v>0</v>
      </c>
      <c r="JA38" s="5">
        <f>IF(ISERROR(LOOKUP(JA$1,$S38:$HK38,csv!$L38:$HD38)),NA(),LOOKUP(JA$1,$S38:$HK38,csv!$L38:$HD38))</f>
        <v>0</v>
      </c>
      <c r="JB38" s="5">
        <f>IF(ISERROR(LOOKUP(JB$1,$S38:$HK38,csv!$L38:$HD38)),NA(),LOOKUP(JB$1,$S38:$HK38,csv!$L38:$HD38))</f>
        <v>0</v>
      </c>
      <c r="JC38" s="5">
        <f>IF(ISERROR(LOOKUP(JC$1,$S38:$HK38,csv!$L38:$HD38)),NA(),LOOKUP(JC$1,$S38:$HK38,csv!$L38:$HD38))</f>
        <v>0</v>
      </c>
      <c r="JD38" s="5">
        <f>IF(ISERROR(LOOKUP(JD$1,$S38:$HK38,csv!$L38:$HD38)),NA(),LOOKUP(JD$1,$S38:$HK38,csv!$L38:$HD38))</f>
        <v>0</v>
      </c>
      <c r="JE38" s="5">
        <f>IF(ISERROR(LOOKUP(JE$1,$S38:$HK38,csv!$L38:$HD38)),NA(),LOOKUP(JE$1,$S38:$HK38,csv!$L38:$HD38))</f>
        <v>0</v>
      </c>
      <c r="JF38" s="5">
        <f>IF(ISERROR(LOOKUP(JF$1,$S38:$HK38,csv!$L38:$HD38)),NA(),LOOKUP(JF$1,$S38:$HK38,csv!$L38:$HD38))</f>
        <v>0</v>
      </c>
      <c r="JG38" s="5">
        <f>IF(ISERROR(LOOKUP(JG$1,$S38:$HK38,csv!$L38:$HD38)),NA(),LOOKUP(JG$1,$S38:$HK38,csv!$L38:$HD38))</f>
        <v>0</v>
      </c>
      <c r="JH38" s="5">
        <f>IF(ISERROR(LOOKUP(JH$1,$S38:$HK38,csv!$L38:$HD38)),NA(),LOOKUP(JH$1,$S38:$HK38,csv!$L38:$HD38))</f>
        <v>0</v>
      </c>
      <c r="JI38" s="5">
        <f>IF(ISERROR(LOOKUP(JI$1,$S38:$HK38,csv!$L38:$HD38)),NA(),LOOKUP(JI$1,$S38:$HK38,csv!$L38:$HD38))</f>
        <v>0</v>
      </c>
      <c r="JJ38" s="5">
        <f>IF(ISERROR(LOOKUP(JJ$1,$S38:$HK38,csv!$L38:$HD38)),NA(),LOOKUP(JJ$1,$S38:$HK38,csv!$L38:$HD38))</f>
        <v>0</v>
      </c>
      <c r="JK38" s="5">
        <f>IF(ISERROR(LOOKUP(JK$1,$S38:$HK38,csv!$L38:$HD38)),NA(),LOOKUP(JK$1,$S38:$HK38,csv!$L38:$HD38))</f>
        <v>0</v>
      </c>
      <c r="JL38" s="5">
        <f>IF(ISERROR(LOOKUP(JL$1,$S38:$HK38,csv!$L38:$HD38)),NA(),LOOKUP(JL$1,$S38:$HK38,csv!$L38:$HD38))</f>
        <v>0</v>
      </c>
      <c r="JM38" s="5">
        <f>IF(ISERROR(LOOKUP(JM$1,$S38:$HK38,csv!$L38:$HD38)),NA(),LOOKUP(JM$1,$S38:$HK38,csv!$L38:$HD38))</f>
        <v>0</v>
      </c>
      <c r="JN38" s="5">
        <f>IF(ISERROR(LOOKUP(JN$1,$S38:$HK38,csv!$L38:$HD38)),NA(),LOOKUP(JN$1,$S38:$HK38,csv!$L38:$HD38))</f>
        <v>0</v>
      </c>
      <c r="JO38" s="5">
        <f>IF(ISERROR(LOOKUP(JO$1,$S38:$HK38,csv!$L38:$HD38)),NA(),LOOKUP(JO$1,$S38:$HK38,csv!$L38:$HD38))</f>
        <v>0</v>
      </c>
      <c r="JP38" s="5">
        <f>IF(ISERROR(LOOKUP(JP$1,$S38:$HK38,csv!$L38:$HD38)),NA(),LOOKUP(JP$1,$S38:$HK38,csv!$L38:$HD38))</f>
        <v>0</v>
      </c>
      <c r="JQ38" s="5">
        <f>IF(ISERROR(LOOKUP(JQ$1,$S38:$HK38,csv!$L38:$HD38)),NA(),LOOKUP(JQ$1,$S38:$HK38,csv!$L38:$HD38))</f>
        <v>0</v>
      </c>
      <c r="JR38" s="5">
        <f>IF(ISERROR(LOOKUP(JR$1,$S38:$HK38,csv!$L38:$HD38)),NA(),LOOKUP(JR$1,$S38:$HK38,csv!$L38:$HD38))</f>
        <v>0</v>
      </c>
      <c r="JS38" s="5">
        <f>IF(ISERROR(LOOKUP(JS$1,$S38:$HK38,csv!$L38:$HD38)),NA(),LOOKUP(JS$1,$S38:$HK38,csv!$L38:$HD38))</f>
        <v>0</v>
      </c>
      <c r="JT38" s="5">
        <f>IF(ISERROR(LOOKUP(JT$1,$S38:$HK38,csv!$L38:$HD38)),NA(),LOOKUP(JT$1,$S38:$HK38,csv!$L38:$HD38))</f>
        <v>0</v>
      </c>
      <c r="JU38" s="5">
        <f>IF(ISERROR(LOOKUP(JU$1,$S38:$HK38,csv!$L38:$HD38)),NA(),LOOKUP(JU$1,$S38:$HK38,csv!$L38:$HD38))</f>
        <v>0</v>
      </c>
      <c r="JV38" s="5">
        <f>IF(ISERROR(LOOKUP(JV$1,$S38:$HK38,csv!$L38:$HD38)),NA(),LOOKUP(JV$1,$S38:$HK38,csv!$L38:$HD38))</f>
        <v>0</v>
      </c>
      <c r="JW38" s="5">
        <f>IF(ISERROR(LOOKUP(JW$1,$S38:$HK38,csv!$L38:$HD38)),NA(),LOOKUP(JW$1,$S38:$HK38,csv!$L38:$HD38))</f>
        <v>0</v>
      </c>
      <c r="JX38" s="5">
        <f>IF(ISERROR(LOOKUP(JX$1,$S38:$HK38,csv!$L38:$HD38)),NA(),LOOKUP(JX$1,$S38:$HK38,csv!$L38:$HD38))</f>
        <v>0</v>
      </c>
      <c r="JY38" s="5">
        <f>IF(ISERROR(LOOKUP(JY$1,$S38:$HK38,csv!$L38:$HD38)),NA(),LOOKUP(JY$1,$S38:$HK38,csv!$L38:$HD38))</f>
        <v>0</v>
      </c>
      <c r="JZ38" s="5">
        <f>IF(ISERROR(LOOKUP(JZ$1,$S38:$HK38,csv!$L38:$HD38)),NA(),LOOKUP(JZ$1,$S38:$HK38,csv!$L38:$HD38))</f>
        <v>0</v>
      </c>
      <c r="KA38" s="5">
        <f>IF(ISERROR(LOOKUP(KA$1,$S38:$HK38,csv!$L38:$HD38)),NA(),LOOKUP(KA$1,$S38:$HK38,csv!$L38:$HD38))</f>
        <v>0</v>
      </c>
      <c r="KB38" s="5">
        <f>IF(ISERROR(LOOKUP(KB$1,$S38:$HK38,csv!$L38:$HD38)),NA(),LOOKUP(KB$1,$S38:$HK38,csv!$L38:$HD38))</f>
        <v>0</v>
      </c>
      <c r="KC38" s="5">
        <f>IF(ISERROR(LOOKUP(KC$1,$S38:$HK38,csv!$L38:$HD38)),NA(),LOOKUP(KC$1,$S38:$HK38,csv!$L38:$HD38))</f>
        <v>0</v>
      </c>
      <c r="KD38" s="5">
        <f>IF(ISERROR(LOOKUP(KD$1,$S38:$HK38,csv!$L38:$HD38)),NA(),LOOKUP(KD$1,$S38:$HK38,csv!$L38:$HD38))</f>
        <v>0</v>
      </c>
      <c r="KE38" s="5">
        <f>IF(ISERROR(LOOKUP(KE$1,$S38:$HK38,csv!$L38:$HD38)),NA(),LOOKUP(KE$1,$S38:$HK38,csv!$L38:$HD38))</f>
        <v>0</v>
      </c>
      <c r="KF38" s="5">
        <f>IF(ISERROR(LOOKUP(KF$1,$S38:$HK38,csv!$L38:$HD38)),NA(),LOOKUP(KF$1,$S38:$HK38,csv!$L38:$HD38))</f>
        <v>0</v>
      </c>
      <c r="KG38" s="5">
        <f>IF(ISERROR(LOOKUP(KG$1,$S38:$HK38,csv!$L38:$HD38)),NA(),LOOKUP(KG$1,$S38:$HK38,csv!$L38:$HD38))</f>
        <v>0</v>
      </c>
      <c r="KH38" s="5">
        <f>IF(ISERROR(LOOKUP(KH$1,$S38:$HK38,csv!$L38:$HD38)),NA(),LOOKUP(KH$1,$S38:$HK38,csv!$L38:$HD38))</f>
        <v>0</v>
      </c>
      <c r="KI38" s="5">
        <f>IF(ISERROR(LOOKUP(KI$1,$S38:$HK38,csv!$L38:$HD38)),NA(),LOOKUP(KI$1,$S38:$HK38,csv!$L38:$HD38))</f>
        <v>0</v>
      </c>
      <c r="KJ38" s="5">
        <f>IF(ISERROR(LOOKUP(KJ$1,$S38:$HK38,csv!$L38:$HD38)),NA(),LOOKUP(KJ$1,$S38:$HK38,csv!$L38:$HD38))</f>
        <v>0</v>
      </c>
      <c r="KK38" s="5">
        <f>IF(ISERROR(LOOKUP(KK$1,$S38:$HK38,csv!$L38:$HD38)),NA(),LOOKUP(KK$1,$S38:$HK38,csv!$L38:$HD38))</f>
        <v>0</v>
      </c>
      <c r="KL38" s="5">
        <f>IF(ISERROR(LOOKUP(KL$1,$S38:$HK38,csv!$L38:$HD38)),NA(),LOOKUP(KL$1,$S38:$HK38,csv!$L38:$HD38))</f>
        <v>0</v>
      </c>
      <c r="KM38" s="5">
        <f>IF(ISERROR(LOOKUP(KM$1,$S38:$HK38,csv!$L38:$HD38)),NA(),LOOKUP(KM$1,$S38:$HK38,csv!$L38:$HD38))</f>
        <v>0</v>
      </c>
      <c r="KN38" s="5">
        <f>IF(ISERROR(LOOKUP(KN$1,$S38:$HK38,csv!$L38:$HD38)),NA(),LOOKUP(KN$1,$S38:$HK38,csv!$L38:$HD38))</f>
        <v>0</v>
      </c>
      <c r="KO38" s="5">
        <f>IF(ISERROR(LOOKUP(KO$1,$S38:$HK38,csv!$L38:$HD38)),NA(),LOOKUP(KO$1,$S38:$HK38,csv!$L38:$HD38))</f>
        <v>0</v>
      </c>
      <c r="KP38" s="5">
        <f>IF(ISERROR(LOOKUP(KP$1,$S38:$HK38,csv!$L38:$HD38)),NA(),LOOKUP(KP$1,$S38:$HK38,csv!$L38:$HD38))</f>
        <v>0</v>
      </c>
      <c r="KQ38" s="5">
        <f>IF(ISERROR(LOOKUP(KQ$1,$S38:$HK38,csv!$L38:$HD38)),NA(),LOOKUP(KQ$1,$S38:$HK38,csv!$L38:$HD38))</f>
        <v>0</v>
      </c>
      <c r="KR38" s="5">
        <f>IF(ISERROR(LOOKUP(KR$1,$S38:$HK38,csv!$L38:$HD38)),NA(),LOOKUP(KR$1,$S38:$HK38,csv!$L38:$HD38))</f>
        <v>0</v>
      </c>
      <c r="KS38" s="5">
        <f>IF(ISERROR(LOOKUP(KS$1,$S38:$HK38,csv!$L38:$HD38)),NA(),LOOKUP(KS$1,$S38:$HK38,csv!$L38:$HD38))</f>
        <v>0</v>
      </c>
      <c r="KT38" s="5">
        <f>IF(ISERROR(LOOKUP(KT$1,$S38:$HK38,csv!$L38:$HD38)),NA(),LOOKUP(KT$1,$S38:$HK38,csv!$L38:$HD38))</f>
        <v>0</v>
      </c>
      <c r="KU38" s="5">
        <f>IF(ISERROR(LOOKUP(KU$1,$S38:$HK38,csv!$L38:$HD38)),NA(),LOOKUP(KU$1,$S38:$HK38,csv!$L38:$HD38))</f>
        <v>0</v>
      </c>
      <c r="KV38" s="5">
        <f>IF(ISERROR(LOOKUP(KV$1,$S38:$HK38,csv!$L38:$HD38)),NA(),LOOKUP(KV$1,$S38:$HK38,csv!$L38:$HD38))</f>
        <v>0</v>
      </c>
      <c r="KW38" s="5">
        <f>IF(ISERROR(LOOKUP(KW$1,$S38:$HK38,csv!$L38:$HD38)),NA(),LOOKUP(KW$1,$S38:$HK38,csv!$L38:$HD38))</f>
        <v>0</v>
      </c>
      <c r="KX38" s="5">
        <f>IF(ISERROR(LOOKUP(KX$1,$S38:$HK38,csv!$L38:$HD38)),NA(),LOOKUP(KX$1,$S38:$HK38,csv!$L38:$HD38))</f>
        <v>0</v>
      </c>
      <c r="KY38" s="5">
        <f>IF(ISERROR(LOOKUP(KY$1,$S38:$HK38,csv!$L38:$HD38)),NA(),LOOKUP(KY$1,$S38:$HK38,csv!$L38:$HD38))</f>
        <v>0</v>
      </c>
      <c r="KZ38" s="5">
        <f>IF(ISERROR(LOOKUP(KZ$1,$S38:$HK38,csv!$L38:$HD38)),NA(),LOOKUP(KZ$1,$S38:$HK38,csv!$L38:$HD38))</f>
        <v>0</v>
      </c>
      <c r="LA38" s="5">
        <f>IF(ISERROR(LOOKUP(LA$1,$S38:$HK38,csv!$L38:$HD38)),NA(),LOOKUP(LA$1,$S38:$HK38,csv!$L38:$HD38))</f>
        <v>0</v>
      </c>
      <c r="LB38" s="5">
        <f>IF(ISERROR(LOOKUP(LB$1,$S38:$HK38,csv!$L38:$HD38)),NA(),LOOKUP(LB$1,$S38:$HK38,csv!$L38:$HD38))</f>
        <v>0</v>
      </c>
      <c r="LC38" s="5">
        <f>IF(ISERROR(LOOKUP(LC$1,$S38:$HK38,csv!$L38:$HD38)),NA(),LOOKUP(LC$1,$S38:$HK38,csv!$L38:$HD38))</f>
        <v>0</v>
      </c>
      <c r="LD38" s="5">
        <f>IF(ISERROR(LOOKUP(LD$1,$S38:$HK38,csv!$L38:$HD38)),NA(),LOOKUP(LD$1,$S38:$HK38,csv!$L38:$HD38))</f>
        <v>0</v>
      </c>
      <c r="LE38" s="5">
        <f>IF(ISERROR(LOOKUP(LE$1,$S38:$HK38,csv!$L38:$HD38)),NA(),LOOKUP(LE$1,$S38:$HK38,csv!$L38:$HD38))</f>
        <v>0</v>
      </c>
      <c r="LF38" s="5">
        <f>IF(ISERROR(LOOKUP(LF$1,$S38:$HK38,csv!$L38:$HD38)),NA(),LOOKUP(LF$1,$S38:$HK38,csv!$L38:$HD38))</f>
        <v>0</v>
      </c>
      <c r="LG38" s="5">
        <f>IF(ISERROR(LOOKUP(LG$1,$S38:$HK38,csv!$L38:$HD38)),NA(),LOOKUP(LG$1,$S38:$HK38,csv!$L38:$HD38))</f>
        <v>0</v>
      </c>
      <c r="LH38" s="5">
        <f>IF(ISERROR(LOOKUP(LH$1,$S38:$HK38,csv!$L38:$HD38)),NA(),LOOKUP(LH$1,$S38:$HK38,csv!$L38:$HD38))</f>
        <v>0</v>
      </c>
      <c r="LI38" s="5">
        <f>IF(ISERROR(LOOKUP(LI$1,$S38:$HK38,csv!$L38:$HD38)),NA(),LOOKUP(LI$1,$S38:$HK38,csv!$L38:$HD38))</f>
        <v>0</v>
      </c>
      <c r="LJ38" s="5">
        <f>IF(ISERROR(LOOKUP(LJ$1,$S38:$HK38,csv!$L38:$HD38)),NA(),LOOKUP(LJ$1,$S38:$HK38,csv!$L38:$HD38))</f>
        <v>0</v>
      </c>
      <c r="LK38" s="5">
        <f>IF(ISERROR(LOOKUP(LK$1,$S38:$HK38,csv!$L38:$HD38)),NA(),LOOKUP(LK$1,$S38:$HK38,csv!$L38:$HD38))</f>
        <v>0</v>
      </c>
      <c r="LL38" s="5">
        <f>IF(ISERROR(LOOKUP(LL$1,$S38:$HK38,csv!$L38:$HD38)),NA(),LOOKUP(LL$1,$S38:$HK38,csv!$L38:$HD38))</f>
        <v>0</v>
      </c>
      <c r="LM38" s="5">
        <f>IF(ISERROR(LOOKUP(LM$1,$S38:$HK38,csv!$L38:$HD38)),NA(),LOOKUP(LM$1,$S38:$HK38,csv!$L38:$HD38))</f>
        <v>0</v>
      </c>
      <c r="LN38" s="5">
        <f>IF(ISERROR(LOOKUP(LN$1,$S38:$HK38,csv!$L38:$HD38)),NA(),LOOKUP(LN$1,$S38:$HK38,csv!$L38:$HD38))</f>
        <v>0</v>
      </c>
      <c r="LO38" s="5">
        <f>IF(ISERROR(LOOKUP(LO$1,$S38:$HK38,csv!$L38:$HD38)),NA(),LOOKUP(LO$1,$S38:$HK38,csv!$L38:$HD38))</f>
        <v>0</v>
      </c>
      <c r="LP38" s="5">
        <f>IF(ISERROR(LOOKUP(LP$1,$S38:$HK38,csv!$L38:$HD38)),NA(),LOOKUP(LP$1,$S38:$HK38,csv!$L38:$HD38))</f>
        <v>0</v>
      </c>
      <c r="LQ38" s="5">
        <f>IF(ISERROR(LOOKUP(LQ$1,$S38:$HK38,csv!$L38:$HD38)),NA(),LOOKUP(LQ$1,$S38:$HK38,csv!$L38:$HD38))</f>
        <v>0</v>
      </c>
      <c r="LR38" s="5">
        <f>IF(ISERROR(LOOKUP(LR$1,$S38:$HK38,csv!$L38:$HD38)),NA(),LOOKUP(LR$1,$S38:$HK38,csv!$L38:$HD38))</f>
        <v>0</v>
      </c>
      <c r="LS38" s="5">
        <f>IF(ISERROR(LOOKUP(LS$1,$S38:$HK38,csv!$L38:$HD38)),NA(),LOOKUP(LS$1,$S38:$HK38,csv!$L38:$HD38))</f>
        <v>0</v>
      </c>
      <c r="LT38" s="5">
        <f>IF(ISERROR(LOOKUP(LT$1,$S38:$HK38,csv!$L38:$HD38)),NA(),LOOKUP(LT$1,$S38:$HK38,csv!$L38:$HD38))</f>
        <v>0</v>
      </c>
      <c r="LU38" s="5">
        <f>IF(ISERROR(LOOKUP(LU$1,$S38:$HK38,csv!$L38:$HD38)),NA(),LOOKUP(LU$1,$S38:$HK38,csv!$L38:$HD38))</f>
        <v>0</v>
      </c>
      <c r="LV38" s="5">
        <f>IF(ISERROR(LOOKUP(LV$1,$S38:$HK38,csv!$L38:$HD38)),NA(),LOOKUP(LV$1,$S38:$HK38,csv!$L38:$HD38))</f>
        <v>0</v>
      </c>
      <c r="LW38" s="5">
        <f>IF(ISERROR(LOOKUP(LW$1,$S38:$HK38,csv!$L38:$HD38)),NA(),LOOKUP(LW$1,$S38:$HK38,csv!$L38:$HD38))</f>
        <v>0</v>
      </c>
      <c r="LX38" s="5">
        <f>IF(ISERROR(LOOKUP(LX$1,$S38:$HK38,csv!$L38:$HD38)),NA(),LOOKUP(LX$1,$S38:$HK38,csv!$L38:$HD38))</f>
        <v>0</v>
      </c>
      <c r="LY38" s="5">
        <f>IF(ISERROR(LOOKUP(LY$1,$S38:$HK38,csv!$L38:$HD38)),NA(),LOOKUP(LY$1,$S38:$HK38,csv!$L38:$HD38))</f>
        <v>0</v>
      </c>
      <c r="LZ38" s="5">
        <f>IF(ISERROR(LOOKUP(LZ$1,$S38:$HK38,csv!$L38:$HD38)),NA(),LOOKUP(LZ$1,$S38:$HK38,csv!$L38:$HD38))</f>
        <v>0</v>
      </c>
      <c r="MA38" s="5">
        <f>IF(ISERROR(LOOKUP(MA$1,$S38:$HK38,csv!$L38:$HD38)),NA(),LOOKUP(MA$1,$S38:$HK38,csv!$L38:$HD38))</f>
        <v>0</v>
      </c>
      <c r="MB38" s="5">
        <f>IF(ISERROR(LOOKUP(MB$1,$S38:$HK38,csv!$L38:$HD38)),NA(),LOOKUP(MB$1,$S38:$HK38,csv!$L38:$HD38))</f>
        <v>0</v>
      </c>
      <c r="MC38" s="5">
        <f>IF(ISERROR(LOOKUP(MC$1,$S38:$HK38,csv!$L38:$HD38)),NA(),LOOKUP(MC$1,$S38:$HK38,csv!$L38:$HD38))</f>
        <v>0</v>
      </c>
      <c r="MD38" s="5">
        <f>IF(ISERROR(LOOKUP(MD$1,$S38:$HK38,csv!$L38:$HD38)),NA(),LOOKUP(MD$1,$S38:$HK38,csv!$L38:$HD38))</f>
        <v>0</v>
      </c>
      <c r="ME38" s="5">
        <f>IF(ISERROR(LOOKUP(ME$1,$S38:$HK38,csv!$L38:$HD38)),NA(),LOOKUP(ME$1,$S38:$HK38,csv!$L38:$HD38))</f>
        <v>0</v>
      </c>
      <c r="MF38" s="5">
        <f>IF(ISERROR(LOOKUP(MF$1,$S38:$HK38,csv!$L38:$HD38)),NA(),LOOKUP(MF$1,$S38:$HK38,csv!$L38:$HD38))</f>
        <v>0</v>
      </c>
      <c r="MG38" s="5">
        <f>IF(ISERROR(LOOKUP(MG$1,$S38:$HK38,csv!$L38:$HD38)),NA(),LOOKUP(MG$1,$S38:$HK38,csv!$L38:$HD38))</f>
        <v>0</v>
      </c>
      <c r="MH38" s="5">
        <f>IF(ISERROR(LOOKUP(MH$1,$S38:$HK38,csv!$L38:$HD38)),NA(),LOOKUP(MH$1,$S38:$HK38,csv!$L38:$HD38))</f>
        <v>0</v>
      </c>
      <c r="MI38" s="5">
        <f>IF(ISERROR(LOOKUP(MI$1,$S38:$HK38,csv!$L38:$HD38)),NA(),LOOKUP(MI$1,$S38:$HK38,csv!$L38:$HD38))</f>
        <v>0</v>
      </c>
      <c r="MJ38" s="5">
        <f>IF(ISERROR(LOOKUP(MJ$1,$S38:$HK38,csv!$L38:$HD38)),NA(),LOOKUP(MJ$1,$S38:$HK38,csv!$L38:$HD38))</f>
        <v>0</v>
      </c>
      <c r="MK38" s="5">
        <f>IF(ISERROR(LOOKUP(MK$1,$S38:$HK38,csv!$L38:$HD38)),NA(),LOOKUP(MK$1,$S38:$HK38,csv!$L38:$HD38))</f>
        <v>0</v>
      </c>
      <c r="ML38" s="5">
        <f>IF(ISERROR(LOOKUP(ML$1,$S38:$HK38,csv!$L38:$HD38)),NA(),LOOKUP(ML$1,$S38:$HK38,csv!$L38:$HD38))</f>
        <v>0</v>
      </c>
      <c r="MM38" s="5">
        <f>IF(ISERROR(LOOKUP(MM$1,$S38:$HK38,csv!$L38:$HD38)),NA(),LOOKUP(MM$1,$S38:$HK38,csv!$L38:$HD38))</f>
        <v>0</v>
      </c>
      <c r="MN38" s="5">
        <f>IF(ISERROR(LOOKUP(MN$1,$S38:$HK38,csv!$L38:$HD38)),NA(),LOOKUP(MN$1,$S38:$HK38,csv!$L38:$HD38))</f>
        <v>0</v>
      </c>
      <c r="MO38" s="5">
        <f>IF(ISERROR(LOOKUP(MO$1,$S38:$HK38,csv!$L38:$HD38)),NA(),LOOKUP(MO$1,$S38:$HK38,csv!$L38:$HD38))</f>
        <v>0</v>
      </c>
      <c r="MP38" s="5">
        <f>IF(ISERROR(LOOKUP(MP$1,$S38:$HK38,csv!$L38:$HD38)),NA(),LOOKUP(MP$1,$S38:$HK38,csv!$L38:$HD38))</f>
        <v>0</v>
      </c>
      <c r="MQ38" s="5">
        <f>IF(ISERROR(LOOKUP(MQ$1,$S38:$HK38,csv!$L38:$HD38)),NA(),LOOKUP(MQ$1,$S38:$HK38,csv!$L38:$HD38))</f>
        <v>0</v>
      </c>
      <c r="MR38" s="5">
        <f>IF(ISERROR(LOOKUP(MR$1,$S38:$HK38,csv!$L38:$HD38)),NA(),LOOKUP(MR$1,$S38:$HK38,csv!$L38:$HD38))</f>
        <v>0</v>
      </c>
      <c r="MS38" s="5">
        <f>IF(ISERROR(LOOKUP(MS$1,$S38:$HK38,csv!$L38:$HD38)),NA(),LOOKUP(MS$1,$S38:$HK38,csv!$L38:$HD38))</f>
        <v>0</v>
      </c>
      <c r="MT38" s="5">
        <f>IF(ISERROR(LOOKUP(MT$1,$S38:$HK38,csv!$L38:$HD38)),NA(),LOOKUP(MT$1,$S38:$HK38,csv!$L38:$HD38))</f>
        <v>0</v>
      </c>
      <c r="MU38" s="5">
        <f>IF(ISERROR(LOOKUP(MU$1,$S38:$HK38,csv!$L38:$HD38)),NA(),LOOKUP(MU$1,$S38:$HK38,csv!$L38:$HD38))</f>
        <v>0</v>
      </c>
      <c r="MV38" s="5">
        <f>IF(ISERROR(LOOKUP(MV$1,$S38:$HK38,csv!$L38:$HD38)),NA(),LOOKUP(MV$1,$S38:$HK38,csv!$L38:$HD38))</f>
        <v>0</v>
      </c>
      <c r="MW38" s="5">
        <f>IF(ISERROR(LOOKUP(MW$1,$S38:$HK38,csv!$L38:$HD38)),NA(),LOOKUP(MW$1,$S38:$HK38,csv!$L38:$HD38))</f>
        <v>0</v>
      </c>
      <c r="MX38" s="5">
        <f>IF(ISERROR(LOOKUP(MX$1,$S38:$HK38,csv!$L38:$HD38)),NA(),LOOKUP(MX$1,$S38:$HK38,csv!$L38:$HD38))</f>
        <v>0</v>
      </c>
      <c r="MY38" s="5">
        <f>IF(ISERROR(LOOKUP(MY$1,$S38:$HK38,csv!$L38:$HD38)),NA(),LOOKUP(MY$1,$S38:$HK38,csv!$L38:$HD38))</f>
        <v>0</v>
      </c>
      <c r="MZ38" s="5">
        <f>IF(ISERROR(LOOKUP(MZ$1,$S38:$HK38,csv!$L38:$HD38)),NA(),LOOKUP(MZ$1,$S38:$HK38,csv!$L38:$HD38))</f>
        <v>0</v>
      </c>
      <c r="NA38" s="5">
        <f>IF(ISERROR(LOOKUP(NA$1,$S38:$HK38,csv!$L38:$HD38)),NA(),LOOKUP(NA$1,$S38:$HK38,csv!$L38:$HD38))</f>
        <v>0</v>
      </c>
      <c r="NB38" s="5">
        <f>IF(ISERROR(LOOKUP(NB$1,$S38:$HK38,csv!$L38:$HD38)),NA(),LOOKUP(NB$1,$S38:$HK38,csv!$L38:$HD38))</f>
        <v>0</v>
      </c>
      <c r="NC38" s="5">
        <f>IF(ISERROR(LOOKUP(NC$1,$S38:$HK38,csv!$L38:$HD38)),NA(),LOOKUP(NC$1,$S38:$HK38,csv!$L38:$HD38))</f>
        <v>0</v>
      </c>
      <c r="ND38" s="5">
        <f>IF(ISERROR(LOOKUP(ND$1,$S38:$HK38,csv!$L38:$HD38)),NA(),LOOKUP(ND$1,$S38:$HK38,csv!$L38:$HD38))</f>
        <v>0</v>
      </c>
      <c r="NE38" s="5">
        <f>IF(ISERROR(LOOKUP(NE$1,$S38:$HK38,csv!$L38:$HD38)),NA(),LOOKUP(NE$1,$S38:$HK38,csv!$L38:$HD38))</f>
        <v>0</v>
      </c>
      <c r="NF38" s="5">
        <f>IF(ISERROR(LOOKUP(NF$1,$S38:$HK38,csv!$L38:$HD38)),NA(),LOOKUP(NF$1,$S38:$HK38,csv!$L38:$HD38))</f>
        <v>0</v>
      </c>
      <c r="NG38" s="5">
        <f>IF(ISERROR(LOOKUP(NG$1,$S38:$HK38,csv!$L38:$HD38)),NA(),LOOKUP(NG$1,$S38:$HK38,csv!$L38:$HD38))</f>
        <v>0</v>
      </c>
      <c r="NH38" s="5">
        <f>IF(ISERROR(LOOKUP(NH$1,$S38:$HK38,csv!$L38:$HD38)),NA(),LOOKUP(NH$1,$S38:$HK38,csv!$L38:$HD38))</f>
        <v>0</v>
      </c>
      <c r="NI38" s="5">
        <f>IF(ISERROR(LOOKUP(NI$1,$S38:$HK38,csv!$L38:$HD38)),NA(),LOOKUP(NI$1,$S38:$HK38,csv!$L38:$HD38))</f>
        <v>0</v>
      </c>
      <c r="NJ38" s="5">
        <f>IF(ISERROR(LOOKUP(NJ$1,$S38:$HK38,csv!$L38:$HD38)),NA(),LOOKUP(NJ$1,$S38:$HK38,csv!$L38:$HD38))</f>
        <v>0</v>
      </c>
      <c r="NK38" s="5">
        <f>IF(ISERROR(LOOKUP(NK$1,$S38:$HK38,csv!$L38:$HD38)),NA(),LOOKUP(NK$1,$S38:$HK38,csv!$L38:$HD38))</f>
        <v>0</v>
      </c>
      <c r="NL38" s="5">
        <f>IF(ISERROR(LOOKUP(NL$1,$S38:$HK38,csv!$L38:$HD38)),NA(),LOOKUP(NL$1,$S38:$HK38,csv!$L38:$HD38))</f>
        <v>0</v>
      </c>
      <c r="NM38" s="5">
        <f>IF(ISERROR(LOOKUP(NM$1,$S38:$HK38,csv!$L38:$HD38)),NA(),LOOKUP(NM$1,$S38:$HK38,csv!$L38:$HD38))</f>
        <v>0</v>
      </c>
      <c r="NN38" s="5">
        <f>IF(ISERROR(LOOKUP(NN$1,$S38:$HK38,csv!$L38:$HD38)),NA(),LOOKUP(NN$1,$S38:$HK38,csv!$L38:$HD38))</f>
        <v>0</v>
      </c>
      <c r="NO38" s="5">
        <f>IF(ISERROR(LOOKUP(NO$1,$S38:$HK38,csv!$L38:$HD38)),NA(),LOOKUP(NO$1,$S38:$HK38,csv!$L38:$HD38))</f>
        <v>0</v>
      </c>
      <c r="NP38" s="5">
        <f>IF(ISERROR(LOOKUP(NP$1,$S38:$HK38,csv!$L38:$HD38)),NA(),LOOKUP(NP$1,$S38:$HK38,csv!$L38:$HD38))</f>
        <v>0</v>
      </c>
      <c r="NQ38" s="5">
        <f>IF(ISERROR(LOOKUP(NQ$1,$S38:$HK38,csv!$L38:$HD38)),NA(),LOOKUP(NQ$1,$S38:$HK38,csv!$L38:$HD38))</f>
        <v>0</v>
      </c>
      <c r="NR38" s="5">
        <f>IF(ISERROR(LOOKUP(NR$1,$S38:$HK38,csv!$L38:$HD38)),NA(),LOOKUP(NR$1,$S38:$HK38,csv!$L38:$HD38))</f>
        <v>0</v>
      </c>
      <c r="NS38" s="5">
        <f>IF(ISERROR(LOOKUP(NS$1,$S38:$HK38,csv!$L38:$HD38)),NA(),LOOKUP(NS$1,$S38:$HK38,csv!$L38:$HD38))</f>
        <v>0</v>
      </c>
      <c r="NT38" s="5">
        <f>IF(ISERROR(LOOKUP(NT$1,$S38:$HK38,csv!$L38:$HD38)),NA(),LOOKUP(NT$1,$S38:$HK38,csv!$L38:$HD38))</f>
        <v>0</v>
      </c>
      <c r="NU38" s="5">
        <f>IF(ISERROR(LOOKUP(NU$1,$S38:$HK38,csv!$L38:$HD38)),NA(),LOOKUP(NU$1,$S38:$HK38,csv!$L38:$HD38))</f>
        <v>0</v>
      </c>
      <c r="NV38" s="5">
        <f>IF(ISERROR(LOOKUP(NV$1,$S38:$HK38,csv!$L38:$HD38)),NA(),LOOKUP(NV$1,$S38:$HK38,csv!$L38:$HD38))</f>
        <v>0</v>
      </c>
      <c r="NW38" s="5">
        <f>IF(ISERROR(LOOKUP(NW$1,$S38:$HK38,csv!$L38:$HD38)),NA(),LOOKUP(NW$1,$S38:$HK38,csv!$L38:$HD38))</f>
        <v>0</v>
      </c>
      <c r="NX38" s="5">
        <f>IF(ISERROR(LOOKUP(NX$1,$S38:$HK38,csv!$L38:$HD38)),NA(),LOOKUP(NX$1,$S38:$HK38,csv!$L38:$HD38))</f>
        <v>0</v>
      </c>
      <c r="NY38" s="5">
        <f>IF(ISERROR(LOOKUP(NY$1,$S38:$HK38,csv!$L38:$HD38)),NA(),LOOKUP(NY$1,$S38:$HK38,csv!$L38:$HD38))</f>
        <v>0</v>
      </c>
      <c r="NZ38" s="5">
        <f>IF(ISERROR(LOOKUP(NZ$1,$S38:$HK38,csv!$L38:$HD38)),NA(),LOOKUP(NZ$1,$S38:$HK38,csv!$L38:$HD38))</f>
        <v>0</v>
      </c>
      <c r="OA38" s="5">
        <f>IF(ISERROR(LOOKUP(OA$1,$S38:$HK38,csv!$L38:$HD38)),NA(),LOOKUP(OA$1,$S38:$HK38,csv!$L38:$HD38))</f>
        <v>0</v>
      </c>
      <c r="OB38" s="5">
        <f>IF(ISERROR(LOOKUP(OB$1,$S38:$HK38,csv!$L38:$HD38)),NA(),LOOKUP(OB$1,$S38:$HK38,csv!$L38:$HD38))</f>
        <v>0</v>
      </c>
      <c r="OC38" s="5">
        <f>IF(ISERROR(LOOKUP(OC$1,$S38:$HK38,csv!$L38:$HD38)),NA(),LOOKUP(OC$1,$S38:$HK38,csv!$L38:$HD38))</f>
        <v>0</v>
      </c>
      <c r="OD38" s="5">
        <f>IF(ISERROR(LOOKUP(OD$1,$S38:$HK38,csv!$L38:$HD38)),NA(),LOOKUP(OD$1,$S38:$HK38,csv!$L38:$HD38))</f>
        <v>0</v>
      </c>
      <c r="OE38" s="5">
        <f>IF(ISERROR(LOOKUP(OE$1,$S38:$HK38,csv!$L38:$HD38)),NA(),LOOKUP(OE$1,$S38:$HK38,csv!$L38:$HD38))</f>
        <v>0</v>
      </c>
      <c r="OF38" s="5">
        <f>IF(ISERROR(LOOKUP(OF$1,$S38:$HK38,csv!$L38:$HD38)),NA(),LOOKUP(OF$1,$S38:$HK38,csv!$L38:$HD38))</f>
        <v>0</v>
      </c>
      <c r="OG38" s="5">
        <f>IF(ISERROR(LOOKUP(OG$1,$S38:$HK38,csv!$L38:$HD38)),NA(),LOOKUP(OG$1,$S38:$HK38,csv!$L38:$HD38))</f>
        <v>0</v>
      </c>
      <c r="OH38" s="5">
        <f>IF(ISERROR(LOOKUP(OH$1,$S38:$HK38,csv!$L38:$HD38)),NA(),LOOKUP(OH$1,$S38:$HK38,csv!$L38:$HD38))</f>
        <v>0</v>
      </c>
      <c r="OI38" s="5">
        <f>IF(ISERROR(LOOKUP(OI$1,$S38:$HK38,csv!$L38:$HD38)),NA(),LOOKUP(OI$1,$S38:$HK38,csv!$L38:$HD38))</f>
        <v>0</v>
      </c>
      <c r="OJ38" s="5">
        <f>IF(ISERROR(LOOKUP(OJ$1,$S38:$HK38,csv!$L38:$HD38)),NA(),LOOKUP(OJ$1,$S38:$HK38,csv!$L38:$HD38))</f>
        <v>0</v>
      </c>
      <c r="OK38" s="5">
        <f>IF(ISERROR(LOOKUP(OK$1,$S38:$HK38,csv!$L38:$HD38)),NA(),LOOKUP(OK$1,$S38:$HK38,csv!$L38:$HD38))</f>
        <v>0</v>
      </c>
      <c r="OL38" s="5">
        <f>IF(ISERROR(LOOKUP(OL$1,$S38:$HK38,csv!$L38:$HD38)),NA(),LOOKUP(OL$1,$S38:$HK38,csv!$L38:$HD38))</f>
        <v>0</v>
      </c>
      <c r="OM38" s="5">
        <f>IF(ISERROR(LOOKUP(OM$1,$S38:$HK38,csv!$L38:$HD38)),NA(),LOOKUP(OM$1,$S38:$HK38,csv!$L38:$HD38))</f>
        <v>0</v>
      </c>
      <c r="ON38" s="5">
        <f>IF(ISERROR(LOOKUP(ON$1,$S38:$HK38,csv!$L38:$HD38)),NA(),LOOKUP(ON$1,$S38:$HK38,csv!$L38:$HD38))</f>
        <v>0</v>
      </c>
      <c r="OO38" s="5">
        <f>IF(ISERROR(LOOKUP(OO$1,$S38:$HK38,csv!$L38:$HD38)),NA(),LOOKUP(OO$1,$S38:$HK38,csv!$L38:$HD38))</f>
        <v>0</v>
      </c>
      <c r="OP38" s="5">
        <f>IF(ISERROR(LOOKUP(OP$1,$S38:$HK38,csv!$L38:$HD38)),NA(),LOOKUP(OP$1,$S38:$HK38,csv!$L38:$HD38))</f>
        <v>0</v>
      </c>
      <c r="OQ38" s="5">
        <f>IF(ISERROR(LOOKUP(OQ$1,$S38:$HK38,csv!$L38:$HD38)),NA(),LOOKUP(OQ$1,$S38:$HK38,csv!$L38:$HD38))</f>
        <v>0</v>
      </c>
      <c r="OR38" s="5">
        <f>IF(ISERROR(LOOKUP(OR$1,$S38:$HK38,csv!$L38:$HD38)),NA(),LOOKUP(OR$1,$S38:$HK38,csv!$L38:$HD38))</f>
        <v>0</v>
      </c>
      <c r="OS38" s="5">
        <f>IF(ISERROR(LOOKUP(OS$1,$S38:$HK38,csv!$L38:$HD38)),NA(),LOOKUP(OS$1,$S38:$HK38,csv!$L38:$HD38))</f>
        <v>0</v>
      </c>
      <c r="OT38" s="5">
        <f>IF(ISERROR(LOOKUP(OT$1,$S38:$HK38,csv!$L38:$HD38)),NA(),LOOKUP(OT$1,$S38:$HK38,csv!$L38:$HD38))</f>
        <v>0</v>
      </c>
      <c r="OU38" s="5">
        <f>IF(ISERROR(LOOKUP(OU$1,$S38:$HK38,csv!$L38:$HD38)),NA(),LOOKUP(OU$1,$S38:$HK38,csv!$L38:$HD38))</f>
        <v>0</v>
      </c>
      <c r="OV38" s="5">
        <f>IF(ISERROR(LOOKUP(OV$1,$S38:$HK38,csv!$L38:$HD38)),NA(),LOOKUP(OV$1,$S38:$HK38,csv!$L38:$HD38))</f>
        <v>0</v>
      </c>
      <c r="OW38" s="5">
        <f>IF(ISERROR(LOOKUP(OW$1,$S38:$HK38,csv!$L38:$HD38)),NA(),LOOKUP(OW$1,$S38:$HK38,csv!$L38:$HD38))</f>
        <v>0</v>
      </c>
      <c r="OX38" s="5">
        <f>IF(ISERROR(LOOKUP(OX$1,$S38:$HK38,csv!$L38:$HD38)),NA(),LOOKUP(OX$1,$S38:$HK38,csv!$L38:$HD38))</f>
        <v>0</v>
      </c>
      <c r="OY38" s="5">
        <f>IF(ISERROR(LOOKUP(OY$1,$S38:$HK38,csv!$L38:$HD38)),NA(),LOOKUP(OY$1,$S38:$HK38,csv!$L38:$HD38))</f>
        <v>0</v>
      </c>
      <c r="OZ38" s="5">
        <f>IF(ISERROR(LOOKUP(OZ$1,$S38:$HK38,csv!$L38:$HD38)),NA(),LOOKUP(OZ$1,$S38:$HK38,csv!$L38:$HD38))</f>
        <v>0</v>
      </c>
      <c r="PA38" s="5">
        <f>IF(ISERROR(LOOKUP(PA$1,$S38:$HK38,csv!$L38:$HD38)),NA(),LOOKUP(PA$1,$S38:$HK38,csv!$L38:$HD38))</f>
        <v>0</v>
      </c>
      <c r="PB38" s="5">
        <f>IF(ISERROR(LOOKUP(PB$1,$S38:$HK38,csv!$L38:$HD38)),NA(),LOOKUP(PB$1,$S38:$HK38,csv!$L38:$HD38))</f>
        <v>0</v>
      </c>
      <c r="PC38" s="5">
        <f>IF(ISERROR(LOOKUP(PC$1,$S38:$HK38,csv!$L38:$HD38)),NA(),LOOKUP(PC$1,$S38:$HK38,csv!$L38:$HD38))</f>
        <v>0</v>
      </c>
      <c r="PD38" s="5">
        <f>IF(ISERROR(LOOKUP(PD$1,$S38:$HK38,csv!$L38:$HD38)),NA(),LOOKUP(PD$1,$S38:$HK38,csv!$L38:$HD38))</f>
        <v>0</v>
      </c>
      <c r="PE38" s="5">
        <f>IF(ISERROR(LOOKUP(PE$1,$S38:$HK38,csv!$L38:$HD38)),NA(),LOOKUP(PE$1,$S38:$HK38,csv!$L38:$HD38))</f>
        <v>0</v>
      </c>
      <c r="PF38" s="5">
        <f>IF(ISERROR(LOOKUP(PF$1,$S38:$HK38,csv!$L38:$HD38)),NA(),LOOKUP(PF$1,$S38:$HK38,csv!$L38:$HD38))</f>
        <v>0</v>
      </c>
      <c r="PG38" s="5">
        <f>IF(ISERROR(LOOKUP(PG$1,$S38:$HK38,csv!$L38:$HD38)),NA(),LOOKUP(PG$1,$S38:$HK38,csv!$L38:$HD38))</f>
        <v>0</v>
      </c>
      <c r="PH38" s="5">
        <f>IF(ISERROR(LOOKUP(PH$1,$S38:$HK38,csv!$L38:$HD38)),NA(),LOOKUP(PH$1,$S38:$HK38,csv!$L38:$HD38))</f>
        <v>0</v>
      </c>
      <c r="PI38" s="5">
        <f>IF(ISERROR(LOOKUP(PI$1,$S38:$HK38,csv!$L38:$HD38)),NA(),LOOKUP(PI$1,$S38:$HK38,csv!$L38:$HD38))</f>
        <v>0</v>
      </c>
      <c r="PJ38" s="5">
        <f>IF(ISERROR(LOOKUP(PJ$1,$S38:$HK38,csv!$L38:$HD38)),NA(),LOOKUP(PJ$1,$S38:$HK38,csv!$L38:$HD38))</f>
        <v>0</v>
      </c>
      <c r="PK38" s="5">
        <f>IF(ISERROR(LOOKUP(PK$1,$S38:$HK38,csv!$L38:$HD38)),NA(),LOOKUP(PK$1,$S38:$HK38,csv!$L38:$HD38))</f>
        <v>0</v>
      </c>
      <c r="PL38" s="5">
        <f>IF(ISERROR(LOOKUP(PL$1,$S38:$HK38,csv!$L38:$HD38)),NA(),LOOKUP(PL$1,$S38:$HK38,csv!$L38:$HD38))</f>
        <v>0</v>
      </c>
      <c r="PM38" s="5">
        <f>IF(ISERROR(LOOKUP(PM$1,$S38:$HK38,csv!$L38:$HD38)),NA(),LOOKUP(PM$1,$S38:$HK38,csv!$L38:$HD38))</f>
        <v>0</v>
      </c>
      <c r="PN38" s="5">
        <f>IF(ISERROR(LOOKUP(PN$1,$S38:$HK38,csv!$L38:$HD38)),NA(),LOOKUP(PN$1,$S38:$HK38,csv!$L38:$HD38))</f>
        <v>0</v>
      </c>
      <c r="PO38" s="5">
        <f>IF(ISERROR(LOOKUP(PO$1,$S38:$HK38,csv!$L38:$HD38)),NA(),LOOKUP(PO$1,$S38:$HK38,csv!$L38:$HD38))</f>
        <v>0</v>
      </c>
      <c r="PP38" s="5">
        <f>IF(ISERROR(LOOKUP(PP$1,$S38:$HK38,csv!$L38:$HD38)),NA(),LOOKUP(PP$1,$S38:$HK38,csv!$L38:$HD38))</f>
        <v>0</v>
      </c>
      <c r="PQ38" s="5">
        <f>IF(ISERROR(LOOKUP(PQ$1,$S38:$HK38,csv!$L38:$HD38)),NA(),LOOKUP(PQ$1,$S38:$HK38,csv!$L38:$HD38))</f>
        <v>0</v>
      </c>
      <c r="PR38" s="5">
        <f>IF(ISERROR(LOOKUP(PR$1,$S38:$HK38,csv!$L38:$HD38)),NA(),LOOKUP(PR$1,$S38:$HK38,csv!$L38:$HD38))</f>
        <v>0</v>
      </c>
      <c r="PS38" s="5">
        <f>IF(ISERROR(LOOKUP(PS$1,$S38:$HK38,csv!$L38:$HD38)),NA(),LOOKUP(PS$1,$S38:$HK38,csv!$L38:$HD38))</f>
        <v>0</v>
      </c>
      <c r="PT38" s="5">
        <f>IF(ISERROR(LOOKUP(PT$1,$S38:$HK38,csv!$L38:$HD38)),NA(),LOOKUP(PT$1,$S38:$HK38,csv!$L38:$HD38))</f>
        <v>0</v>
      </c>
      <c r="PU38" s="5">
        <f>IF(ISERROR(LOOKUP(PU$1,$S38:$HK38,csv!$L38:$HD38)),NA(),LOOKUP(PU$1,$S38:$HK38,csv!$L38:$HD38))</f>
        <v>0</v>
      </c>
      <c r="PV38" s="5">
        <f>IF(ISERROR(LOOKUP(PV$1,$S38:$HK38,csv!$L38:$HD38)),NA(),LOOKUP(PV$1,$S38:$HK38,csv!$L38:$HD38))</f>
        <v>0</v>
      </c>
      <c r="PW38" s="5">
        <f>IF(ISERROR(LOOKUP(PW$1,$S38:$HK38,csv!$L38:$HD38)),NA(),LOOKUP(PW$1,$S38:$HK38,csv!$L38:$HD38))</f>
        <v>0</v>
      </c>
      <c r="PX38" s="5">
        <f>IF(ISERROR(LOOKUP(PX$1,$S38:$HK38,csv!$L38:$HD38)),NA(),LOOKUP(PX$1,$S38:$HK38,csv!$L38:$HD38))</f>
        <v>0</v>
      </c>
      <c r="PY38" s="5">
        <f>IF(ISERROR(LOOKUP(PY$1,$S38:$HK38,csv!$L38:$HD38)),NA(),LOOKUP(PY$1,$S38:$HK38,csv!$L38:$HD38))</f>
        <v>0</v>
      </c>
      <c r="PZ38" s="5">
        <f>IF(ISERROR(LOOKUP(PZ$1,$S38:$HK38,csv!$L38:$HD38)),NA(),LOOKUP(PZ$1,$S38:$HK38,csv!$L38:$HD38))</f>
        <v>0</v>
      </c>
      <c r="QA38" s="5">
        <f>IF(ISERROR(LOOKUP(QA$1,$S38:$HK38,csv!$L38:$HD38)),NA(),LOOKUP(QA$1,$S38:$HK38,csv!$L38:$HD38))</f>
        <v>0</v>
      </c>
      <c r="QB38" s="5">
        <f>IF(ISERROR(LOOKUP(QB$1,$S38:$HK38,csv!$L38:$HD38)),NA(),LOOKUP(QB$1,$S38:$HK38,csv!$L38:$HD38))</f>
        <v>0</v>
      </c>
      <c r="QC38" s="5">
        <f>IF(ISERROR(LOOKUP(QC$1,$S38:$HK38,csv!$L38:$HD38)),NA(),LOOKUP(QC$1,$S38:$HK38,csv!$L38:$HD38))</f>
        <v>0</v>
      </c>
      <c r="QD38" s="5">
        <f>IF(ISERROR(LOOKUP(QD$1,$S38:$HK38,csv!$L38:$HD38)),NA(),LOOKUP(QD$1,$S38:$HK38,csv!$L38:$HD38))</f>
        <v>0</v>
      </c>
      <c r="QE38" s="5">
        <f>IF(ISERROR(LOOKUP(QE$1,$S38:$HK38,csv!$L38:$HD38)),NA(),LOOKUP(QE$1,$S38:$HK38,csv!$L38:$HD38))</f>
        <v>0</v>
      </c>
      <c r="QF38" s="5">
        <f>IF(ISERROR(LOOKUP(QF$1,$S38:$HK38,csv!$L38:$HD38)),NA(),LOOKUP(QF$1,$S38:$HK38,csv!$L38:$HD38))</f>
        <v>0</v>
      </c>
      <c r="QG38" s="5">
        <f>IF(ISERROR(LOOKUP(QG$1,$S38:$HK38,csv!$L38:$HD38)),NA(),LOOKUP(QG$1,$S38:$HK38,csv!$L38:$HD38))</f>
        <v>0</v>
      </c>
      <c r="QH38" s="5">
        <f>IF(ISERROR(LOOKUP(QH$1,$S38:$HK38,csv!$L38:$HD38)),NA(),LOOKUP(QH$1,$S38:$HK38,csv!$L38:$HD38))</f>
        <v>0</v>
      </c>
      <c r="QI38" s="5">
        <f>IF(ISERROR(LOOKUP(QI$1,$S38:$HK38,csv!$L38:$HD38)),NA(),LOOKUP(QI$1,$S38:$HK38,csv!$L38:$HD38))</f>
        <v>0</v>
      </c>
      <c r="QJ38" s="5">
        <f>IF(ISERROR(LOOKUP(QJ$1,$S38:$HK38,csv!$L38:$HD38)),NA(),LOOKUP(QJ$1,$S38:$HK38,csv!$L38:$HD38))</f>
        <v>0</v>
      </c>
      <c r="QK38" s="5">
        <f>IF(ISERROR(LOOKUP(QK$1,$S38:$HK38,csv!$L38:$HD38)),NA(),LOOKUP(QK$1,$S38:$HK38,csv!$L38:$HD38))</f>
        <v>0</v>
      </c>
      <c r="QL38" s="5">
        <f>IF(ISERROR(LOOKUP(QL$1,$S38:$HK38,csv!$L38:$HD38)),NA(),LOOKUP(QL$1,$S38:$HK38,csv!$L38:$HD38))</f>
        <v>0</v>
      </c>
      <c r="QM38" s="5">
        <f>IF(ISERROR(LOOKUP(QM$1,$S38:$HK38,csv!$L38:$HD38)),NA(),LOOKUP(QM$1,$S38:$HK38,csv!$L38:$HD38))</f>
        <v>0</v>
      </c>
      <c r="QN38" s="5">
        <f>IF(ISERROR(LOOKUP(QN$1,$S38:$HK38,csv!$L38:$HD38)),NA(),LOOKUP(QN$1,$S38:$HK38,csv!$L38:$HD38))</f>
        <v>0</v>
      </c>
      <c r="QO38" s="5">
        <f>IF(ISERROR(LOOKUP(QO$1,$S38:$HK38,csv!$L38:$HD38)),NA(),LOOKUP(QO$1,$S38:$HK38,csv!$L38:$HD38))</f>
        <v>0</v>
      </c>
      <c r="QP38" s="5">
        <f>IF(ISERROR(LOOKUP(QP$1,$S38:$HK38,csv!$L38:$HD38)),NA(),LOOKUP(QP$1,$S38:$HK38,csv!$L38:$HD38))</f>
        <v>0</v>
      </c>
      <c r="QQ38" s="5">
        <f>IF(ISERROR(LOOKUP(QQ$1,$S38:$HK38,csv!$L38:$HD38)),NA(),LOOKUP(QQ$1,$S38:$HK38,csv!$L38:$HD38))</f>
        <v>0</v>
      </c>
      <c r="QR38" s="5">
        <f>IF(ISERROR(LOOKUP(QR$1,$S38:$HK38,csv!$L38:$HD38)),NA(),LOOKUP(QR$1,$S38:$HK38,csv!$L38:$HD38))</f>
        <v>0</v>
      </c>
      <c r="QS38" s="5">
        <f>IF(ISERROR(LOOKUP(QS$1,$S38:$HK38,csv!$L38:$HD38)),NA(),LOOKUP(QS$1,$S38:$HK38,csv!$L38:$HD38))</f>
        <v>0</v>
      </c>
      <c r="QT38" s="5">
        <f>IF(ISERROR(LOOKUP(QT$1,$S38:$HK38,csv!$L38:$HD38)),NA(),LOOKUP(QT$1,$S38:$HK38,csv!$L38:$HD38))</f>
        <v>0</v>
      </c>
      <c r="QU38" s="5">
        <f>IF(ISERROR(LOOKUP(QU$1,$S38:$HK38,csv!$L38:$HD38)),NA(),LOOKUP(QU$1,$S38:$HK38,csv!$L38:$HD38))</f>
        <v>0</v>
      </c>
      <c r="QV38" s="5">
        <f>IF(ISERROR(LOOKUP(QV$1,$S38:$HK38,csv!$L38:$HD38)),NA(),LOOKUP(QV$1,$S38:$HK38,csv!$L38:$HD38))</f>
        <v>0</v>
      </c>
      <c r="QW38" s="5">
        <f>IF(ISERROR(LOOKUP(QW$1,$S38:$HK38,csv!$L38:$HD38)),NA(),LOOKUP(QW$1,$S38:$HK38,csv!$L38:$HD38))</f>
        <v>0</v>
      </c>
      <c r="QX38" s="5">
        <f>IF(ISERROR(LOOKUP(QX$1,$S38:$HK38,csv!$L38:$HD38)),NA(),LOOKUP(QX$1,$S38:$HK38,csv!$L38:$HD38))</f>
        <v>0</v>
      </c>
      <c r="QY38" s="5">
        <f>IF(ISERROR(LOOKUP(QY$1,$S38:$HK38,csv!$L38:$HD38)),NA(),LOOKUP(QY$1,$S38:$HK38,csv!$L38:$HD38))</f>
        <v>0</v>
      </c>
      <c r="QZ38" s="5">
        <f>IF(ISERROR(LOOKUP(QZ$1,$S38:$HK38,csv!$L38:$HD38)),NA(),LOOKUP(QZ$1,$S38:$HK38,csv!$L38:$HD38))</f>
        <v>0</v>
      </c>
      <c r="RA38" s="5">
        <f>IF(ISERROR(LOOKUP(RA$1,$S38:$HK38,csv!$L38:$HD38)),NA(),LOOKUP(RA$1,$S38:$HK38,csv!$L38:$HD38))</f>
        <v>0</v>
      </c>
      <c r="RB38" s="5">
        <f>IF(ISERROR(LOOKUP(RB$1,$S38:$HK38,csv!$L38:$HD38)),NA(),LOOKUP(RB$1,$S38:$HK38,csv!$L38:$HD38))</f>
        <v>0</v>
      </c>
      <c r="RC38" s="5">
        <f>IF(ISERROR(LOOKUP(RC$1,$S38:$HK38,csv!$L38:$HD38)),NA(),LOOKUP(RC$1,$S38:$HK38,csv!$L38:$HD38))</f>
        <v>0</v>
      </c>
      <c r="RD38" s="5">
        <f>IF(ISERROR(LOOKUP(RD$1,$S38:$HK38,csv!$L38:$HD38)),NA(),LOOKUP(RD$1,$S38:$HK38,csv!$L38:$HD38))</f>
        <v>0</v>
      </c>
      <c r="RE38" s="5">
        <f>IF(ISERROR(LOOKUP(RE$1,$S38:$HK38,csv!$L38:$HD38)),NA(),LOOKUP(RE$1,$S38:$HK38,csv!$L38:$HD38))</f>
        <v>0</v>
      </c>
      <c r="RF38" s="5">
        <f>IF(ISERROR(LOOKUP(RF$1,$S38:$HK38,csv!$L38:$HD38)),NA(),LOOKUP(RF$1,$S38:$HK38,csv!$L38:$HD38))</f>
        <v>0</v>
      </c>
      <c r="RG38" s="5">
        <f>IF(ISERROR(LOOKUP(RG$1,$S38:$HK38,csv!$L38:$HD38)),NA(),LOOKUP(RG$1,$S38:$HK38,csv!$L38:$HD38))</f>
        <v>0</v>
      </c>
      <c r="RH38" s="5">
        <f>IF(ISERROR(LOOKUP(RH$1,$S38:$HK38,csv!$L38:$HD38)),NA(),LOOKUP(RH$1,$S38:$HK38,csv!$L38:$HD38))</f>
        <v>0</v>
      </c>
      <c r="RI38" s="5">
        <f>IF(ISERROR(LOOKUP(RI$1,$S38:$HK38,csv!$L38:$HD38)),NA(),LOOKUP(RI$1,$S38:$HK38,csv!$L38:$HD38))</f>
        <v>0</v>
      </c>
      <c r="RJ38" s="5">
        <f>IF(ISERROR(LOOKUP(RJ$1,$S38:$HK38,csv!$L38:$HD38)),NA(),LOOKUP(RJ$1,$S38:$HK38,csv!$L38:$HD38))</f>
        <v>0</v>
      </c>
      <c r="RK38" s="5">
        <f>IF(ISERROR(LOOKUP(RK$1,$S38:$HK38,csv!$L38:$HD38)),NA(),LOOKUP(RK$1,$S38:$HK38,csv!$L38:$HD38))</f>
        <v>0</v>
      </c>
      <c r="RL38" s="5">
        <f>IF(ISERROR(LOOKUP(RL$1,$S38:$HK38,csv!$L38:$HD38)),NA(),LOOKUP(RL$1,$S38:$HK38,csv!$L38:$HD38))</f>
        <v>0</v>
      </c>
      <c r="RM38" s="5">
        <f>IF(ISERROR(LOOKUP(RM$1,$S38:$HK38,csv!$L38:$HD38)),NA(),LOOKUP(RM$1,$S38:$HK38,csv!$L38:$HD38))</f>
        <v>0</v>
      </c>
      <c r="RN38" s="5">
        <f>IF(ISERROR(LOOKUP(RN$1,$S38:$HK38,csv!$L38:$HD38)),NA(),LOOKUP(RN$1,$S38:$HK38,csv!$L38:$HD38))</f>
        <v>0</v>
      </c>
      <c r="RO38" s="5">
        <f>IF(ISERROR(LOOKUP(RO$1,$S38:$HK38,csv!$L38:$HD38)),NA(),LOOKUP(RO$1,$S38:$HK38,csv!$L38:$HD38))</f>
        <v>0</v>
      </c>
      <c r="RP38" s="5">
        <f>IF(ISERROR(LOOKUP(RP$1,$S38:$HK38,csv!$L38:$HD38)),NA(),LOOKUP(RP$1,$S38:$HK38,csv!$L38:$HD38))</f>
        <v>0</v>
      </c>
      <c r="RQ38" s="5">
        <f>IF(ISERROR(LOOKUP(RQ$1,$S38:$HK38,csv!$L38:$HD38)),NA(),LOOKUP(RQ$1,$S38:$HK38,csv!$L38:$HD38))</f>
        <v>0</v>
      </c>
      <c r="RR38" s="5">
        <f>IF(ISERROR(LOOKUP(RR$1,$S38:$HK38,csv!$L38:$HD38)),NA(),LOOKUP(RR$1,$S38:$HK38,csv!$L38:$HD38))</f>
        <v>0</v>
      </c>
      <c r="RS38" s="5">
        <f>IF(ISERROR(LOOKUP(RS$1,$S38:$HK38,csv!$L38:$HD38)),NA(),LOOKUP(RS$1,$S38:$HK38,csv!$L38:$HD38))</f>
        <v>0</v>
      </c>
      <c r="RT38" s="5">
        <f>IF(ISERROR(LOOKUP(RT$1,$S38:$HK38,csv!$L38:$HD38)),NA(),LOOKUP(RT$1,$S38:$HK38,csv!$L38:$HD38))</f>
        <v>0</v>
      </c>
      <c r="RU38" s="5">
        <f>IF(ISERROR(LOOKUP(RU$1,$S38:$HK38,csv!$L38:$HD38)),NA(),LOOKUP(RU$1,$S38:$HK38,csv!$L38:$HD38))</f>
        <v>0</v>
      </c>
      <c r="RV38" s="5">
        <f>IF(ISERROR(LOOKUP(RV$1,$S38:$HK38,csv!$L38:$HD38)),NA(),LOOKUP(RV$1,$S38:$HK38,csv!$L38:$HD38))</f>
        <v>0</v>
      </c>
      <c r="RW38" s="5">
        <f>IF(ISERROR(LOOKUP(RW$1,$S38:$HK38,csv!$L38:$HD38)),NA(),LOOKUP(RW$1,$S38:$HK38,csv!$L38:$HD38))</f>
        <v>0</v>
      </c>
      <c r="RX38" s="5">
        <f>IF(ISERROR(LOOKUP(RX$1,$S38:$HK38,csv!$L38:$HD38)),NA(),LOOKUP(RX$1,$S38:$HK38,csv!$L38:$HD38))</f>
        <v>0</v>
      </c>
      <c r="RY38" s="5">
        <f>IF(ISERROR(LOOKUP(RY$1,$S38:$HK38,csv!$L38:$HD38)),NA(),LOOKUP(RY$1,$S38:$HK38,csv!$L38:$HD38))</f>
        <v>0</v>
      </c>
      <c r="RZ38" s="5">
        <f>IF(ISERROR(LOOKUP(RZ$1,$S38:$HK38,csv!$L38:$HD38)),NA(),LOOKUP(RZ$1,$S38:$HK38,csv!$L38:$HD38))</f>
        <v>0</v>
      </c>
      <c r="SA38" s="5">
        <f>IF(ISERROR(LOOKUP(SA$1,$S38:$HK38,csv!$L38:$HD38)),NA(),LOOKUP(SA$1,$S38:$HK38,csv!$L38:$HD38))</f>
        <v>0</v>
      </c>
      <c r="SB38" s="5">
        <f>IF(ISERROR(LOOKUP(SB$1,$S38:$HK38,csv!$L38:$HD38)),NA(),LOOKUP(SB$1,$S38:$HK38,csv!$L38:$HD38))</f>
        <v>0</v>
      </c>
      <c r="SC38" s="5">
        <f>IF(ISERROR(LOOKUP(SC$1,$S38:$HK38,csv!$L38:$HD38)),NA(),LOOKUP(SC$1,$S38:$HK38,csv!$L38:$HD38))</f>
        <v>0</v>
      </c>
      <c r="SD38" s="5">
        <f>IF(ISERROR(LOOKUP(SD$1,$S38:$HK38,csv!$L38:$HD38)),NA(),LOOKUP(SD$1,$S38:$HK38,csv!$L38:$HD38))</f>
        <v>0</v>
      </c>
      <c r="SE38" s="5">
        <f>IF(ISERROR(LOOKUP(SE$1,$S38:$HK38,csv!$L38:$HD38)),NA(),LOOKUP(SE$1,$S38:$HK38,csv!$L38:$HD38))</f>
        <v>0</v>
      </c>
      <c r="SF38" s="5">
        <f>IF(ISERROR(LOOKUP(SF$1,$S38:$HK38,csv!$L38:$HD38)),NA(),LOOKUP(SF$1,$S38:$HK38,csv!$L38:$HD38))</f>
        <v>0</v>
      </c>
      <c r="SG38" s="5">
        <f>IF(ISERROR(LOOKUP(SG$1,$S38:$HK38,csv!$L38:$HD38)),NA(),LOOKUP(SG$1,$S38:$HK38,csv!$L38:$HD38))</f>
        <v>0</v>
      </c>
      <c r="SH38" s="5">
        <f>IF(ISERROR(LOOKUP(SH$1,$S38:$HK38,csv!$L38:$HD38)),NA(),LOOKUP(SH$1,$S38:$HK38,csv!$L38:$HD38))</f>
        <v>0</v>
      </c>
      <c r="SI38" s="5">
        <f>IF(ISERROR(LOOKUP(SI$1,$S38:$HK38,csv!$L38:$HD38)),NA(),LOOKUP(SI$1,$S38:$HK38,csv!$L38:$HD38))</f>
        <v>0</v>
      </c>
      <c r="SJ38" s="5">
        <f>IF(ISERROR(LOOKUP(SJ$1,$S38:$HK38,csv!$L38:$HD38)),NA(),LOOKUP(SJ$1,$S38:$HK38,csv!$L38:$HD38))</f>
        <v>0</v>
      </c>
      <c r="SK38" s="5">
        <f>IF(ISERROR(LOOKUP(SK$1,$S38:$HK38,csv!$L38:$HD38)),NA(),LOOKUP(SK$1,$S38:$HK38,csv!$L38:$HD38))</f>
        <v>0</v>
      </c>
      <c r="SL38" s="5">
        <f>IF(ISERROR(LOOKUP(SL$1,$S38:$HK38,csv!$L38:$HD38)),NA(),LOOKUP(SL$1,$S38:$HK38,csv!$L38:$HD38))</f>
        <v>0</v>
      </c>
      <c r="SM38" s="5">
        <f>IF(ISERROR(LOOKUP(SM$1,$S38:$HK38,csv!$L38:$HD38)),NA(),LOOKUP(SM$1,$S38:$HK38,csv!$L38:$HD38))</f>
        <v>0</v>
      </c>
      <c r="SN38" s="5">
        <f>IF(ISERROR(LOOKUP(SN$1,$S38:$HK38,csv!$L38:$HD38)),NA(),LOOKUP(SN$1,$S38:$HK38,csv!$L38:$HD38))</f>
        <v>0</v>
      </c>
      <c r="SO38" s="5">
        <f>IF(ISERROR(LOOKUP(SO$1,$S38:$HK38,csv!$L38:$HD38)),NA(),LOOKUP(SO$1,$S38:$HK38,csv!$L38:$HD38))</f>
        <v>0</v>
      </c>
      <c r="SP38" s="5">
        <f>IF(ISERROR(LOOKUP(SP$1,$S38:$HK38,csv!$L38:$HD38)),NA(),LOOKUP(SP$1,$S38:$HK38,csv!$L38:$HD38))</f>
        <v>0</v>
      </c>
      <c r="SQ38" s="5">
        <f>IF(ISERROR(LOOKUP(SQ$1,$S38:$HK38,csv!$L38:$HD38)),NA(),LOOKUP(SQ$1,$S38:$HK38,csv!$L38:$HD38))</f>
        <v>0</v>
      </c>
      <c r="SR38" s="5">
        <f>IF(ISERROR(LOOKUP(SR$1,$S38:$HK38,csv!$L38:$HD38)),NA(),LOOKUP(SR$1,$S38:$HK38,csv!$L38:$HD38))</f>
        <v>0</v>
      </c>
      <c r="SS38" s="5">
        <f>IF(ISERROR(LOOKUP(SS$1,$S38:$HK38,csv!$L38:$HD38)),NA(),LOOKUP(SS$1,$S38:$HK38,csv!$L38:$HD38))</f>
        <v>0</v>
      </c>
      <c r="ST38" s="5">
        <f>IF(ISERROR(LOOKUP(ST$1,$S38:$HK38,csv!$L38:$HD38)),NA(),LOOKUP(ST$1,$S38:$HK38,csv!$L38:$HD38))</f>
        <v>0</v>
      </c>
      <c r="SU38" s="5">
        <f>IF(ISERROR(LOOKUP(SU$1,$S38:$HK38,csv!$L38:$HD38)),NA(),LOOKUP(SU$1,$S38:$HK38,csv!$L38:$HD38))</f>
        <v>0</v>
      </c>
      <c r="SV38" s="5">
        <f>IF(ISERROR(LOOKUP(SV$1,$S38:$HK38,csv!$L38:$HD38)),NA(),LOOKUP(SV$1,$S38:$HK38,csv!$L38:$HD38))</f>
        <v>0</v>
      </c>
      <c r="SW38" s="5">
        <f>IF(ISERROR(LOOKUP(SW$1,$S38:$HK38,csv!$L38:$HD38)),NA(),LOOKUP(SW$1,$S38:$HK38,csv!$L38:$HD38))</f>
        <v>0</v>
      </c>
      <c r="SX38" s="5">
        <f>IF(ISERROR(LOOKUP(SX$1,$S38:$HK38,csv!$L38:$HD38)),NA(),LOOKUP(SX$1,$S38:$HK38,csv!$L38:$HD38))</f>
        <v>0</v>
      </c>
      <c r="SY38" s="5">
        <f>IF(ISERROR(LOOKUP(SY$1,$S38:$HK38,csv!$L38:$HD38)),NA(),LOOKUP(SY$1,$S38:$HK38,csv!$L38:$HD38))</f>
        <v>0</v>
      </c>
      <c r="SZ38" s="5">
        <f>IF(ISERROR(LOOKUP(SZ$1,$S38:$HK38,csv!$L38:$HD38)),NA(),LOOKUP(SZ$1,$S38:$HK38,csv!$L38:$HD38))</f>
        <v>0</v>
      </c>
      <c r="TA38" s="5">
        <f>IF(ISERROR(LOOKUP(TA$1,$S38:$HK38,csv!$L38:$HD38)),NA(),LOOKUP(TA$1,$S38:$HK38,csv!$L38:$HD38))</f>
        <v>0</v>
      </c>
      <c r="TB38" s="5">
        <f>IF(ISERROR(LOOKUP(TB$1,$S38:$HK38,csv!$L38:$HD38)),NA(),LOOKUP(TB$1,$S38:$HK38,csv!$L38:$HD38))</f>
        <v>0</v>
      </c>
      <c r="TD38">
        <f>csv!HG38/10</f>
        <v>0</v>
      </c>
    </row>
    <row r="39" spans="19:525" x14ac:dyDescent="0.15">
      <c r="S39" s="4">
        <f>ROUND((csv!$HG39/10+calc!S$1),1)</f>
        <v>-10</v>
      </c>
      <c r="T39" s="4">
        <f>ROUND((csv!$HG39/10+calc!T$1),1)</f>
        <v>-9.9</v>
      </c>
      <c r="U39" s="4">
        <f>ROUND((csv!$HG39/10+calc!U$1),1)</f>
        <v>-9.8000000000000007</v>
      </c>
      <c r="V39" s="4">
        <f>ROUND((csv!$HG39/10+calc!V$1),1)</f>
        <v>-9.6999999999999993</v>
      </c>
      <c r="W39" s="4">
        <f>ROUND((csv!$HG39/10+calc!W$1),1)</f>
        <v>-9.6</v>
      </c>
      <c r="X39" s="4">
        <f>ROUND((csv!$HG39/10+calc!X$1),1)</f>
        <v>-9.5</v>
      </c>
      <c r="Y39" s="4">
        <f>ROUND((csv!$HG39/10+calc!Y$1),1)</f>
        <v>-9.4</v>
      </c>
      <c r="Z39" s="4">
        <f>ROUND((csv!$HG39/10+calc!Z$1),1)</f>
        <v>-9.3000000000000007</v>
      </c>
      <c r="AA39" s="4">
        <f>ROUND((csv!$HG39/10+calc!AA$1),1)</f>
        <v>-9.1999999999999993</v>
      </c>
      <c r="AB39" s="4">
        <f>ROUND((csv!$HG39/10+calc!AB$1),1)</f>
        <v>-9.1</v>
      </c>
      <c r="AC39" s="4">
        <f>ROUND((csv!$HG39/10+calc!AC$1),1)</f>
        <v>-9</v>
      </c>
      <c r="AD39" s="4">
        <f>ROUND((csv!$HG39/10+calc!AD$1),1)</f>
        <v>-8.9</v>
      </c>
      <c r="AE39" s="4">
        <f>ROUND((csv!$HG39/10+calc!AE$1),1)</f>
        <v>-8.8000000000000007</v>
      </c>
      <c r="AF39" s="4">
        <f>ROUND((csv!$HG39/10+calc!AF$1),1)</f>
        <v>-8.6999999999999993</v>
      </c>
      <c r="AG39" s="4">
        <f>ROUND((csv!$HG39/10+calc!AG$1),1)</f>
        <v>-8.6</v>
      </c>
      <c r="AH39" s="4">
        <f>ROUND((csv!$HG39/10+calc!AH$1),1)</f>
        <v>-8.5</v>
      </c>
      <c r="AI39" s="4">
        <f>ROUND((csv!$HG39/10+calc!AI$1),1)</f>
        <v>-8.4</v>
      </c>
      <c r="AJ39" s="4">
        <f>ROUND((csv!$HG39/10+calc!AJ$1),1)</f>
        <v>-8.3000000000000007</v>
      </c>
      <c r="AK39" s="4">
        <f>ROUND((csv!$HG39/10+calc!AK$1),1)</f>
        <v>-8.1999999999999993</v>
      </c>
      <c r="AL39" s="4">
        <f>ROUND((csv!$HG39/10+calc!AL$1),1)</f>
        <v>-8.1</v>
      </c>
      <c r="AM39" s="4">
        <f>ROUND((csv!$HG39/10+calc!AM$1),1)</f>
        <v>-8</v>
      </c>
      <c r="AN39" s="4">
        <f>ROUND((csv!$HG39/10+calc!AN$1),1)</f>
        <v>-7.9</v>
      </c>
      <c r="AO39" s="4">
        <f>ROUND((csv!$HG39/10+calc!AO$1),1)</f>
        <v>-7.8</v>
      </c>
      <c r="AP39" s="4">
        <f>ROUND((csv!$HG39/10+calc!AP$1),1)</f>
        <v>-7.7</v>
      </c>
      <c r="AQ39" s="4">
        <f>ROUND((csv!$HG39/10+calc!AQ$1),1)</f>
        <v>-7.6</v>
      </c>
      <c r="AR39" s="4">
        <f>ROUND((csv!$HG39/10+calc!AR$1),1)</f>
        <v>-7.5</v>
      </c>
      <c r="AS39" s="4">
        <f>ROUND((csv!$HG39/10+calc!AS$1),1)</f>
        <v>-7.4</v>
      </c>
      <c r="AT39" s="4">
        <f>ROUND((csv!$HG39/10+calc!AT$1),1)</f>
        <v>-7.3</v>
      </c>
      <c r="AU39" s="4">
        <f>ROUND((csv!$HG39/10+calc!AU$1),1)</f>
        <v>-7.2</v>
      </c>
      <c r="AV39" s="4">
        <f>ROUND((csv!$HG39/10+calc!AV$1),1)</f>
        <v>-7.1</v>
      </c>
      <c r="AW39" s="4">
        <f>ROUND((csv!$HG39/10+calc!AW$1),1)</f>
        <v>-7</v>
      </c>
      <c r="AX39" s="4">
        <f>ROUND((csv!$HG39/10+calc!AX$1),1)</f>
        <v>-6.9</v>
      </c>
      <c r="AY39" s="4">
        <f>ROUND((csv!$HG39/10+calc!AY$1),1)</f>
        <v>-6.8</v>
      </c>
      <c r="AZ39" s="4">
        <f>ROUND((csv!$HG39/10+calc!AZ$1),1)</f>
        <v>-6.7</v>
      </c>
      <c r="BA39" s="4">
        <f>ROUND((csv!$HG39/10+calc!BA$1),1)</f>
        <v>-6.6</v>
      </c>
      <c r="BB39" s="4">
        <f>ROUND((csv!$HG39/10+calc!BB$1),1)</f>
        <v>-6.5</v>
      </c>
      <c r="BC39" s="4">
        <f>ROUND((csv!$HG39/10+calc!BC$1),1)</f>
        <v>-6.4</v>
      </c>
      <c r="BD39" s="4">
        <f>ROUND((csv!$HG39/10+calc!BD$1),1)</f>
        <v>-6.3</v>
      </c>
      <c r="BE39" s="4">
        <f>ROUND((csv!$HG39/10+calc!BE$1),1)</f>
        <v>-6.2</v>
      </c>
      <c r="BF39" s="4">
        <f>ROUND((csv!$HG39/10+calc!BF$1),1)</f>
        <v>-6.1</v>
      </c>
      <c r="BG39" s="4">
        <f>ROUND((csv!$HG39/10+calc!BG$1),1)</f>
        <v>-6</v>
      </c>
      <c r="BH39" s="4">
        <f>ROUND((csv!$HG39/10+calc!BH$1),1)</f>
        <v>-5.9</v>
      </c>
      <c r="BI39" s="4">
        <f>ROUND((csv!$HG39/10+calc!BI$1),1)</f>
        <v>-5.8</v>
      </c>
      <c r="BJ39" s="4">
        <f>ROUND((csv!$HG39/10+calc!BJ$1),1)</f>
        <v>-5.7</v>
      </c>
      <c r="BK39" s="4">
        <f>ROUND((csv!$HG39/10+calc!BK$1),1)</f>
        <v>-5.6</v>
      </c>
      <c r="BL39" s="4">
        <f>ROUND((csv!$HG39/10+calc!BL$1),1)</f>
        <v>-5.5</v>
      </c>
      <c r="BM39" s="4">
        <f>ROUND((csv!$HG39/10+calc!BM$1),1)</f>
        <v>-5.4</v>
      </c>
      <c r="BN39" s="4">
        <f>ROUND((csv!$HG39/10+calc!BN$1),1)</f>
        <v>-5.3</v>
      </c>
      <c r="BO39" s="4">
        <f>ROUND((csv!$HG39/10+calc!BO$1),1)</f>
        <v>-5.2</v>
      </c>
      <c r="BP39" s="4">
        <f>ROUND((csv!$HG39/10+calc!BP$1),1)</f>
        <v>-5.0999999999999996</v>
      </c>
      <c r="BQ39" s="4">
        <f>ROUND((csv!$HG39/10+calc!BQ$1),1)</f>
        <v>-5</v>
      </c>
      <c r="BR39" s="4">
        <f>ROUND((csv!$HG39/10+calc!BR$1),1)</f>
        <v>-4.9000000000000004</v>
      </c>
      <c r="BS39" s="4">
        <f>ROUND((csv!$HG39/10+calc!BS$1),1)</f>
        <v>-4.8</v>
      </c>
      <c r="BT39" s="4">
        <f>ROUND((csv!$HG39/10+calc!BT$1),1)</f>
        <v>-4.7</v>
      </c>
      <c r="BU39" s="4">
        <f>ROUND((csv!$HG39/10+calc!BU$1),1)</f>
        <v>-4.5999999999999996</v>
      </c>
      <c r="BV39" s="4">
        <f>ROUND((csv!$HG39/10+calc!BV$1),1)</f>
        <v>-4.5</v>
      </c>
      <c r="BW39" s="4">
        <f>ROUND((csv!$HG39/10+calc!BW$1),1)</f>
        <v>-4.4000000000000004</v>
      </c>
      <c r="BX39" s="4">
        <f>ROUND((csv!$HG39/10+calc!BX$1),1)</f>
        <v>-4.3</v>
      </c>
      <c r="BY39" s="4">
        <f>ROUND((csv!$HG39/10+calc!BY$1),1)</f>
        <v>-4.2</v>
      </c>
      <c r="BZ39" s="4">
        <f>ROUND((csv!$HG39/10+calc!BZ$1),1)</f>
        <v>-4.0999999999999996</v>
      </c>
      <c r="CA39" s="4">
        <f>ROUND((csv!$HG39/10+calc!CA$1),1)</f>
        <v>-4</v>
      </c>
      <c r="CB39" s="4">
        <f>ROUND((csv!$HG39/10+calc!CB$1),1)</f>
        <v>-3.9</v>
      </c>
      <c r="CC39" s="4">
        <f>ROUND((csv!$HG39/10+calc!CC$1),1)</f>
        <v>-3.8</v>
      </c>
      <c r="CD39" s="4">
        <f>ROUND((csv!$HG39/10+calc!CD$1),1)</f>
        <v>-3.7</v>
      </c>
      <c r="CE39" s="4">
        <f>ROUND((csv!$HG39/10+calc!CE$1),1)</f>
        <v>-3.6</v>
      </c>
      <c r="CF39" s="4">
        <f>ROUND((csv!$HG39/10+calc!CF$1),1)</f>
        <v>-3.5</v>
      </c>
      <c r="CG39" s="4">
        <f>ROUND((csv!$HG39/10+calc!CG$1),1)</f>
        <v>-3.4</v>
      </c>
      <c r="CH39" s="4">
        <f>ROUND((csv!$HG39/10+calc!CH$1),1)</f>
        <v>-3.3</v>
      </c>
      <c r="CI39" s="4">
        <f>ROUND((csv!$HG39/10+calc!CI$1),1)</f>
        <v>-3.2</v>
      </c>
      <c r="CJ39" s="4">
        <f>ROUND((csv!$HG39/10+calc!CJ$1),1)</f>
        <v>-3.1</v>
      </c>
      <c r="CK39" s="4">
        <f>ROUND((csv!$HG39/10+calc!CK$1),1)</f>
        <v>-3</v>
      </c>
      <c r="CL39" s="4">
        <f>ROUND((csv!$HG39/10+calc!CL$1),1)</f>
        <v>-2.9</v>
      </c>
      <c r="CM39" s="4">
        <f>ROUND((csv!$HG39/10+calc!CM$1),1)</f>
        <v>-2.8</v>
      </c>
      <c r="CN39" s="4">
        <f>ROUND((csv!$HG39/10+calc!CN$1),1)</f>
        <v>-2.7</v>
      </c>
      <c r="CO39" s="4">
        <f>ROUND((csv!$HG39/10+calc!CO$1),1)</f>
        <v>-2.6</v>
      </c>
      <c r="CP39" s="4">
        <f>ROUND((csv!$HG39/10+calc!CP$1),1)</f>
        <v>-2.5</v>
      </c>
      <c r="CQ39" s="4">
        <f>ROUND((csv!$HG39/10+calc!CQ$1),1)</f>
        <v>-2.4</v>
      </c>
      <c r="CR39" s="4">
        <f>ROUND((csv!$HG39/10+calc!CR$1),1)</f>
        <v>-2.2999999999999998</v>
      </c>
      <c r="CS39" s="4">
        <f>ROUND((csv!$HG39/10+calc!CS$1),1)</f>
        <v>-2.2000000000000002</v>
      </c>
      <c r="CT39" s="4">
        <f>ROUND((csv!$HG39/10+calc!CT$1),1)</f>
        <v>-2.1</v>
      </c>
      <c r="CU39" s="4">
        <f>ROUND((csv!$HG39/10+calc!CU$1),1)</f>
        <v>-2</v>
      </c>
      <c r="CV39" s="4">
        <f>ROUND((csv!$HG39/10+calc!CV$1),1)</f>
        <v>-1.9</v>
      </c>
      <c r="CW39" s="4">
        <f>ROUND((csv!$HG39/10+calc!CW$1),1)</f>
        <v>-1.8</v>
      </c>
      <c r="CX39" s="4">
        <f>ROUND((csv!$HG39/10+calc!CX$1),1)</f>
        <v>-1.7</v>
      </c>
      <c r="CY39" s="4">
        <f>ROUND((csv!$HG39/10+calc!CY$1),1)</f>
        <v>-1.6</v>
      </c>
      <c r="CZ39" s="4">
        <f>ROUND((csv!$HG39/10+calc!CZ$1),1)</f>
        <v>-1.5</v>
      </c>
      <c r="DA39" s="4">
        <f>ROUND((csv!$HG39/10+calc!DA$1),1)</f>
        <v>-1.4</v>
      </c>
      <c r="DB39" s="4">
        <f>ROUND((csv!$HG39/10+calc!DB$1),1)</f>
        <v>-1.3</v>
      </c>
      <c r="DC39" s="4">
        <f>ROUND((csv!$HG39/10+calc!DC$1),1)</f>
        <v>-1.2</v>
      </c>
      <c r="DD39" s="4">
        <f>ROUND((csv!$HG39/10+calc!DD$1),1)</f>
        <v>-1.1000000000000001</v>
      </c>
      <c r="DE39" s="4">
        <f>ROUND((csv!$HG39/10+calc!DE$1),1)</f>
        <v>-1</v>
      </c>
      <c r="DF39" s="4">
        <f>ROUND((csv!$HG39/10+calc!DF$1),1)</f>
        <v>-0.9</v>
      </c>
      <c r="DG39" s="4">
        <f>ROUND((csv!$HG39/10+calc!DG$1),1)</f>
        <v>-0.8</v>
      </c>
      <c r="DH39" s="4">
        <f>ROUND((csv!$HG39/10+calc!DH$1),1)</f>
        <v>-0.7</v>
      </c>
      <c r="DI39" s="4">
        <f>ROUND((csv!$HG39/10+calc!DI$1),1)</f>
        <v>-0.6</v>
      </c>
      <c r="DJ39" s="4">
        <f>ROUND((csv!$HG39/10+calc!DJ$1),1)</f>
        <v>-0.5</v>
      </c>
      <c r="DK39" s="4">
        <f>ROUND((csv!$HG39/10+calc!DK$1),1)</f>
        <v>-0.4</v>
      </c>
      <c r="DL39" s="4">
        <f>ROUND((csv!$HG39/10+calc!DL$1),1)</f>
        <v>-0.3</v>
      </c>
      <c r="DM39" s="4">
        <f>ROUND((csv!$HG39/10+calc!DM$1),1)</f>
        <v>-0.2</v>
      </c>
      <c r="DN39" s="4">
        <f>ROUND((csv!$HG39/10+calc!DN$1),1)</f>
        <v>-0.1</v>
      </c>
      <c r="DO39" s="4">
        <f>ROUND((csv!$HG39/10+calc!DO$1),1)</f>
        <v>0</v>
      </c>
      <c r="DP39" s="4">
        <f>ROUND((csv!$HG39/10+calc!DP$1),1)</f>
        <v>0.1</v>
      </c>
      <c r="DQ39" s="4">
        <f>ROUND((csv!$HG39/10+calc!DQ$1),1)</f>
        <v>0.2</v>
      </c>
      <c r="DR39" s="4">
        <f>ROUND((csv!$HG39/10+calc!DR$1),1)</f>
        <v>0.3</v>
      </c>
      <c r="DS39" s="4">
        <f>ROUND((csv!$HG39/10+calc!DS$1),1)</f>
        <v>0.4</v>
      </c>
      <c r="DT39" s="4">
        <f>ROUND((csv!$HG39/10+calc!DT$1),1)</f>
        <v>0.5</v>
      </c>
      <c r="DU39" s="4">
        <f>ROUND((csv!$HG39/10+calc!DU$1),1)</f>
        <v>0.6</v>
      </c>
      <c r="DV39" s="4">
        <f>ROUND((csv!$HG39/10+calc!DV$1),1)</f>
        <v>0.7</v>
      </c>
      <c r="DW39" s="4">
        <f>ROUND((csv!$HG39/10+calc!DW$1),1)</f>
        <v>0.8</v>
      </c>
      <c r="DX39" s="4">
        <f>ROUND((csv!$HG39/10+calc!DX$1),1)</f>
        <v>0.9</v>
      </c>
      <c r="DY39" s="4">
        <f>ROUND((csv!$HG39/10+calc!DY$1),1)</f>
        <v>1</v>
      </c>
      <c r="DZ39" s="4">
        <f>ROUND((csv!$HG39/10+calc!DZ$1),1)</f>
        <v>1.1000000000000001</v>
      </c>
      <c r="EA39" s="4">
        <f>ROUND((csv!$HG39/10+calc!EA$1),1)</f>
        <v>1.2</v>
      </c>
      <c r="EB39" s="4">
        <f>ROUND((csv!$HG39/10+calc!EB$1),1)</f>
        <v>1.3</v>
      </c>
      <c r="EC39" s="4">
        <f>ROUND((csv!$HG39/10+calc!EC$1),1)</f>
        <v>1.4</v>
      </c>
      <c r="ED39" s="4">
        <f>ROUND((csv!$HG39/10+calc!ED$1),1)</f>
        <v>1.5</v>
      </c>
      <c r="EE39" s="4">
        <f>ROUND((csv!$HG39/10+calc!EE$1),1)</f>
        <v>1.6</v>
      </c>
      <c r="EF39" s="4">
        <f>ROUND((csv!$HG39/10+calc!EF$1),1)</f>
        <v>1.7</v>
      </c>
      <c r="EG39" s="4">
        <f>ROUND((csv!$HG39/10+calc!EG$1),1)</f>
        <v>1.8</v>
      </c>
      <c r="EH39" s="4">
        <f>ROUND((csv!$HG39/10+calc!EH$1),1)</f>
        <v>1.9</v>
      </c>
      <c r="EI39" s="4">
        <f>ROUND((csv!$HG39/10+calc!EI$1),1)</f>
        <v>2</v>
      </c>
      <c r="EJ39" s="4">
        <f>ROUND((csv!$HG39/10+calc!EJ$1),1)</f>
        <v>2.1</v>
      </c>
      <c r="EK39" s="4">
        <f>ROUND((csv!$HG39/10+calc!EK$1),1)</f>
        <v>2.2000000000000002</v>
      </c>
      <c r="EL39" s="4">
        <f>ROUND((csv!$HG39/10+calc!EL$1),1)</f>
        <v>2.2999999999999998</v>
      </c>
      <c r="EM39" s="4">
        <f>ROUND((csv!$HG39/10+calc!EM$1),1)</f>
        <v>2.4</v>
      </c>
      <c r="EN39" s="4">
        <f>ROUND((csv!$HG39/10+calc!EN$1),1)</f>
        <v>2.5</v>
      </c>
      <c r="EO39" s="4">
        <f>ROUND((csv!$HG39/10+calc!EO$1),1)</f>
        <v>2.6</v>
      </c>
      <c r="EP39" s="4">
        <f>ROUND((csv!$HG39/10+calc!EP$1),1)</f>
        <v>2.7</v>
      </c>
      <c r="EQ39" s="4">
        <f>ROUND((csv!$HG39/10+calc!EQ$1),1)</f>
        <v>2.8</v>
      </c>
      <c r="ER39" s="4">
        <f>ROUND((csv!$HG39/10+calc!ER$1),1)</f>
        <v>2.9</v>
      </c>
      <c r="ES39" s="4">
        <f>ROUND((csv!$HG39/10+calc!ES$1),1)</f>
        <v>3</v>
      </c>
      <c r="ET39" s="4">
        <f>ROUND((csv!$HG39/10+calc!ET$1),1)</f>
        <v>3.1</v>
      </c>
      <c r="EU39" s="4">
        <f>ROUND((csv!$HG39/10+calc!EU$1),1)</f>
        <v>3.2</v>
      </c>
      <c r="EV39" s="4">
        <f>ROUND((csv!$HG39/10+calc!EV$1),1)</f>
        <v>3.3</v>
      </c>
      <c r="EW39" s="4">
        <f>ROUND((csv!$HG39/10+calc!EW$1),1)</f>
        <v>3.4</v>
      </c>
      <c r="EX39" s="4">
        <f>ROUND((csv!$HG39/10+calc!EX$1),1)</f>
        <v>3.5</v>
      </c>
      <c r="EY39" s="4">
        <f>ROUND((csv!$HG39/10+calc!EY$1),1)</f>
        <v>3.6</v>
      </c>
      <c r="EZ39" s="4">
        <f>ROUND((csv!$HG39/10+calc!EZ$1),1)</f>
        <v>3.7</v>
      </c>
      <c r="FA39" s="4">
        <f>ROUND((csv!$HG39/10+calc!FA$1),1)</f>
        <v>3.8</v>
      </c>
      <c r="FB39" s="4">
        <f>ROUND((csv!$HG39/10+calc!FB$1),1)</f>
        <v>3.9</v>
      </c>
      <c r="FC39" s="4">
        <f>ROUND((csv!$HG39/10+calc!FC$1),1)</f>
        <v>4</v>
      </c>
      <c r="FD39" s="4">
        <f>ROUND((csv!$HG39/10+calc!FD$1),1)</f>
        <v>4.0999999999999996</v>
      </c>
      <c r="FE39" s="4">
        <f>ROUND((csv!$HG39/10+calc!FE$1),1)</f>
        <v>4.2</v>
      </c>
      <c r="FF39" s="4">
        <f>ROUND((csv!$HG39/10+calc!FF$1),1)</f>
        <v>4.3</v>
      </c>
      <c r="FG39" s="4">
        <f>ROUND((csv!$HG39/10+calc!FG$1),1)</f>
        <v>4.4000000000000004</v>
      </c>
      <c r="FH39" s="4">
        <f>ROUND((csv!$HG39/10+calc!FH$1),1)</f>
        <v>4.5</v>
      </c>
      <c r="FI39" s="4">
        <f>ROUND((csv!$HG39/10+calc!FI$1),1)</f>
        <v>4.5999999999999996</v>
      </c>
      <c r="FJ39" s="4">
        <f>ROUND((csv!$HG39/10+calc!FJ$1),1)</f>
        <v>4.7</v>
      </c>
      <c r="FK39" s="4">
        <f>ROUND((csv!$HG39/10+calc!FK$1),1)</f>
        <v>4.8</v>
      </c>
      <c r="FL39" s="4">
        <f>ROUND((csv!$HG39/10+calc!FL$1),1)</f>
        <v>4.9000000000000004</v>
      </c>
      <c r="FM39" s="4">
        <f>ROUND((csv!$HG39/10+calc!FM$1),1)</f>
        <v>5</v>
      </c>
      <c r="FN39" s="4">
        <f>ROUND((csv!$HG39/10+calc!FN$1),1)</f>
        <v>5.0999999999999996</v>
      </c>
      <c r="FO39" s="4">
        <f>ROUND((csv!$HG39/10+calc!FO$1),1)</f>
        <v>5.2</v>
      </c>
      <c r="FP39" s="4">
        <f>ROUND((csv!$HG39/10+calc!FP$1),1)</f>
        <v>5.3</v>
      </c>
      <c r="FQ39" s="4">
        <f>ROUND((csv!$HG39/10+calc!FQ$1),1)</f>
        <v>5.4</v>
      </c>
      <c r="FR39" s="4">
        <f>ROUND((csv!$HG39/10+calc!FR$1),1)</f>
        <v>5.5</v>
      </c>
      <c r="FS39" s="4">
        <f>ROUND((csv!$HG39/10+calc!FS$1),1)</f>
        <v>5.6</v>
      </c>
      <c r="FT39" s="4">
        <f>ROUND((csv!$HG39/10+calc!FT$1),1)</f>
        <v>5.7</v>
      </c>
      <c r="FU39" s="4">
        <f>ROUND((csv!$HG39/10+calc!FU$1),1)</f>
        <v>5.8</v>
      </c>
      <c r="FV39" s="4">
        <f>ROUND((csv!$HG39/10+calc!FV$1),1)</f>
        <v>5.9</v>
      </c>
      <c r="FW39" s="4">
        <f>ROUND((csv!$HG39/10+calc!FW$1),1)</f>
        <v>6</v>
      </c>
      <c r="FX39" s="4">
        <f>ROUND((csv!$HG39/10+calc!FX$1),1)</f>
        <v>6.1</v>
      </c>
      <c r="FY39" s="4">
        <f>ROUND((csv!$HG39/10+calc!FY$1),1)</f>
        <v>6.2</v>
      </c>
      <c r="FZ39" s="4">
        <f>ROUND((csv!$HG39/10+calc!FZ$1),1)</f>
        <v>6.3</v>
      </c>
      <c r="GA39" s="4">
        <f>ROUND((csv!$HG39/10+calc!GA$1),1)</f>
        <v>6.4</v>
      </c>
      <c r="GB39" s="4">
        <f>ROUND((csv!$HG39/10+calc!GB$1),1)</f>
        <v>6.5</v>
      </c>
      <c r="GC39" s="4">
        <f>ROUND((csv!$HG39/10+calc!GC$1),1)</f>
        <v>6.6</v>
      </c>
      <c r="GD39" s="4">
        <f>ROUND((csv!$HG39/10+calc!GD$1),1)</f>
        <v>6.7</v>
      </c>
      <c r="GE39" s="4">
        <f>ROUND((csv!$HG39/10+calc!GE$1),1)</f>
        <v>6.8</v>
      </c>
      <c r="GF39" s="4">
        <f>ROUND((csv!$HG39/10+calc!GF$1),1)</f>
        <v>6.9</v>
      </c>
      <c r="GG39" s="4">
        <f>ROUND((csv!$HG39/10+calc!GG$1),1)</f>
        <v>7</v>
      </c>
      <c r="GH39" s="4">
        <f>ROUND((csv!$HG39/10+calc!GH$1),1)</f>
        <v>7.1</v>
      </c>
      <c r="GI39" s="4">
        <f>ROUND((csv!$HG39/10+calc!GI$1),1)</f>
        <v>7.2</v>
      </c>
      <c r="GJ39" s="4">
        <f>ROUND((csv!$HG39/10+calc!GJ$1),1)</f>
        <v>7.3</v>
      </c>
      <c r="GK39" s="4">
        <f>ROUND((csv!$HG39/10+calc!GK$1),1)</f>
        <v>7.4</v>
      </c>
      <c r="GL39" s="4">
        <f>ROUND((csv!$HG39/10+calc!GL$1),1)</f>
        <v>7.5</v>
      </c>
      <c r="GM39" s="4">
        <f>ROUND((csv!$HG39/10+calc!GM$1),1)</f>
        <v>7.6</v>
      </c>
      <c r="GN39" s="4">
        <f>ROUND((csv!$HG39/10+calc!GN$1),1)</f>
        <v>7.7</v>
      </c>
      <c r="GO39" s="4">
        <f>ROUND((csv!$HG39/10+calc!GO$1),1)</f>
        <v>7.8</v>
      </c>
      <c r="GP39" s="4">
        <f>ROUND((csv!$HG39/10+calc!GP$1),1)</f>
        <v>7.9</v>
      </c>
      <c r="GQ39" s="4">
        <f>ROUND((csv!$HG39/10+calc!GQ$1),1)</f>
        <v>8</v>
      </c>
      <c r="GR39" s="4">
        <f>ROUND((csv!$HG39/10+calc!GR$1),1)</f>
        <v>8.1</v>
      </c>
      <c r="GS39" s="4">
        <f>ROUND((csv!$HG39/10+calc!GS$1),1)</f>
        <v>8.1999999999999993</v>
      </c>
      <c r="GT39" s="4">
        <f>ROUND((csv!$HG39/10+calc!GT$1),1)</f>
        <v>8.3000000000000007</v>
      </c>
      <c r="GU39" s="4">
        <f>ROUND((csv!$HG39/10+calc!GU$1),1)</f>
        <v>8.4</v>
      </c>
      <c r="GV39" s="4">
        <f>ROUND((csv!$HG39/10+calc!GV$1),1)</f>
        <v>8.5</v>
      </c>
      <c r="GW39" s="4">
        <f>ROUND((csv!$HG39/10+calc!GW$1),1)</f>
        <v>8.6</v>
      </c>
      <c r="GX39" s="4">
        <f>ROUND((csv!$HG39/10+calc!GX$1),1)</f>
        <v>8.6999999999999993</v>
      </c>
      <c r="GY39" s="4">
        <f>ROUND((csv!$HG39/10+calc!GY$1),1)</f>
        <v>8.8000000000000007</v>
      </c>
      <c r="GZ39" s="4">
        <f>ROUND((csv!$HG39/10+calc!GZ$1),1)</f>
        <v>8.9</v>
      </c>
      <c r="HA39" s="4">
        <f>ROUND((csv!$HG39/10+calc!HA$1),1)</f>
        <v>9</v>
      </c>
      <c r="HB39" s="4">
        <f>ROUND((csv!$HG39/10+calc!HB$1),1)</f>
        <v>9.1</v>
      </c>
      <c r="HC39" s="4">
        <f>ROUND((csv!$HG39/10+calc!HC$1),1)</f>
        <v>9.1999999999999993</v>
      </c>
      <c r="HD39" s="4">
        <f>ROUND((csv!$HG39/10+calc!HD$1),1)</f>
        <v>9.3000000000000007</v>
      </c>
      <c r="HE39" s="4">
        <f>ROUND((csv!$HG39/10+calc!HE$1),1)</f>
        <v>9.4</v>
      </c>
      <c r="HF39" s="4">
        <f>ROUND((csv!$HG39/10+calc!HF$1),1)</f>
        <v>9.5</v>
      </c>
      <c r="HG39" s="4">
        <f>ROUND((csv!$HG39/10+calc!HG$1),1)</f>
        <v>9.6</v>
      </c>
      <c r="HH39" s="4">
        <f>ROUND((csv!$HG39/10+calc!HH$1),1)</f>
        <v>9.6999999999999993</v>
      </c>
      <c r="HI39" s="4">
        <f>ROUND((csv!$HG39/10+calc!HI$1),1)</f>
        <v>9.8000000000000007</v>
      </c>
      <c r="HJ39" s="4">
        <f>ROUND((csv!$HG39/10+calc!HJ$1),1)</f>
        <v>9.9</v>
      </c>
      <c r="HK39" s="4">
        <f>ROUND((csv!$HG39/10+calc!HK$1),1)</f>
        <v>10</v>
      </c>
      <c r="HM39" s="2">
        <f>csv!A39*10000+csv!B39*100+csv!C39</f>
        <v>0</v>
      </c>
      <c r="HN39" s="5">
        <f>IF(ISERROR(LOOKUP(HN$1,$S39:$HK39,csv!$L39:$HD39)),NA(),LOOKUP(HN$1,$S39:$HK39,csv!$L39:$HD39))</f>
        <v>0</v>
      </c>
      <c r="HO39" s="5">
        <f>IF(ISERROR(LOOKUP(HO$1,$S39:$HK39,csv!$L39:$HD39)),NA(),LOOKUP(HO$1,$S39:$HK39,csv!$L39:$HD39))</f>
        <v>0</v>
      </c>
      <c r="HP39" s="5">
        <f>IF(ISERROR(LOOKUP(HP$1,$S39:$HK39,csv!$L39:$HD39)),NA(),LOOKUP(HP$1,$S39:$HK39,csv!$L39:$HD39))</f>
        <v>0</v>
      </c>
      <c r="HQ39" s="5">
        <f>IF(ISERROR(LOOKUP(HQ$1,$S39:$HK39,csv!$L39:$HD39)),NA(),LOOKUP(HQ$1,$S39:$HK39,csv!$L39:$HD39))</f>
        <v>0</v>
      </c>
      <c r="HR39" s="5">
        <f>IF(ISERROR(LOOKUP(HR$1,$S39:$HK39,csv!$L39:$HD39)),NA(),LOOKUP(HR$1,$S39:$HK39,csv!$L39:$HD39))</f>
        <v>0</v>
      </c>
      <c r="HS39" s="5">
        <f>IF(ISERROR(LOOKUP(HS$1,$S39:$HK39,csv!$L39:$HD39)),NA(),LOOKUP(HS$1,$S39:$HK39,csv!$L39:$HD39))</f>
        <v>0</v>
      </c>
      <c r="HT39" s="5">
        <f>IF(ISERROR(LOOKUP(HT$1,$S39:$HK39,csv!$L39:$HD39)),NA(),LOOKUP(HT$1,$S39:$HK39,csv!$L39:$HD39))</f>
        <v>0</v>
      </c>
      <c r="HU39" s="5">
        <f>IF(ISERROR(LOOKUP(HU$1,$S39:$HK39,csv!$L39:$HD39)),NA(),LOOKUP(HU$1,$S39:$HK39,csv!$L39:$HD39))</f>
        <v>0</v>
      </c>
      <c r="HV39" s="5">
        <f>IF(ISERROR(LOOKUP(HV$1,$S39:$HK39,csv!$L39:$HD39)),NA(),LOOKUP(HV$1,$S39:$HK39,csv!$L39:$HD39))</f>
        <v>0</v>
      </c>
      <c r="HW39" s="5">
        <f>IF(ISERROR(LOOKUP(HW$1,$S39:$HK39,csv!$L39:$HD39)),NA(),LOOKUP(HW$1,$S39:$HK39,csv!$L39:$HD39))</f>
        <v>0</v>
      </c>
      <c r="HX39" s="5">
        <f>IF(ISERROR(LOOKUP(HX$1,$S39:$HK39,csv!$L39:$HD39)),NA(),LOOKUP(HX$1,$S39:$HK39,csv!$L39:$HD39))</f>
        <v>0</v>
      </c>
      <c r="HY39" s="5">
        <f>IF(ISERROR(LOOKUP(HY$1,$S39:$HK39,csv!$L39:$HD39)),NA(),LOOKUP(HY$1,$S39:$HK39,csv!$L39:$HD39))</f>
        <v>0</v>
      </c>
      <c r="HZ39" s="5">
        <f>IF(ISERROR(LOOKUP(HZ$1,$S39:$HK39,csv!$L39:$HD39)),NA(),LOOKUP(HZ$1,$S39:$HK39,csv!$L39:$HD39))</f>
        <v>0</v>
      </c>
      <c r="IA39" s="5">
        <f>IF(ISERROR(LOOKUP(IA$1,$S39:$HK39,csv!$L39:$HD39)),NA(),LOOKUP(IA$1,$S39:$HK39,csv!$L39:$HD39))</f>
        <v>0</v>
      </c>
      <c r="IB39" s="5">
        <f>IF(ISERROR(LOOKUP(IB$1,$S39:$HK39,csv!$L39:$HD39)),NA(),LOOKUP(IB$1,$S39:$HK39,csv!$L39:$HD39))</f>
        <v>0</v>
      </c>
      <c r="IC39" s="5">
        <f>IF(ISERROR(LOOKUP(IC$1,$S39:$HK39,csv!$L39:$HD39)),NA(),LOOKUP(IC$1,$S39:$HK39,csv!$L39:$HD39))</f>
        <v>0</v>
      </c>
      <c r="ID39" s="5">
        <f>IF(ISERROR(LOOKUP(ID$1,$S39:$HK39,csv!$L39:$HD39)),NA(),LOOKUP(ID$1,$S39:$HK39,csv!$L39:$HD39))</f>
        <v>0</v>
      </c>
      <c r="IE39" s="5">
        <f>IF(ISERROR(LOOKUP(IE$1,$S39:$HK39,csv!$L39:$HD39)),NA(),LOOKUP(IE$1,$S39:$HK39,csv!$L39:$HD39))</f>
        <v>0</v>
      </c>
      <c r="IF39" s="5">
        <f>IF(ISERROR(LOOKUP(IF$1,$S39:$HK39,csv!$L39:$HD39)),NA(),LOOKUP(IF$1,$S39:$HK39,csv!$L39:$HD39))</f>
        <v>0</v>
      </c>
      <c r="IG39" s="5">
        <f>IF(ISERROR(LOOKUP(IG$1,$S39:$HK39,csv!$L39:$HD39)),NA(),LOOKUP(IG$1,$S39:$HK39,csv!$L39:$HD39))</f>
        <v>0</v>
      </c>
      <c r="IH39" s="5">
        <f>IF(ISERROR(LOOKUP(IH$1,$S39:$HK39,csv!$L39:$HD39)),NA(),LOOKUP(IH$1,$S39:$HK39,csv!$L39:$HD39))</f>
        <v>0</v>
      </c>
      <c r="II39" s="5">
        <f>IF(ISERROR(LOOKUP(II$1,$S39:$HK39,csv!$L39:$HD39)),NA(),LOOKUP(II$1,$S39:$HK39,csv!$L39:$HD39))</f>
        <v>0</v>
      </c>
      <c r="IJ39" s="5">
        <f>IF(ISERROR(LOOKUP(IJ$1,$S39:$HK39,csv!$L39:$HD39)),NA(),LOOKUP(IJ$1,$S39:$HK39,csv!$L39:$HD39))</f>
        <v>0</v>
      </c>
      <c r="IK39" s="5">
        <f>IF(ISERROR(LOOKUP(IK$1,$S39:$HK39,csv!$L39:$HD39)),NA(),LOOKUP(IK$1,$S39:$HK39,csv!$L39:$HD39))</f>
        <v>0</v>
      </c>
      <c r="IL39" s="5">
        <f>IF(ISERROR(LOOKUP(IL$1,$S39:$HK39,csv!$L39:$HD39)),NA(),LOOKUP(IL$1,$S39:$HK39,csv!$L39:$HD39))</f>
        <v>0</v>
      </c>
      <c r="IM39" s="5">
        <f>IF(ISERROR(LOOKUP(IM$1,$S39:$HK39,csv!$L39:$HD39)),NA(),LOOKUP(IM$1,$S39:$HK39,csv!$L39:$HD39))</f>
        <v>0</v>
      </c>
      <c r="IN39" s="5">
        <f>IF(ISERROR(LOOKUP(IN$1,$S39:$HK39,csv!$L39:$HD39)),NA(),LOOKUP(IN$1,$S39:$HK39,csv!$L39:$HD39))</f>
        <v>0</v>
      </c>
      <c r="IO39" s="5">
        <f>IF(ISERROR(LOOKUP(IO$1,$S39:$HK39,csv!$L39:$HD39)),NA(),LOOKUP(IO$1,$S39:$HK39,csv!$L39:$HD39))</f>
        <v>0</v>
      </c>
      <c r="IP39" s="5">
        <f>IF(ISERROR(LOOKUP(IP$1,$S39:$HK39,csv!$L39:$HD39)),NA(),LOOKUP(IP$1,$S39:$HK39,csv!$L39:$HD39))</f>
        <v>0</v>
      </c>
      <c r="IQ39" s="5">
        <f>IF(ISERROR(LOOKUP(IQ$1,$S39:$HK39,csv!$L39:$HD39)),NA(),LOOKUP(IQ$1,$S39:$HK39,csv!$L39:$HD39))</f>
        <v>0</v>
      </c>
      <c r="IR39" s="5">
        <f>IF(ISERROR(LOOKUP(IR$1,$S39:$HK39,csv!$L39:$HD39)),NA(),LOOKUP(IR$1,$S39:$HK39,csv!$L39:$HD39))</f>
        <v>0</v>
      </c>
      <c r="IS39" s="5">
        <f>IF(ISERROR(LOOKUP(IS$1,$S39:$HK39,csv!$L39:$HD39)),NA(),LOOKUP(IS$1,$S39:$HK39,csv!$L39:$HD39))</f>
        <v>0</v>
      </c>
      <c r="IT39" s="5">
        <f>IF(ISERROR(LOOKUP(IT$1,$S39:$HK39,csv!$L39:$HD39)),NA(),LOOKUP(IT$1,$S39:$HK39,csv!$L39:$HD39))</f>
        <v>0</v>
      </c>
      <c r="IU39" s="5">
        <f>IF(ISERROR(LOOKUP(IU$1,$S39:$HK39,csv!$L39:$HD39)),NA(),LOOKUP(IU$1,$S39:$HK39,csv!$L39:$HD39))</f>
        <v>0</v>
      </c>
      <c r="IV39" s="5">
        <f>IF(ISERROR(LOOKUP(IV$1,$S39:$HK39,csv!$L39:$HD39)),NA(),LOOKUP(IV$1,$S39:$HK39,csv!$L39:$HD39))</f>
        <v>0</v>
      </c>
      <c r="IW39" s="5">
        <f>IF(ISERROR(LOOKUP(IW$1,$S39:$HK39,csv!$L39:$HD39)),NA(),LOOKUP(IW$1,$S39:$HK39,csv!$L39:$HD39))</f>
        <v>0</v>
      </c>
      <c r="IX39" s="5">
        <f>IF(ISERROR(LOOKUP(IX$1,$S39:$HK39,csv!$L39:$HD39)),NA(),LOOKUP(IX$1,$S39:$HK39,csv!$L39:$HD39))</f>
        <v>0</v>
      </c>
      <c r="IY39" s="5">
        <f>IF(ISERROR(LOOKUP(IY$1,$S39:$HK39,csv!$L39:$HD39)),NA(),LOOKUP(IY$1,$S39:$HK39,csv!$L39:$HD39))</f>
        <v>0</v>
      </c>
      <c r="IZ39" s="5">
        <f>IF(ISERROR(LOOKUP(IZ$1,$S39:$HK39,csv!$L39:$HD39)),NA(),LOOKUP(IZ$1,$S39:$HK39,csv!$L39:$HD39))</f>
        <v>0</v>
      </c>
      <c r="JA39" s="5">
        <f>IF(ISERROR(LOOKUP(JA$1,$S39:$HK39,csv!$L39:$HD39)),NA(),LOOKUP(JA$1,$S39:$HK39,csv!$L39:$HD39))</f>
        <v>0</v>
      </c>
      <c r="JB39" s="5">
        <f>IF(ISERROR(LOOKUP(JB$1,$S39:$HK39,csv!$L39:$HD39)),NA(),LOOKUP(JB$1,$S39:$HK39,csv!$L39:$HD39))</f>
        <v>0</v>
      </c>
      <c r="JC39" s="5">
        <f>IF(ISERROR(LOOKUP(JC$1,$S39:$HK39,csv!$L39:$HD39)),NA(),LOOKUP(JC$1,$S39:$HK39,csv!$L39:$HD39))</f>
        <v>0</v>
      </c>
      <c r="JD39" s="5">
        <f>IF(ISERROR(LOOKUP(JD$1,$S39:$HK39,csv!$L39:$HD39)),NA(),LOOKUP(JD$1,$S39:$HK39,csv!$L39:$HD39))</f>
        <v>0</v>
      </c>
      <c r="JE39" s="5">
        <f>IF(ISERROR(LOOKUP(JE$1,$S39:$HK39,csv!$L39:$HD39)),NA(),LOOKUP(JE$1,$S39:$HK39,csv!$L39:$HD39))</f>
        <v>0</v>
      </c>
      <c r="JF39" s="5">
        <f>IF(ISERROR(LOOKUP(JF$1,$S39:$HK39,csv!$L39:$HD39)),NA(),LOOKUP(JF$1,$S39:$HK39,csv!$L39:$HD39))</f>
        <v>0</v>
      </c>
      <c r="JG39" s="5">
        <f>IF(ISERROR(LOOKUP(JG$1,$S39:$HK39,csv!$L39:$HD39)),NA(),LOOKUP(JG$1,$S39:$HK39,csv!$L39:$HD39))</f>
        <v>0</v>
      </c>
      <c r="JH39" s="5">
        <f>IF(ISERROR(LOOKUP(JH$1,$S39:$HK39,csv!$L39:$HD39)),NA(),LOOKUP(JH$1,$S39:$HK39,csv!$L39:$HD39))</f>
        <v>0</v>
      </c>
      <c r="JI39" s="5">
        <f>IF(ISERROR(LOOKUP(JI$1,$S39:$HK39,csv!$L39:$HD39)),NA(),LOOKUP(JI$1,$S39:$HK39,csv!$L39:$HD39))</f>
        <v>0</v>
      </c>
      <c r="JJ39" s="5">
        <f>IF(ISERROR(LOOKUP(JJ$1,$S39:$HK39,csv!$L39:$HD39)),NA(),LOOKUP(JJ$1,$S39:$HK39,csv!$L39:$HD39))</f>
        <v>0</v>
      </c>
      <c r="JK39" s="5">
        <f>IF(ISERROR(LOOKUP(JK$1,$S39:$HK39,csv!$L39:$HD39)),NA(),LOOKUP(JK$1,$S39:$HK39,csv!$L39:$HD39))</f>
        <v>0</v>
      </c>
      <c r="JL39" s="5">
        <f>IF(ISERROR(LOOKUP(JL$1,$S39:$HK39,csv!$L39:$HD39)),NA(),LOOKUP(JL$1,$S39:$HK39,csv!$L39:$HD39))</f>
        <v>0</v>
      </c>
      <c r="JM39" s="5">
        <f>IF(ISERROR(LOOKUP(JM$1,$S39:$HK39,csv!$L39:$HD39)),NA(),LOOKUP(JM$1,$S39:$HK39,csv!$L39:$HD39))</f>
        <v>0</v>
      </c>
      <c r="JN39" s="5">
        <f>IF(ISERROR(LOOKUP(JN$1,$S39:$HK39,csv!$L39:$HD39)),NA(),LOOKUP(JN$1,$S39:$HK39,csv!$L39:$HD39))</f>
        <v>0</v>
      </c>
      <c r="JO39" s="5">
        <f>IF(ISERROR(LOOKUP(JO$1,$S39:$HK39,csv!$L39:$HD39)),NA(),LOOKUP(JO$1,$S39:$HK39,csv!$L39:$HD39))</f>
        <v>0</v>
      </c>
      <c r="JP39" s="5">
        <f>IF(ISERROR(LOOKUP(JP$1,$S39:$HK39,csv!$L39:$HD39)),NA(),LOOKUP(JP$1,$S39:$HK39,csv!$L39:$HD39))</f>
        <v>0</v>
      </c>
      <c r="JQ39" s="5">
        <f>IF(ISERROR(LOOKUP(JQ$1,$S39:$HK39,csv!$L39:$HD39)),NA(),LOOKUP(JQ$1,$S39:$HK39,csv!$L39:$HD39))</f>
        <v>0</v>
      </c>
      <c r="JR39" s="5">
        <f>IF(ISERROR(LOOKUP(JR$1,$S39:$HK39,csv!$L39:$HD39)),NA(),LOOKUP(JR$1,$S39:$HK39,csv!$L39:$HD39))</f>
        <v>0</v>
      </c>
      <c r="JS39" s="5">
        <f>IF(ISERROR(LOOKUP(JS$1,$S39:$HK39,csv!$L39:$HD39)),NA(),LOOKUP(JS$1,$S39:$HK39,csv!$L39:$HD39))</f>
        <v>0</v>
      </c>
      <c r="JT39" s="5">
        <f>IF(ISERROR(LOOKUP(JT$1,$S39:$HK39,csv!$L39:$HD39)),NA(),LOOKUP(JT$1,$S39:$HK39,csv!$L39:$HD39))</f>
        <v>0</v>
      </c>
      <c r="JU39" s="5">
        <f>IF(ISERROR(LOOKUP(JU$1,$S39:$HK39,csv!$L39:$HD39)),NA(),LOOKUP(JU$1,$S39:$HK39,csv!$L39:$HD39))</f>
        <v>0</v>
      </c>
      <c r="JV39" s="5">
        <f>IF(ISERROR(LOOKUP(JV$1,$S39:$HK39,csv!$L39:$HD39)),NA(),LOOKUP(JV$1,$S39:$HK39,csv!$L39:$HD39))</f>
        <v>0</v>
      </c>
      <c r="JW39" s="5">
        <f>IF(ISERROR(LOOKUP(JW$1,$S39:$HK39,csv!$L39:$HD39)),NA(),LOOKUP(JW$1,$S39:$HK39,csv!$L39:$HD39))</f>
        <v>0</v>
      </c>
      <c r="JX39" s="5">
        <f>IF(ISERROR(LOOKUP(JX$1,$S39:$HK39,csv!$L39:$HD39)),NA(),LOOKUP(JX$1,$S39:$HK39,csv!$L39:$HD39))</f>
        <v>0</v>
      </c>
      <c r="JY39" s="5">
        <f>IF(ISERROR(LOOKUP(JY$1,$S39:$HK39,csv!$L39:$HD39)),NA(),LOOKUP(JY$1,$S39:$HK39,csv!$L39:$HD39))</f>
        <v>0</v>
      </c>
      <c r="JZ39" s="5">
        <f>IF(ISERROR(LOOKUP(JZ$1,$S39:$HK39,csv!$L39:$HD39)),NA(),LOOKUP(JZ$1,$S39:$HK39,csv!$L39:$HD39))</f>
        <v>0</v>
      </c>
      <c r="KA39" s="5">
        <f>IF(ISERROR(LOOKUP(KA$1,$S39:$HK39,csv!$L39:$HD39)),NA(),LOOKUP(KA$1,$S39:$HK39,csv!$L39:$HD39))</f>
        <v>0</v>
      </c>
      <c r="KB39" s="5">
        <f>IF(ISERROR(LOOKUP(KB$1,$S39:$HK39,csv!$L39:$HD39)),NA(),LOOKUP(KB$1,$S39:$HK39,csv!$L39:$HD39))</f>
        <v>0</v>
      </c>
      <c r="KC39" s="5">
        <f>IF(ISERROR(LOOKUP(KC$1,$S39:$HK39,csv!$L39:$HD39)),NA(),LOOKUP(KC$1,$S39:$HK39,csv!$L39:$HD39))</f>
        <v>0</v>
      </c>
      <c r="KD39" s="5">
        <f>IF(ISERROR(LOOKUP(KD$1,$S39:$HK39,csv!$L39:$HD39)),NA(),LOOKUP(KD$1,$S39:$HK39,csv!$L39:$HD39))</f>
        <v>0</v>
      </c>
      <c r="KE39" s="5">
        <f>IF(ISERROR(LOOKUP(KE$1,$S39:$HK39,csv!$L39:$HD39)),NA(),LOOKUP(KE$1,$S39:$HK39,csv!$L39:$HD39))</f>
        <v>0</v>
      </c>
      <c r="KF39" s="5">
        <f>IF(ISERROR(LOOKUP(KF$1,$S39:$HK39,csv!$L39:$HD39)),NA(),LOOKUP(KF$1,$S39:$HK39,csv!$L39:$HD39))</f>
        <v>0</v>
      </c>
      <c r="KG39" s="5">
        <f>IF(ISERROR(LOOKUP(KG$1,$S39:$HK39,csv!$L39:$HD39)),NA(),LOOKUP(KG$1,$S39:$HK39,csv!$L39:$HD39))</f>
        <v>0</v>
      </c>
      <c r="KH39" s="5">
        <f>IF(ISERROR(LOOKUP(KH$1,$S39:$HK39,csv!$L39:$HD39)),NA(),LOOKUP(KH$1,$S39:$HK39,csv!$L39:$HD39))</f>
        <v>0</v>
      </c>
      <c r="KI39" s="5">
        <f>IF(ISERROR(LOOKUP(KI$1,$S39:$HK39,csv!$L39:$HD39)),NA(),LOOKUP(KI$1,$S39:$HK39,csv!$L39:$HD39))</f>
        <v>0</v>
      </c>
      <c r="KJ39" s="5">
        <f>IF(ISERROR(LOOKUP(KJ$1,$S39:$HK39,csv!$L39:$HD39)),NA(),LOOKUP(KJ$1,$S39:$HK39,csv!$L39:$HD39))</f>
        <v>0</v>
      </c>
      <c r="KK39" s="5">
        <f>IF(ISERROR(LOOKUP(KK$1,$S39:$HK39,csv!$L39:$HD39)),NA(),LOOKUP(KK$1,$S39:$HK39,csv!$L39:$HD39))</f>
        <v>0</v>
      </c>
      <c r="KL39" s="5">
        <f>IF(ISERROR(LOOKUP(KL$1,$S39:$HK39,csv!$L39:$HD39)),NA(),LOOKUP(KL$1,$S39:$HK39,csv!$L39:$HD39))</f>
        <v>0</v>
      </c>
      <c r="KM39" s="5">
        <f>IF(ISERROR(LOOKUP(KM$1,$S39:$HK39,csv!$L39:$HD39)),NA(),LOOKUP(KM$1,$S39:$HK39,csv!$L39:$HD39))</f>
        <v>0</v>
      </c>
      <c r="KN39" s="5">
        <f>IF(ISERROR(LOOKUP(KN$1,$S39:$HK39,csv!$L39:$HD39)),NA(),LOOKUP(KN$1,$S39:$HK39,csv!$L39:$HD39))</f>
        <v>0</v>
      </c>
      <c r="KO39" s="5">
        <f>IF(ISERROR(LOOKUP(KO$1,$S39:$HK39,csv!$L39:$HD39)),NA(),LOOKUP(KO$1,$S39:$HK39,csv!$L39:$HD39))</f>
        <v>0</v>
      </c>
      <c r="KP39" s="5">
        <f>IF(ISERROR(LOOKUP(KP$1,$S39:$HK39,csv!$L39:$HD39)),NA(),LOOKUP(KP$1,$S39:$HK39,csv!$L39:$HD39))</f>
        <v>0</v>
      </c>
      <c r="KQ39" s="5">
        <f>IF(ISERROR(LOOKUP(KQ$1,$S39:$HK39,csv!$L39:$HD39)),NA(),LOOKUP(KQ$1,$S39:$HK39,csv!$L39:$HD39))</f>
        <v>0</v>
      </c>
      <c r="KR39" s="5">
        <f>IF(ISERROR(LOOKUP(KR$1,$S39:$HK39,csv!$L39:$HD39)),NA(),LOOKUP(KR$1,$S39:$HK39,csv!$L39:$HD39))</f>
        <v>0</v>
      </c>
      <c r="KS39" s="5">
        <f>IF(ISERROR(LOOKUP(KS$1,$S39:$HK39,csv!$L39:$HD39)),NA(),LOOKUP(KS$1,$S39:$HK39,csv!$L39:$HD39))</f>
        <v>0</v>
      </c>
      <c r="KT39" s="5">
        <f>IF(ISERROR(LOOKUP(KT$1,$S39:$HK39,csv!$L39:$HD39)),NA(),LOOKUP(KT$1,$S39:$HK39,csv!$L39:$HD39))</f>
        <v>0</v>
      </c>
      <c r="KU39" s="5">
        <f>IF(ISERROR(LOOKUP(KU$1,$S39:$HK39,csv!$L39:$HD39)),NA(),LOOKUP(KU$1,$S39:$HK39,csv!$L39:$HD39))</f>
        <v>0</v>
      </c>
      <c r="KV39" s="5">
        <f>IF(ISERROR(LOOKUP(KV$1,$S39:$HK39,csv!$L39:$HD39)),NA(),LOOKUP(KV$1,$S39:$HK39,csv!$L39:$HD39))</f>
        <v>0</v>
      </c>
      <c r="KW39" s="5">
        <f>IF(ISERROR(LOOKUP(KW$1,$S39:$HK39,csv!$L39:$HD39)),NA(),LOOKUP(KW$1,$S39:$HK39,csv!$L39:$HD39))</f>
        <v>0</v>
      </c>
      <c r="KX39" s="5">
        <f>IF(ISERROR(LOOKUP(KX$1,$S39:$HK39,csv!$L39:$HD39)),NA(),LOOKUP(KX$1,$S39:$HK39,csv!$L39:$HD39))</f>
        <v>0</v>
      </c>
      <c r="KY39" s="5">
        <f>IF(ISERROR(LOOKUP(KY$1,$S39:$HK39,csv!$L39:$HD39)),NA(),LOOKUP(KY$1,$S39:$HK39,csv!$L39:$HD39))</f>
        <v>0</v>
      </c>
      <c r="KZ39" s="5">
        <f>IF(ISERROR(LOOKUP(KZ$1,$S39:$HK39,csv!$L39:$HD39)),NA(),LOOKUP(KZ$1,$S39:$HK39,csv!$L39:$HD39))</f>
        <v>0</v>
      </c>
      <c r="LA39" s="5">
        <f>IF(ISERROR(LOOKUP(LA$1,$S39:$HK39,csv!$L39:$HD39)),NA(),LOOKUP(LA$1,$S39:$HK39,csv!$L39:$HD39))</f>
        <v>0</v>
      </c>
      <c r="LB39" s="5">
        <f>IF(ISERROR(LOOKUP(LB$1,$S39:$HK39,csv!$L39:$HD39)),NA(),LOOKUP(LB$1,$S39:$HK39,csv!$L39:$HD39))</f>
        <v>0</v>
      </c>
      <c r="LC39" s="5">
        <f>IF(ISERROR(LOOKUP(LC$1,$S39:$HK39,csv!$L39:$HD39)),NA(),LOOKUP(LC$1,$S39:$HK39,csv!$L39:$HD39))</f>
        <v>0</v>
      </c>
      <c r="LD39" s="5">
        <f>IF(ISERROR(LOOKUP(LD$1,$S39:$HK39,csv!$L39:$HD39)),NA(),LOOKUP(LD$1,$S39:$HK39,csv!$L39:$HD39))</f>
        <v>0</v>
      </c>
      <c r="LE39" s="5">
        <f>IF(ISERROR(LOOKUP(LE$1,$S39:$HK39,csv!$L39:$HD39)),NA(),LOOKUP(LE$1,$S39:$HK39,csv!$L39:$HD39))</f>
        <v>0</v>
      </c>
      <c r="LF39" s="5">
        <f>IF(ISERROR(LOOKUP(LF$1,$S39:$HK39,csv!$L39:$HD39)),NA(),LOOKUP(LF$1,$S39:$HK39,csv!$L39:$HD39))</f>
        <v>0</v>
      </c>
      <c r="LG39" s="5">
        <f>IF(ISERROR(LOOKUP(LG$1,$S39:$HK39,csv!$L39:$HD39)),NA(),LOOKUP(LG$1,$S39:$HK39,csv!$L39:$HD39))</f>
        <v>0</v>
      </c>
      <c r="LH39" s="5">
        <f>IF(ISERROR(LOOKUP(LH$1,$S39:$HK39,csv!$L39:$HD39)),NA(),LOOKUP(LH$1,$S39:$HK39,csv!$L39:$HD39))</f>
        <v>0</v>
      </c>
      <c r="LI39" s="5">
        <f>IF(ISERROR(LOOKUP(LI$1,$S39:$HK39,csv!$L39:$HD39)),NA(),LOOKUP(LI$1,$S39:$HK39,csv!$L39:$HD39))</f>
        <v>0</v>
      </c>
      <c r="LJ39" s="5">
        <f>IF(ISERROR(LOOKUP(LJ$1,$S39:$HK39,csv!$L39:$HD39)),NA(),LOOKUP(LJ$1,$S39:$HK39,csv!$L39:$HD39))</f>
        <v>0</v>
      </c>
      <c r="LK39" s="5">
        <f>IF(ISERROR(LOOKUP(LK$1,$S39:$HK39,csv!$L39:$HD39)),NA(),LOOKUP(LK$1,$S39:$HK39,csv!$L39:$HD39))</f>
        <v>0</v>
      </c>
      <c r="LL39" s="5">
        <f>IF(ISERROR(LOOKUP(LL$1,$S39:$HK39,csv!$L39:$HD39)),NA(),LOOKUP(LL$1,$S39:$HK39,csv!$L39:$HD39))</f>
        <v>0</v>
      </c>
      <c r="LM39" s="5">
        <f>IF(ISERROR(LOOKUP(LM$1,$S39:$HK39,csv!$L39:$HD39)),NA(),LOOKUP(LM$1,$S39:$HK39,csv!$L39:$HD39))</f>
        <v>0</v>
      </c>
      <c r="LN39" s="5">
        <f>IF(ISERROR(LOOKUP(LN$1,$S39:$HK39,csv!$L39:$HD39)),NA(),LOOKUP(LN$1,$S39:$HK39,csv!$L39:$HD39))</f>
        <v>0</v>
      </c>
      <c r="LO39" s="5">
        <f>IF(ISERROR(LOOKUP(LO$1,$S39:$HK39,csv!$L39:$HD39)),NA(),LOOKUP(LO$1,$S39:$HK39,csv!$L39:$HD39))</f>
        <v>0</v>
      </c>
      <c r="LP39" s="5">
        <f>IF(ISERROR(LOOKUP(LP$1,$S39:$HK39,csv!$L39:$HD39)),NA(),LOOKUP(LP$1,$S39:$HK39,csv!$L39:$HD39))</f>
        <v>0</v>
      </c>
      <c r="LQ39" s="5">
        <f>IF(ISERROR(LOOKUP(LQ$1,$S39:$HK39,csv!$L39:$HD39)),NA(),LOOKUP(LQ$1,$S39:$HK39,csv!$L39:$HD39))</f>
        <v>0</v>
      </c>
      <c r="LR39" s="5">
        <f>IF(ISERROR(LOOKUP(LR$1,$S39:$HK39,csv!$L39:$HD39)),NA(),LOOKUP(LR$1,$S39:$HK39,csv!$L39:$HD39))</f>
        <v>0</v>
      </c>
      <c r="LS39" s="5">
        <f>IF(ISERROR(LOOKUP(LS$1,$S39:$HK39,csv!$L39:$HD39)),NA(),LOOKUP(LS$1,$S39:$HK39,csv!$L39:$HD39))</f>
        <v>0</v>
      </c>
      <c r="LT39" s="5">
        <f>IF(ISERROR(LOOKUP(LT$1,$S39:$HK39,csv!$L39:$HD39)),NA(),LOOKUP(LT$1,$S39:$HK39,csv!$L39:$HD39))</f>
        <v>0</v>
      </c>
      <c r="LU39" s="5">
        <f>IF(ISERROR(LOOKUP(LU$1,$S39:$HK39,csv!$L39:$HD39)),NA(),LOOKUP(LU$1,$S39:$HK39,csv!$L39:$HD39))</f>
        <v>0</v>
      </c>
      <c r="LV39" s="5">
        <f>IF(ISERROR(LOOKUP(LV$1,$S39:$HK39,csv!$L39:$HD39)),NA(),LOOKUP(LV$1,$S39:$HK39,csv!$L39:$HD39))</f>
        <v>0</v>
      </c>
      <c r="LW39" s="5">
        <f>IF(ISERROR(LOOKUP(LW$1,$S39:$HK39,csv!$L39:$HD39)),NA(),LOOKUP(LW$1,$S39:$HK39,csv!$L39:$HD39))</f>
        <v>0</v>
      </c>
      <c r="LX39" s="5">
        <f>IF(ISERROR(LOOKUP(LX$1,$S39:$HK39,csv!$L39:$HD39)),NA(),LOOKUP(LX$1,$S39:$HK39,csv!$L39:$HD39))</f>
        <v>0</v>
      </c>
      <c r="LY39" s="5">
        <f>IF(ISERROR(LOOKUP(LY$1,$S39:$HK39,csv!$L39:$HD39)),NA(),LOOKUP(LY$1,$S39:$HK39,csv!$L39:$HD39))</f>
        <v>0</v>
      </c>
      <c r="LZ39" s="5">
        <f>IF(ISERROR(LOOKUP(LZ$1,$S39:$HK39,csv!$L39:$HD39)),NA(),LOOKUP(LZ$1,$S39:$HK39,csv!$L39:$HD39))</f>
        <v>0</v>
      </c>
      <c r="MA39" s="5">
        <f>IF(ISERROR(LOOKUP(MA$1,$S39:$HK39,csv!$L39:$HD39)),NA(),LOOKUP(MA$1,$S39:$HK39,csv!$L39:$HD39))</f>
        <v>0</v>
      </c>
      <c r="MB39" s="5">
        <f>IF(ISERROR(LOOKUP(MB$1,$S39:$HK39,csv!$L39:$HD39)),NA(),LOOKUP(MB$1,$S39:$HK39,csv!$L39:$HD39))</f>
        <v>0</v>
      </c>
      <c r="MC39" s="5">
        <f>IF(ISERROR(LOOKUP(MC$1,$S39:$HK39,csv!$L39:$HD39)),NA(),LOOKUP(MC$1,$S39:$HK39,csv!$L39:$HD39))</f>
        <v>0</v>
      </c>
      <c r="MD39" s="5">
        <f>IF(ISERROR(LOOKUP(MD$1,$S39:$HK39,csv!$L39:$HD39)),NA(),LOOKUP(MD$1,$S39:$HK39,csv!$L39:$HD39))</f>
        <v>0</v>
      </c>
      <c r="ME39" s="5">
        <f>IF(ISERROR(LOOKUP(ME$1,$S39:$HK39,csv!$L39:$HD39)),NA(),LOOKUP(ME$1,$S39:$HK39,csv!$L39:$HD39))</f>
        <v>0</v>
      </c>
      <c r="MF39" s="5">
        <f>IF(ISERROR(LOOKUP(MF$1,$S39:$HK39,csv!$L39:$HD39)),NA(),LOOKUP(MF$1,$S39:$HK39,csv!$L39:$HD39))</f>
        <v>0</v>
      </c>
      <c r="MG39" s="5">
        <f>IF(ISERROR(LOOKUP(MG$1,$S39:$HK39,csv!$L39:$HD39)),NA(),LOOKUP(MG$1,$S39:$HK39,csv!$L39:$HD39))</f>
        <v>0</v>
      </c>
      <c r="MH39" s="5">
        <f>IF(ISERROR(LOOKUP(MH$1,$S39:$HK39,csv!$L39:$HD39)),NA(),LOOKUP(MH$1,$S39:$HK39,csv!$L39:$HD39))</f>
        <v>0</v>
      </c>
      <c r="MI39" s="5">
        <f>IF(ISERROR(LOOKUP(MI$1,$S39:$HK39,csv!$L39:$HD39)),NA(),LOOKUP(MI$1,$S39:$HK39,csv!$L39:$HD39))</f>
        <v>0</v>
      </c>
      <c r="MJ39" s="5">
        <f>IF(ISERROR(LOOKUP(MJ$1,$S39:$HK39,csv!$L39:$HD39)),NA(),LOOKUP(MJ$1,$S39:$HK39,csv!$L39:$HD39))</f>
        <v>0</v>
      </c>
      <c r="MK39" s="5">
        <f>IF(ISERROR(LOOKUP(MK$1,$S39:$HK39,csv!$L39:$HD39)),NA(),LOOKUP(MK$1,$S39:$HK39,csv!$L39:$HD39))</f>
        <v>0</v>
      </c>
      <c r="ML39" s="5">
        <f>IF(ISERROR(LOOKUP(ML$1,$S39:$HK39,csv!$L39:$HD39)),NA(),LOOKUP(ML$1,$S39:$HK39,csv!$L39:$HD39))</f>
        <v>0</v>
      </c>
      <c r="MM39" s="5">
        <f>IF(ISERROR(LOOKUP(MM$1,$S39:$HK39,csv!$L39:$HD39)),NA(),LOOKUP(MM$1,$S39:$HK39,csv!$L39:$HD39))</f>
        <v>0</v>
      </c>
      <c r="MN39" s="5">
        <f>IF(ISERROR(LOOKUP(MN$1,$S39:$HK39,csv!$L39:$HD39)),NA(),LOOKUP(MN$1,$S39:$HK39,csv!$L39:$HD39))</f>
        <v>0</v>
      </c>
      <c r="MO39" s="5">
        <f>IF(ISERROR(LOOKUP(MO$1,$S39:$HK39,csv!$L39:$HD39)),NA(),LOOKUP(MO$1,$S39:$HK39,csv!$L39:$HD39))</f>
        <v>0</v>
      </c>
      <c r="MP39" s="5">
        <f>IF(ISERROR(LOOKUP(MP$1,$S39:$HK39,csv!$L39:$HD39)),NA(),LOOKUP(MP$1,$S39:$HK39,csv!$L39:$HD39))</f>
        <v>0</v>
      </c>
      <c r="MQ39" s="5">
        <f>IF(ISERROR(LOOKUP(MQ$1,$S39:$HK39,csv!$L39:$HD39)),NA(),LOOKUP(MQ$1,$S39:$HK39,csv!$L39:$HD39))</f>
        <v>0</v>
      </c>
      <c r="MR39" s="5">
        <f>IF(ISERROR(LOOKUP(MR$1,$S39:$HK39,csv!$L39:$HD39)),NA(),LOOKUP(MR$1,$S39:$HK39,csv!$L39:$HD39))</f>
        <v>0</v>
      </c>
      <c r="MS39" s="5">
        <f>IF(ISERROR(LOOKUP(MS$1,$S39:$HK39,csv!$L39:$HD39)),NA(),LOOKUP(MS$1,$S39:$HK39,csv!$L39:$HD39))</f>
        <v>0</v>
      </c>
      <c r="MT39" s="5">
        <f>IF(ISERROR(LOOKUP(MT$1,$S39:$HK39,csv!$L39:$HD39)),NA(),LOOKUP(MT$1,$S39:$HK39,csv!$L39:$HD39))</f>
        <v>0</v>
      </c>
      <c r="MU39" s="5">
        <f>IF(ISERROR(LOOKUP(MU$1,$S39:$HK39,csv!$L39:$HD39)),NA(),LOOKUP(MU$1,$S39:$HK39,csv!$L39:$HD39))</f>
        <v>0</v>
      </c>
      <c r="MV39" s="5">
        <f>IF(ISERROR(LOOKUP(MV$1,$S39:$HK39,csv!$L39:$HD39)),NA(),LOOKUP(MV$1,$S39:$HK39,csv!$L39:$HD39))</f>
        <v>0</v>
      </c>
      <c r="MW39" s="5">
        <f>IF(ISERROR(LOOKUP(MW$1,$S39:$HK39,csv!$L39:$HD39)),NA(),LOOKUP(MW$1,$S39:$HK39,csv!$L39:$HD39))</f>
        <v>0</v>
      </c>
      <c r="MX39" s="5">
        <f>IF(ISERROR(LOOKUP(MX$1,$S39:$HK39,csv!$L39:$HD39)),NA(),LOOKUP(MX$1,$S39:$HK39,csv!$L39:$HD39))</f>
        <v>0</v>
      </c>
      <c r="MY39" s="5">
        <f>IF(ISERROR(LOOKUP(MY$1,$S39:$HK39,csv!$L39:$HD39)),NA(),LOOKUP(MY$1,$S39:$HK39,csv!$L39:$HD39))</f>
        <v>0</v>
      </c>
      <c r="MZ39" s="5">
        <f>IF(ISERROR(LOOKUP(MZ$1,$S39:$HK39,csv!$L39:$HD39)),NA(),LOOKUP(MZ$1,$S39:$HK39,csv!$L39:$HD39))</f>
        <v>0</v>
      </c>
      <c r="NA39" s="5">
        <f>IF(ISERROR(LOOKUP(NA$1,$S39:$HK39,csv!$L39:$HD39)),NA(),LOOKUP(NA$1,$S39:$HK39,csv!$L39:$HD39))</f>
        <v>0</v>
      </c>
      <c r="NB39" s="5">
        <f>IF(ISERROR(LOOKUP(NB$1,$S39:$HK39,csv!$L39:$HD39)),NA(),LOOKUP(NB$1,$S39:$HK39,csv!$L39:$HD39))</f>
        <v>0</v>
      </c>
      <c r="NC39" s="5">
        <f>IF(ISERROR(LOOKUP(NC$1,$S39:$HK39,csv!$L39:$HD39)),NA(),LOOKUP(NC$1,$S39:$HK39,csv!$L39:$HD39))</f>
        <v>0</v>
      </c>
      <c r="ND39" s="5">
        <f>IF(ISERROR(LOOKUP(ND$1,$S39:$HK39,csv!$L39:$HD39)),NA(),LOOKUP(ND$1,$S39:$HK39,csv!$L39:$HD39))</f>
        <v>0</v>
      </c>
      <c r="NE39" s="5">
        <f>IF(ISERROR(LOOKUP(NE$1,$S39:$HK39,csv!$L39:$HD39)),NA(),LOOKUP(NE$1,$S39:$HK39,csv!$L39:$HD39))</f>
        <v>0</v>
      </c>
      <c r="NF39" s="5">
        <f>IF(ISERROR(LOOKUP(NF$1,$S39:$HK39,csv!$L39:$HD39)),NA(),LOOKUP(NF$1,$S39:$HK39,csv!$L39:$HD39))</f>
        <v>0</v>
      </c>
      <c r="NG39" s="5">
        <f>IF(ISERROR(LOOKUP(NG$1,$S39:$HK39,csv!$L39:$HD39)),NA(),LOOKUP(NG$1,$S39:$HK39,csv!$L39:$HD39))</f>
        <v>0</v>
      </c>
      <c r="NH39" s="5">
        <f>IF(ISERROR(LOOKUP(NH$1,$S39:$HK39,csv!$L39:$HD39)),NA(),LOOKUP(NH$1,$S39:$HK39,csv!$L39:$HD39))</f>
        <v>0</v>
      </c>
      <c r="NI39" s="5">
        <f>IF(ISERROR(LOOKUP(NI$1,$S39:$HK39,csv!$L39:$HD39)),NA(),LOOKUP(NI$1,$S39:$HK39,csv!$L39:$HD39))</f>
        <v>0</v>
      </c>
      <c r="NJ39" s="5">
        <f>IF(ISERROR(LOOKUP(NJ$1,$S39:$HK39,csv!$L39:$HD39)),NA(),LOOKUP(NJ$1,$S39:$HK39,csv!$L39:$HD39))</f>
        <v>0</v>
      </c>
      <c r="NK39" s="5">
        <f>IF(ISERROR(LOOKUP(NK$1,$S39:$HK39,csv!$L39:$HD39)),NA(),LOOKUP(NK$1,$S39:$HK39,csv!$L39:$HD39))</f>
        <v>0</v>
      </c>
      <c r="NL39" s="5">
        <f>IF(ISERROR(LOOKUP(NL$1,$S39:$HK39,csv!$L39:$HD39)),NA(),LOOKUP(NL$1,$S39:$HK39,csv!$L39:$HD39))</f>
        <v>0</v>
      </c>
      <c r="NM39" s="5">
        <f>IF(ISERROR(LOOKUP(NM$1,$S39:$HK39,csv!$L39:$HD39)),NA(),LOOKUP(NM$1,$S39:$HK39,csv!$L39:$HD39))</f>
        <v>0</v>
      </c>
      <c r="NN39" s="5">
        <f>IF(ISERROR(LOOKUP(NN$1,$S39:$HK39,csv!$L39:$HD39)),NA(),LOOKUP(NN$1,$S39:$HK39,csv!$L39:$HD39))</f>
        <v>0</v>
      </c>
      <c r="NO39" s="5">
        <f>IF(ISERROR(LOOKUP(NO$1,$S39:$HK39,csv!$L39:$HD39)),NA(),LOOKUP(NO$1,$S39:$HK39,csv!$L39:$HD39))</f>
        <v>0</v>
      </c>
      <c r="NP39" s="5">
        <f>IF(ISERROR(LOOKUP(NP$1,$S39:$HK39,csv!$L39:$HD39)),NA(),LOOKUP(NP$1,$S39:$HK39,csv!$L39:$HD39))</f>
        <v>0</v>
      </c>
      <c r="NQ39" s="5">
        <f>IF(ISERROR(LOOKUP(NQ$1,$S39:$HK39,csv!$L39:$HD39)),NA(),LOOKUP(NQ$1,$S39:$HK39,csv!$L39:$HD39))</f>
        <v>0</v>
      </c>
      <c r="NR39" s="5">
        <f>IF(ISERROR(LOOKUP(NR$1,$S39:$HK39,csv!$L39:$HD39)),NA(),LOOKUP(NR$1,$S39:$HK39,csv!$L39:$HD39))</f>
        <v>0</v>
      </c>
      <c r="NS39" s="5">
        <f>IF(ISERROR(LOOKUP(NS$1,$S39:$HK39,csv!$L39:$HD39)),NA(),LOOKUP(NS$1,$S39:$HK39,csv!$L39:$HD39))</f>
        <v>0</v>
      </c>
      <c r="NT39" s="5">
        <f>IF(ISERROR(LOOKUP(NT$1,$S39:$HK39,csv!$L39:$HD39)),NA(),LOOKUP(NT$1,$S39:$HK39,csv!$L39:$HD39))</f>
        <v>0</v>
      </c>
      <c r="NU39" s="5">
        <f>IF(ISERROR(LOOKUP(NU$1,$S39:$HK39,csv!$L39:$HD39)),NA(),LOOKUP(NU$1,$S39:$HK39,csv!$L39:$HD39))</f>
        <v>0</v>
      </c>
      <c r="NV39" s="5">
        <f>IF(ISERROR(LOOKUP(NV$1,$S39:$HK39,csv!$L39:$HD39)),NA(),LOOKUP(NV$1,$S39:$HK39,csv!$L39:$HD39))</f>
        <v>0</v>
      </c>
      <c r="NW39" s="5">
        <f>IF(ISERROR(LOOKUP(NW$1,$S39:$HK39,csv!$L39:$HD39)),NA(),LOOKUP(NW$1,$S39:$HK39,csv!$L39:$HD39))</f>
        <v>0</v>
      </c>
      <c r="NX39" s="5">
        <f>IF(ISERROR(LOOKUP(NX$1,$S39:$HK39,csv!$L39:$HD39)),NA(),LOOKUP(NX$1,$S39:$HK39,csv!$L39:$HD39))</f>
        <v>0</v>
      </c>
      <c r="NY39" s="5">
        <f>IF(ISERROR(LOOKUP(NY$1,$S39:$HK39,csv!$L39:$HD39)),NA(),LOOKUP(NY$1,$S39:$HK39,csv!$L39:$HD39))</f>
        <v>0</v>
      </c>
      <c r="NZ39" s="5">
        <f>IF(ISERROR(LOOKUP(NZ$1,$S39:$HK39,csv!$L39:$HD39)),NA(),LOOKUP(NZ$1,$S39:$HK39,csv!$L39:$HD39))</f>
        <v>0</v>
      </c>
      <c r="OA39" s="5">
        <f>IF(ISERROR(LOOKUP(OA$1,$S39:$HK39,csv!$L39:$HD39)),NA(),LOOKUP(OA$1,$S39:$HK39,csv!$L39:$HD39))</f>
        <v>0</v>
      </c>
      <c r="OB39" s="5">
        <f>IF(ISERROR(LOOKUP(OB$1,$S39:$HK39,csv!$L39:$HD39)),NA(),LOOKUP(OB$1,$S39:$HK39,csv!$L39:$HD39))</f>
        <v>0</v>
      </c>
      <c r="OC39" s="5">
        <f>IF(ISERROR(LOOKUP(OC$1,$S39:$HK39,csv!$L39:$HD39)),NA(),LOOKUP(OC$1,$S39:$HK39,csv!$L39:$HD39))</f>
        <v>0</v>
      </c>
      <c r="OD39" s="5">
        <f>IF(ISERROR(LOOKUP(OD$1,$S39:$HK39,csv!$L39:$HD39)),NA(),LOOKUP(OD$1,$S39:$HK39,csv!$L39:$HD39))</f>
        <v>0</v>
      </c>
      <c r="OE39" s="5">
        <f>IF(ISERROR(LOOKUP(OE$1,$S39:$HK39,csv!$L39:$HD39)),NA(),LOOKUP(OE$1,$S39:$HK39,csv!$L39:$HD39))</f>
        <v>0</v>
      </c>
      <c r="OF39" s="5">
        <f>IF(ISERROR(LOOKUP(OF$1,$S39:$HK39,csv!$L39:$HD39)),NA(),LOOKUP(OF$1,$S39:$HK39,csv!$L39:$HD39))</f>
        <v>0</v>
      </c>
      <c r="OG39" s="5">
        <f>IF(ISERROR(LOOKUP(OG$1,$S39:$HK39,csv!$L39:$HD39)),NA(),LOOKUP(OG$1,$S39:$HK39,csv!$L39:$HD39))</f>
        <v>0</v>
      </c>
      <c r="OH39" s="5">
        <f>IF(ISERROR(LOOKUP(OH$1,$S39:$HK39,csv!$L39:$HD39)),NA(),LOOKUP(OH$1,$S39:$HK39,csv!$L39:$HD39))</f>
        <v>0</v>
      </c>
      <c r="OI39" s="5">
        <f>IF(ISERROR(LOOKUP(OI$1,$S39:$HK39,csv!$L39:$HD39)),NA(),LOOKUP(OI$1,$S39:$HK39,csv!$L39:$HD39))</f>
        <v>0</v>
      </c>
      <c r="OJ39" s="5">
        <f>IF(ISERROR(LOOKUP(OJ$1,$S39:$HK39,csv!$L39:$HD39)),NA(),LOOKUP(OJ$1,$S39:$HK39,csv!$L39:$HD39))</f>
        <v>0</v>
      </c>
      <c r="OK39" s="5">
        <f>IF(ISERROR(LOOKUP(OK$1,$S39:$HK39,csv!$L39:$HD39)),NA(),LOOKUP(OK$1,$S39:$HK39,csv!$L39:$HD39))</f>
        <v>0</v>
      </c>
      <c r="OL39" s="5">
        <f>IF(ISERROR(LOOKUP(OL$1,$S39:$HK39,csv!$L39:$HD39)),NA(),LOOKUP(OL$1,$S39:$HK39,csv!$L39:$HD39))</f>
        <v>0</v>
      </c>
      <c r="OM39" s="5">
        <f>IF(ISERROR(LOOKUP(OM$1,$S39:$HK39,csv!$L39:$HD39)),NA(),LOOKUP(OM$1,$S39:$HK39,csv!$L39:$HD39))</f>
        <v>0</v>
      </c>
      <c r="ON39" s="5">
        <f>IF(ISERROR(LOOKUP(ON$1,$S39:$HK39,csv!$L39:$HD39)),NA(),LOOKUP(ON$1,$S39:$HK39,csv!$L39:$HD39))</f>
        <v>0</v>
      </c>
      <c r="OO39" s="5">
        <f>IF(ISERROR(LOOKUP(OO$1,$S39:$HK39,csv!$L39:$HD39)),NA(),LOOKUP(OO$1,$S39:$HK39,csv!$L39:$HD39))</f>
        <v>0</v>
      </c>
      <c r="OP39" s="5">
        <f>IF(ISERROR(LOOKUP(OP$1,$S39:$HK39,csv!$L39:$HD39)),NA(),LOOKUP(OP$1,$S39:$HK39,csv!$L39:$HD39))</f>
        <v>0</v>
      </c>
      <c r="OQ39" s="5">
        <f>IF(ISERROR(LOOKUP(OQ$1,$S39:$HK39,csv!$L39:$HD39)),NA(),LOOKUP(OQ$1,$S39:$HK39,csv!$L39:$HD39))</f>
        <v>0</v>
      </c>
      <c r="OR39" s="5">
        <f>IF(ISERROR(LOOKUP(OR$1,$S39:$HK39,csv!$L39:$HD39)),NA(),LOOKUP(OR$1,$S39:$HK39,csv!$L39:$HD39))</f>
        <v>0</v>
      </c>
      <c r="OS39" s="5">
        <f>IF(ISERROR(LOOKUP(OS$1,$S39:$HK39,csv!$L39:$HD39)),NA(),LOOKUP(OS$1,$S39:$HK39,csv!$L39:$HD39))</f>
        <v>0</v>
      </c>
      <c r="OT39" s="5">
        <f>IF(ISERROR(LOOKUP(OT$1,$S39:$HK39,csv!$L39:$HD39)),NA(),LOOKUP(OT$1,$S39:$HK39,csv!$L39:$HD39))</f>
        <v>0</v>
      </c>
      <c r="OU39" s="5">
        <f>IF(ISERROR(LOOKUP(OU$1,$S39:$HK39,csv!$L39:$HD39)),NA(),LOOKUP(OU$1,$S39:$HK39,csv!$L39:$HD39))</f>
        <v>0</v>
      </c>
      <c r="OV39" s="5">
        <f>IF(ISERROR(LOOKUP(OV$1,$S39:$HK39,csv!$L39:$HD39)),NA(),LOOKUP(OV$1,$S39:$HK39,csv!$L39:$HD39))</f>
        <v>0</v>
      </c>
      <c r="OW39" s="5">
        <f>IF(ISERROR(LOOKUP(OW$1,$S39:$HK39,csv!$L39:$HD39)),NA(),LOOKUP(OW$1,$S39:$HK39,csv!$L39:$HD39))</f>
        <v>0</v>
      </c>
      <c r="OX39" s="5">
        <f>IF(ISERROR(LOOKUP(OX$1,$S39:$HK39,csv!$L39:$HD39)),NA(),LOOKUP(OX$1,$S39:$HK39,csv!$L39:$HD39))</f>
        <v>0</v>
      </c>
      <c r="OY39" s="5">
        <f>IF(ISERROR(LOOKUP(OY$1,$S39:$HK39,csv!$L39:$HD39)),NA(),LOOKUP(OY$1,$S39:$HK39,csv!$L39:$HD39))</f>
        <v>0</v>
      </c>
      <c r="OZ39" s="5">
        <f>IF(ISERROR(LOOKUP(OZ$1,$S39:$HK39,csv!$L39:$HD39)),NA(),LOOKUP(OZ$1,$S39:$HK39,csv!$L39:$HD39))</f>
        <v>0</v>
      </c>
      <c r="PA39" s="5">
        <f>IF(ISERROR(LOOKUP(PA$1,$S39:$HK39,csv!$L39:$HD39)),NA(),LOOKUP(PA$1,$S39:$HK39,csv!$L39:$HD39))</f>
        <v>0</v>
      </c>
      <c r="PB39" s="5">
        <f>IF(ISERROR(LOOKUP(PB$1,$S39:$HK39,csv!$L39:$HD39)),NA(),LOOKUP(PB$1,$S39:$HK39,csv!$L39:$HD39))</f>
        <v>0</v>
      </c>
      <c r="PC39" s="5">
        <f>IF(ISERROR(LOOKUP(PC$1,$S39:$HK39,csv!$L39:$HD39)),NA(),LOOKUP(PC$1,$S39:$HK39,csv!$L39:$HD39))</f>
        <v>0</v>
      </c>
      <c r="PD39" s="5">
        <f>IF(ISERROR(LOOKUP(PD$1,$S39:$HK39,csv!$L39:$HD39)),NA(),LOOKUP(PD$1,$S39:$HK39,csv!$L39:$HD39))</f>
        <v>0</v>
      </c>
      <c r="PE39" s="5">
        <f>IF(ISERROR(LOOKUP(PE$1,$S39:$HK39,csv!$L39:$HD39)),NA(),LOOKUP(PE$1,$S39:$HK39,csv!$L39:$HD39))</f>
        <v>0</v>
      </c>
      <c r="PF39" s="5">
        <f>IF(ISERROR(LOOKUP(PF$1,$S39:$HK39,csv!$L39:$HD39)),NA(),LOOKUP(PF$1,$S39:$HK39,csv!$L39:$HD39))</f>
        <v>0</v>
      </c>
      <c r="PG39" s="5">
        <f>IF(ISERROR(LOOKUP(PG$1,$S39:$HK39,csv!$L39:$HD39)),NA(),LOOKUP(PG$1,$S39:$HK39,csv!$L39:$HD39))</f>
        <v>0</v>
      </c>
      <c r="PH39" s="5">
        <f>IF(ISERROR(LOOKUP(PH$1,$S39:$HK39,csv!$L39:$HD39)),NA(),LOOKUP(PH$1,$S39:$HK39,csv!$L39:$HD39))</f>
        <v>0</v>
      </c>
      <c r="PI39" s="5">
        <f>IF(ISERROR(LOOKUP(PI$1,$S39:$HK39,csv!$L39:$HD39)),NA(),LOOKUP(PI$1,$S39:$HK39,csv!$L39:$HD39))</f>
        <v>0</v>
      </c>
      <c r="PJ39" s="5">
        <f>IF(ISERROR(LOOKUP(PJ$1,$S39:$HK39,csv!$L39:$HD39)),NA(),LOOKUP(PJ$1,$S39:$HK39,csv!$L39:$HD39))</f>
        <v>0</v>
      </c>
      <c r="PK39" s="5">
        <f>IF(ISERROR(LOOKUP(PK$1,$S39:$HK39,csv!$L39:$HD39)),NA(),LOOKUP(PK$1,$S39:$HK39,csv!$L39:$HD39))</f>
        <v>0</v>
      </c>
      <c r="PL39" s="5">
        <f>IF(ISERROR(LOOKUP(PL$1,$S39:$HK39,csv!$L39:$HD39)),NA(),LOOKUP(PL$1,$S39:$HK39,csv!$L39:$HD39))</f>
        <v>0</v>
      </c>
      <c r="PM39" s="5">
        <f>IF(ISERROR(LOOKUP(PM$1,$S39:$HK39,csv!$L39:$HD39)),NA(),LOOKUP(PM$1,$S39:$HK39,csv!$L39:$HD39))</f>
        <v>0</v>
      </c>
      <c r="PN39" s="5">
        <f>IF(ISERROR(LOOKUP(PN$1,$S39:$HK39,csv!$L39:$HD39)),NA(),LOOKUP(PN$1,$S39:$HK39,csv!$L39:$HD39))</f>
        <v>0</v>
      </c>
      <c r="PO39" s="5">
        <f>IF(ISERROR(LOOKUP(PO$1,$S39:$HK39,csv!$L39:$HD39)),NA(),LOOKUP(PO$1,$S39:$HK39,csv!$L39:$HD39))</f>
        <v>0</v>
      </c>
      <c r="PP39" s="5">
        <f>IF(ISERROR(LOOKUP(PP$1,$S39:$HK39,csv!$L39:$HD39)),NA(),LOOKUP(PP$1,$S39:$HK39,csv!$L39:$HD39))</f>
        <v>0</v>
      </c>
      <c r="PQ39" s="5">
        <f>IF(ISERROR(LOOKUP(PQ$1,$S39:$HK39,csv!$L39:$HD39)),NA(),LOOKUP(PQ$1,$S39:$HK39,csv!$L39:$HD39))</f>
        <v>0</v>
      </c>
      <c r="PR39" s="5">
        <f>IF(ISERROR(LOOKUP(PR$1,$S39:$HK39,csv!$L39:$HD39)),NA(),LOOKUP(PR$1,$S39:$HK39,csv!$L39:$HD39))</f>
        <v>0</v>
      </c>
      <c r="PS39" s="5">
        <f>IF(ISERROR(LOOKUP(PS$1,$S39:$HK39,csv!$L39:$HD39)),NA(),LOOKUP(PS$1,$S39:$HK39,csv!$L39:$HD39))</f>
        <v>0</v>
      </c>
      <c r="PT39" s="5">
        <f>IF(ISERROR(LOOKUP(PT$1,$S39:$HK39,csv!$L39:$HD39)),NA(),LOOKUP(PT$1,$S39:$HK39,csv!$L39:$HD39))</f>
        <v>0</v>
      </c>
      <c r="PU39" s="5">
        <f>IF(ISERROR(LOOKUP(PU$1,$S39:$HK39,csv!$L39:$HD39)),NA(),LOOKUP(PU$1,$S39:$HK39,csv!$L39:$HD39))</f>
        <v>0</v>
      </c>
      <c r="PV39" s="5">
        <f>IF(ISERROR(LOOKUP(PV$1,$S39:$HK39,csv!$L39:$HD39)),NA(),LOOKUP(PV$1,$S39:$HK39,csv!$L39:$HD39))</f>
        <v>0</v>
      </c>
      <c r="PW39" s="5">
        <f>IF(ISERROR(LOOKUP(PW$1,$S39:$HK39,csv!$L39:$HD39)),NA(),LOOKUP(PW$1,$S39:$HK39,csv!$L39:$HD39))</f>
        <v>0</v>
      </c>
      <c r="PX39" s="5">
        <f>IF(ISERROR(LOOKUP(PX$1,$S39:$HK39,csv!$L39:$HD39)),NA(),LOOKUP(PX$1,$S39:$HK39,csv!$L39:$HD39))</f>
        <v>0</v>
      </c>
      <c r="PY39" s="5">
        <f>IF(ISERROR(LOOKUP(PY$1,$S39:$HK39,csv!$L39:$HD39)),NA(),LOOKUP(PY$1,$S39:$HK39,csv!$L39:$HD39))</f>
        <v>0</v>
      </c>
      <c r="PZ39" s="5">
        <f>IF(ISERROR(LOOKUP(PZ$1,$S39:$HK39,csv!$L39:$HD39)),NA(),LOOKUP(PZ$1,$S39:$HK39,csv!$L39:$HD39))</f>
        <v>0</v>
      </c>
      <c r="QA39" s="5">
        <f>IF(ISERROR(LOOKUP(QA$1,$S39:$HK39,csv!$L39:$HD39)),NA(),LOOKUP(QA$1,$S39:$HK39,csv!$L39:$HD39))</f>
        <v>0</v>
      </c>
      <c r="QB39" s="5">
        <f>IF(ISERROR(LOOKUP(QB$1,$S39:$HK39,csv!$L39:$HD39)),NA(),LOOKUP(QB$1,$S39:$HK39,csv!$L39:$HD39))</f>
        <v>0</v>
      </c>
      <c r="QC39" s="5">
        <f>IF(ISERROR(LOOKUP(QC$1,$S39:$HK39,csv!$L39:$HD39)),NA(),LOOKUP(QC$1,$S39:$HK39,csv!$L39:$HD39))</f>
        <v>0</v>
      </c>
      <c r="QD39" s="5">
        <f>IF(ISERROR(LOOKUP(QD$1,$S39:$HK39,csv!$L39:$HD39)),NA(),LOOKUP(QD$1,$S39:$HK39,csv!$L39:$HD39))</f>
        <v>0</v>
      </c>
      <c r="QE39" s="5">
        <f>IF(ISERROR(LOOKUP(QE$1,$S39:$HK39,csv!$L39:$HD39)),NA(),LOOKUP(QE$1,$S39:$HK39,csv!$L39:$HD39))</f>
        <v>0</v>
      </c>
      <c r="QF39" s="5">
        <f>IF(ISERROR(LOOKUP(QF$1,$S39:$HK39,csv!$L39:$HD39)),NA(),LOOKUP(QF$1,$S39:$HK39,csv!$L39:$HD39))</f>
        <v>0</v>
      </c>
      <c r="QG39" s="5">
        <f>IF(ISERROR(LOOKUP(QG$1,$S39:$HK39,csv!$L39:$HD39)),NA(),LOOKUP(QG$1,$S39:$HK39,csv!$L39:$HD39))</f>
        <v>0</v>
      </c>
      <c r="QH39" s="5">
        <f>IF(ISERROR(LOOKUP(QH$1,$S39:$HK39,csv!$L39:$HD39)),NA(),LOOKUP(QH$1,$S39:$HK39,csv!$L39:$HD39))</f>
        <v>0</v>
      </c>
      <c r="QI39" s="5">
        <f>IF(ISERROR(LOOKUP(QI$1,$S39:$HK39,csv!$L39:$HD39)),NA(),LOOKUP(QI$1,$S39:$HK39,csv!$L39:$HD39))</f>
        <v>0</v>
      </c>
      <c r="QJ39" s="5">
        <f>IF(ISERROR(LOOKUP(QJ$1,$S39:$HK39,csv!$L39:$HD39)),NA(),LOOKUP(QJ$1,$S39:$HK39,csv!$L39:$HD39))</f>
        <v>0</v>
      </c>
      <c r="QK39" s="5">
        <f>IF(ISERROR(LOOKUP(QK$1,$S39:$HK39,csv!$L39:$HD39)),NA(),LOOKUP(QK$1,$S39:$HK39,csv!$L39:$HD39))</f>
        <v>0</v>
      </c>
      <c r="QL39" s="5">
        <f>IF(ISERROR(LOOKUP(QL$1,$S39:$HK39,csv!$L39:$HD39)),NA(),LOOKUP(QL$1,$S39:$HK39,csv!$L39:$HD39))</f>
        <v>0</v>
      </c>
      <c r="QM39" s="5">
        <f>IF(ISERROR(LOOKUP(QM$1,$S39:$HK39,csv!$L39:$HD39)),NA(),LOOKUP(QM$1,$S39:$HK39,csv!$L39:$HD39))</f>
        <v>0</v>
      </c>
      <c r="QN39" s="5">
        <f>IF(ISERROR(LOOKUP(QN$1,$S39:$HK39,csv!$L39:$HD39)),NA(),LOOKUP(QN$1,$S39:$HK39,csv!$L39:$HD39))</f>
        <v>0</v>
      </c>
      <c r="QO39" s="5">
        <f>IF(ISERROR(LOOKUP(QO$1,$S39:$HK39,csv!$L39:$HD39)),NA(),LOOKUP(QO$1,$S39:$HK39,csv!$L39:$HD39))</f>
        <v>0</v>
      </c>
      <c r="QP39" s="5">
        <f>IF(ISERROR(LOOKUP(QP$1,$S39:$HK39,csv!$L39:$HD39)),NA(),LOOKUP(QP$1,$S39:$HK39,csv!$L39:$HD39))</f>
        <v>0</v>
      </c>
      <c r="QQ39" s="5">
        <f>IF(ISERROR(LOOKUP(QQ$1,$S39:$HK39,csv!$L39:$HD39)),NA(),LOOKUP(QQ$1,$S39:$HK39,csv!$L39:$HD39))</f>
        <v>0</v>
      </c>
      <c r="QR39" s="5">
        <f>IF(ISERROR(LOOKUP(QR$1,$S39:$HK39,csv!$L39:$HD39)),NA(),LOOKUP(QR$1,$S39:$HK39,csv!$L39:$HD39))</f>
        <v>0</v>
      </c>
      <c r="QS39" s="5">
        <f>IF(ISERROR(LOOKUP(QS$1,$S39:$HK39,csv!$L39:$HD39)),NA(),LOOKUP(QS$1,$S39:$HK39,csv!$L39:$HD39))</f>
        <v>0</v>
      </c>
      <c r="QT39" s="5">
        <f>IF(ISERROR(LOOKUP(QT$1,$S39:$HK39,csv!$L39:$HD39)),NA(),LOOKUP(QT$1,$S39:$HK39,csv!$L39:$HD39))</f>
        <v>0</v>
      </c>
      <c r="QU39" s="5">
        <f>IF(ISERROR(LOOKUP(QU$1,$S39:$HK39,csv!$L39:$HD39)),NA(),LOOKUP(QU$1,$S39:$HK39,csv!$L39:$HD39))</f>
        <v>0</v>
      </c>
      <c r="QV39" s="5">
        <f>IF(ISERROR(LOOKUP(QV$1,$S39:$HK39,csv!$L39:$HD39)),NA(),LOOKUP(QV$1,$S39:$HK39,csv!$L39:$HD39))</f>
        <v>0</v>
      </c>
      <c r="QW39" s="5">
        <f>IF(ISERROR(LOOKUP(QW$1,$S39:$HK39,csv!$L39:$HD39)),NA(),LOOKUP(QW$1,$S39:$HK39,csv!$L39:$HD39))</f>
        <v>0</v>
      </c>
      <c r="QX39" s="5">
        <f>IF(ISERROR(LOOKUP(QX$1,$S39:$HK39,csv!$L39:$HD39)),NA(),LOOKUP(QX$1,$S39:$HK39,csv!$L39:$HD39))</f>
        <v>0</v>
      </c>
      <c r="QY39" s="5">
        <f>IF(ISERROR(LOOKUP(QY$1,$S39:$HK39,csv!$L39:$HD39)),NA(),LOOKUP(QY$1,$S39:$HK39,csv!$L39:$HD39))</f>
        <v>0</v>
      </c>
      <c r="QZ39" s="5">
        <f>IF(ISERROR(LOOKUP(QZ$1,$S39:$HK39,csv!$L39:$HD39)),NA(),LOOKUP(QZ$1,$S39:$HK39,csv!$L39:$HD39))</f>
        <v>0</v>
      </c>
      <c r="RA39" s="5">
        <f>IF(ISERROR(LOOKUP(RA$1,$S39:$HK39,csv!$L39:$HD39)),NA(),LOOKUP(RA$1,$S39:$HK39,csv!$L39:$HD39))</f>
        <v>0</v>
      </c>
      <c r="RB39" s="5">
        <f>IF(ISERROR(LOOKUP(RB$1,$S39:$HK39,csv!$L39:$HD39)),NA(),LOOKUP(RB$1,$S39:$HK39,csv!$L39:$HD39))</f>
        <v>0</v>
      </c>
      <c r="RC39" s="5">
        <f>IF(ISERROR(LOOKUP(RC$1,$S39:$HK39,csv!$L39:$HD39)),NA(),LOOKUP(RC$1,$S39:$HK39,csv!$L39:$HD39))</f>
        <v>0</v>
      </c>
      <c r="RD39" s="5">
        <f>IF(ISERROR(LOOKUP(RD$1,$S39:$HK39,csv!$L39:$HD39)),NA(),LOOKUP(RD$1,$S39:$HK39,csv!$L39:$HD39))</f>
        <v>0</v>
      </c>
      <c r="RE39" s="5">
        <f>IF(ISERROR(LOOKUP(RE$1,$S39:$HK39,csv!$L39:$HD39)),NA(),LOOKUP(RE$1,$S39:$HK39,csv!$L39:$HD39))</f>
        <v>0</v>
      </c>
      <c r="RF39" s="5">
        <f>IF(ISERROR(LOOKUP(RF$1,$S39:$HK39,csv!$L39:$HD39)),NA(),LOOKUP(RF$1,$S39:$HK39,csv!$L39:$HD39))</f>
        <v>0</v>
      </c>
      <c r="RG39" s="5">
        <f>IF(ISERROR(LOOKUP(RG$1,$S39:$HK39,csv!$L39:$HD39)),NA(),LOOKUP(RG$1,$S39:$HK39,csv!$L39:$HD39))</f>
        <v>0</v>
      </c>
      <c r="RH39" s="5">
        <f>IF(ISERROR(LOOKUP(RH$1,$S39:$HK39,csv!$L39:$HD39)),NA(),LOOKUP(RH$1,$S39:$HK39,csv!$L39:$HD39))</f>
        <v>0</v>
      </c>
      <c r="RI39" s="5">
        <f>IF(ISERROR(LOOKUP(RI$1,$S39:$HK39,csv!$L39:$HD39)),NA(),LOOKUP(RI$1,$S39:$HK39,csv!$L39:$HD39))</f>
        <v>0</v>
      </c>
      <c r="RJ39" s="5">
        <f>IF(ISERROR(LOOKUP(RJ$1,$S39:$HK39,csv!$L39:$HD39)),NA(),LOOKUP(RJ$1,$S39:$HK39,csv!$L39:$HD39))</f>
        <v>0</v>
      </c>
      <c r="RK39" s="5">
        <f>IF(ISERROR(LOOKUP(RK$1,$S39:$HK39,csv!$L39:$HD39)),NA(),LOOKUP(RK$1,$S39:$HK39,csv!$L39:$HD39))</f>
        <v>0</v>
      </c>
      <c r="RL39" s="5">
        <f>IF(ISERROR(LOOKUP(RL$1,$S39:$HK39,csv!$L39:$HD39)),NA(),LOOKUP(RL$1,$S39:$HK39,csv!$L39:$HD39))</f>
        <v>0</v>
      </c>
      <c r="RM39" s="5">
        <f>IF(ISERROR(LOOKUP(RM$1,$S39:$HK39,csv!$L39:$HD39)),NA(),LOOKUP(RM$1,$S39:$HK39,csv!$L39:$HD39))</f>
        <v>0</v>
      </c>
      <c r="RN39" s="5">
        <f>IF(ISERROR(LOOKUP(RN$1,$S39:$HK39,csv!$L39:$HD39)),NA(),LOOKUP(RN$1,$S39:$HK39,csv!$L39:$HD39))</f>
        <v>0</v>
      </c>
      <c r="RO39" s="5">
        <f>IF(ISERROR(LOOKUP(RO$1,$S39:$HK39,csv!$L39:$HD39)),NA(),LOOKUP(RO$1,$S39:$HK39,csv!$L39:$HD39))</f>
        <v>0</v>
      </c>
      <c r="RP39" s="5">
        <f>IF(ISERROR(LOOKUP(RP$1,$S39:$HK39,csv!$L39:$HD39)),NA(),LOOKUP(RP$1,$S39:$HK39,csv!$L39:$HD39))</f>
        <v>0</v>
      </c>
      <c r="RQ39" s="5">
        <f>IF(ISERROR(LOOKUP(RQ$1,$S39:$HK39,csv!$L39:$HD39)),NA(),LOOKUP(RQ$1,$S39:$HK39,csv!$L39:$HD39))</f>
        <v>0</v>
      </c>
      <c r="RR39" s="5">
        <f>IF(ISERROR(LOOKUP(RR$1,$S39:$HK39,csv!$L39:$HD39)),NA(),LOOKUP(RR$1,$S39:$HK39,csv!$L39:$HD39))</f>
        <v>0</v>
      </c>
      <c r="RS39" s="5">
        <f>IF(ISERROR(LOOKUP(RS$1,$S39:$HK39,csv!$L39:$HD39)),NA(),LOOKUP(RS$1,$S39:$HK39,csv!$L39:$HD39))</f>
        <v>0</v>
      </c>
      <c r="RT39" s="5">
        <f>IF(ISERROR(LOOKUP(RT$1,$S39:$HK39,csv!$L39:$HD39)),NA(),LOOKUP(RT$1,$S39:$HK39,csv!$L39:$HD39))</f>
        <v>0</v>
      </c>
      <c r="RU39" s="5">
        <f>IF(ISERROR(LOOKUP(RU$1,$S39:$HK39,csv!$L39:$HD39)),NA(),LOOKUP(RU$1,$S39:$HK39,csv!$L39:$HD39))</f>
        <v>0</v>
      </c>
      <c r="RV39" s="5">
        <f>IF(ISERROR(LOOKUP(RV$1,$S39:$HK39,csv!$L39:$HD39)),NA(),LOOKUP(RV$1,$S39:$HK39,csv!$L39:$HD39))</f>
        <v>0</v>
      </c>
      <c r="RW39" s="5">
        <f>IF(ISERROR(LOOKUP(RW$1,$S39:$HK39,csv!$L39:$HD39)),NA(),LOOKUP(RW$1,$S39:$HK39,csv!$L39:$HD39))</f>
        <v>0</v>
      </c>
      <c r="RX39" s="5">
        <f>IF(ISERROR(LOOKUP(RX$1,$S39:$HK39,csv!$L39:$HD39)),NA(),LOOKUP(RX$1,$S39:$HK39,csv!$L39:$HD39))</f>
        <v>0</v>
      </c>
      <c r="RY39" s="5">
        <f>IF(ISERROR(LOOKUP(RY$1,$S39:$HK39,csv!$L39:$HD39)),NA(),LOOKUP(RY$1,$S39:$HK39,csv!$L39:$HD39))</f>
        <v>0</v>
      </c>
      <c r="RZ39" s="5">
        <f>IF(ISERROR(LOOKUP(RZ$1,$S39:$HK39,csv!$L39:$HD39)),NA(),LOOKUP(RZ$1,$S39:$HK39,csv!$L39:$HD39))</f>
        <v>0</v>
      </c>
      <c r="SA39" s="5">
        <f>IF(ISERROR(LOOKUP(SA$1,$S39:$HK39,csv!$L39:$HD39)),NA(),LOOKUP(SA$1,$S39:$HK39,csv!$L39:$HD39))</f>
        <v>0</v>
      </c>
      <c r="SB39" s="5">
        <f>IF(ISERROR(LOOKUP(SB$1,$S39:$HK39,csv!$L39:$HD39)),NA(),LOOKUP(SB$1,$S39:$HK39,csv!$L39:$HD39))</f>
        <v>0</v>
      </c>
      <c r="SC39" s="5">
        <f>IF(ISERROR(LOOKUP(SC$1,$S39:$HK39,csv!$L39:$HD39)),NA(),LOOKUP(SC$1,$S39:$HK39,csv!$L39:$HD39))</f>
        <v>0</v>
      </c>
      <c r="SD39" s="5">
        <f>IF(ISERROR(LOOKUP(SD$1,$S39:$HK39,csv!$L39:$HD39)),NA(),LOOKUP(SD$1,$S39:$HK39,csv!$L39:$HD39))</f>
        <v>0</v>
      </c>
      <c r="SE39" s="5">
        <f>IF(ISERROR(LOOKUP(SE$1,$S39:$HK39,csv!$L39:$HD39)),NA(),LOOKUP(SE$1,$S39:$HK39,csv!$L39:$HD39))</f>
        <v>0</v>
      </c>
      <c r="SF39" s="5">
        <f>IF(ISERROR(LOOKUP(SF$1,$S39:$HK39,csv!$L39:$HD39)),NA(),LOOKUP(SF$1,$S39:$HK39,csv!$L39:$HD39))</f>
        <v>0</v>
      </c>
      <c r="SG39" s="5">
        <f>IF(ISERROR(LOOKUP(SG$1,$S39:$HK39,csv!$L39:$HD39)),NA(),LOOKUP(SG$1,$S39:$HK39,csv!$L39:$HD39))</f>
        <v>0</v>
      </c>
      <c r="SH39" s="5">
        <f>IF(ISERROR(LOOKUP(SH$1,$S39:$HK39,csv!$L39:$HD39)),NA(),LOOKUP(SH$1,$S39:$HK39,csv!$L39:$HD39))</f>
        <v>0</v>
      </c>
      <c r="SI39" s="5">
        <f>IF(ISERROR(LOOKUP(SI$1,$S39:$HK39,csv!$L39:$HD39)),NA(),LOOKUP(SI$1,$S39:$HK39,csv!$L39:$HD39))</f>
        <v>0</v>
      </c>
      <c r="SJ39" s="5">
        <f>IF(ISERROR(LOOKUP(SJ$1,$S39:$HK39,csv!$L39:$HD39)),NA(),LOOKUP(SJ$1,$S39:$HK39,csv!$L39:$HD39))</f>
        <v>0</v>
      </c>
      <c r="SK39" s="5">
        <f>IF(ISERROR(LOOKUP(SK$1,$S39:$HK39,csv!$L39:$HD39)),NA(),LOOKUP(SK$1,$S39:$HK39,csv!$L39:$HD39))</f>
        <v>0</v>
      </c>
      <c r="SL39" s="5">
        <f>IF(ISERROR(LOOKUP(SL$1,$S39:$HK39,csv!$L39:$HD39)),NA(),LOOKUP(SL$1,$S39:$HK39,csv!$L39:$HD39))</f>
        <v>0</v>
      </c>
      <c r="SM39" s="5">
        <f>IF(ISERROR(LOOKUP(SM$1,$S39:$HK39,csv!$L39:$HD39)),NA(),LOOKUP(SM$1,$S39:$HK39,csv!$L39:$HD39))</f>
        <v>0</v>
      </c>
      <c r="SN39" s="5">
        <f>IF(ISERROR(LOOKUP(SN$1,$S39:$HK39,csv!$L39:$HD39)),NA(),LOOKUP(SN$1,$S39:$HK39,csv!$L39:$HD39))</f>
        <v>0</v>
      </c>
      <c r="SO39" s="5">
        <f>IF(ISERROR(LOOKUP(SO$1,$S39:$HK39,csv!$L39:$HD39)),NA(),LOOKUP(SO$1,$S39:$HK39,csv!$L39:$HD39))</f>
        <v>0</v>
      </c>
      <c r="SP39" s="5">
        <f>IF(ISERROR(LOOKUP(SP$1,$S39:$HK39,csv!$L39:$HD39)),NA(),LOOKUP(SP$1,$S39:$HK39,csv!$L39:$HD39))</f>
        <v>0</v>
      </c>
      <c r="SQ39" s="5">
        <f>IF(ISERROR(LOOKUP(SQ$1,$S39:$HK39,csv!$L39:$HD39)),NA(),LOOKUP(SQ$1,$S39:$HK39,csv!$L39:$HD39))</f>
        <v>0</v>
      </c>
      <c r="SR39" s="5">
        <f>IF(ISERROR(LOOKUP(SR$1,$S39:$HK39,csv!$L39:$HD39)),NA(),LOOKUP(SR$1,$S39:$HK39,csv!$L39:$HD39))</f>
        <v>0</v>
      </c>
      <c r="SS39" s="5">
        <f>IF(ISERROR(LOOKUP(SS$1,$S39:$HK39,csv!$L39:$HD39)),NA(),LOOKUP(SS$1,$S39:$HK39,csv!$L39:$HD39))</f>
        <v>0</v>
      </c>
      <c r="ST39" s="5">
        <f>IF(ISERROR(LOOKUP(ST$1,$S39:$HK39,csv!$L39:$HD39)),NA(),LOOKUP(ST$1,$S39:$HK39,csv!$L39:$HD39))</f>
        <v>0</v>
      </c>
      <c r="SU39" s="5">
        <f>IF(ISERROR(LOOKUP(SU$1,$S39:$HK39,csv!$L39:$HD39)),NA(),LOOKUP(SU$1,$S39:$HK39,csv!$L39:$HD39))</f>
        <v>0</v>
      </c>
      <c r="SV39" s="5">
        <f>IF(ISERROR(LOOKUP(SV$1,$S39:$HK39,csv!$L39:$HD39)),NA(),LOOKUP(SV$1,$S39:$HK39,csv!$L39:$HD39))</f>
        <v>0</v>
      </c>
      <c r="SW39" s="5">
        <f>IF(ISERROR(LOOKUP(SW$1,$S39:$HK39,csv!$L39:$HD39)),NA(),LOOKUP(SW$1,$S39:$HK39,csv!$L39:$HD39))</f>
        <v>0</v>
      </c>
      <c r="SX39" s="5">
        <f>IF(ISERROR(LOOKUP(SX$1,$S39:$HK39,csv!$L39:$HD39)),NA(),LOOKUP(SX$1,$S39:$HK39,csv!$L39:$HD39))</f>
        <v>0</v>
      </c>
      <c r="SY39" s="5">
        <f>IF(ISERROR(LOOKUP(SY$1,$S39:$HK39,csv!$L39:$HD39)),NA(),LOOKUP(SY$1,$S39:$HK39,csv!$L39:$HD39))</f>
        <v>0</v>
      </c>
      <c r="SZ39" s="5">
        <f>IF(ISERROR(LOOKUP(SZ$1,$S39:$HK39,csv!$L39:$HD39)),NA(),LOOKUP(SZ$1,$S39:$HK39,csv!$L39:$HD39))</f>
        <v>0</v>
      </c>
      <c r="TA39" s="5">
        <f>IF(ISERROR(LOOKUP(TA$1,$S39:$HK39,csv!$L39:$HD39)),NA(),LOOKUP(TA$1,$S39:$HK39,csv!$L39:$HD39))</f>
        <v>0</v>
      </c>
      <c r="TB39" s="5">
        <f>IF(ISERROR(LOOKUP(TB$1,$S39:$HK39,csv!$L39:$HD39)),NA(),LOOKUP(TB$1,$S39:$HK39,csv!$L39:$HD39))</f>
        <v>0</v>
      </c>
      <c r="TD39">
        <f>csv!HG39/10</f>
        <v>0</v>
      </c>
    </row>
    <row r="40" spans="19:525" x14ac:dyDescent="0.15">
      <c r="S40" s="4">
        <f>ROUND((csv!$HG40/10+calc!S$1),1)</f>
        <v>-10</v>
      </c>
      <c r="T40" s="4">
        <f>ROUND((csv!$HG40/10+calc!T$1),1)</f>
        <v>-9.9</v>
      </c>
      <c r="U40" s="4">
        <f>ROUND((csv!$HG40/10+calc!U$1),1)</f>
        <v>-9.8000000000000007</v>
      </c>
      <c r="V40" s="4">
        <f>ROUND((csv!$HG40/10+calc!V$1),1)</f>
        <v>-9.6999999999999993</v>
      </c>
      <c r="W40" s="4">
        <f>ROUND((csv!$HG40/10+calc!W$1),1)</f>
        <v>-9.6</v>
      </c>
      <c r="X40" s="4">
        <f>ROUND((csv!$HG40/10+calc!X$1),1)</f>
        <v>-9.5</v>
      </c>
      <c r="Y40" s="4">
        <f>ROUND((csv!$HG40/10+calc!Y$1),1)</f>
        <v>-9.4</v>
      </c>
      <c r="Z40" s="4">
        <f>ROUND((csv!$HG40/10+calc!Z$1),1)</f>
        <v>-9.3000000000000007</v>
      </c>
      <c r="AA40" s="4">
        <f>ROUND((csv!$HG40/10+calc!AA$1),1)</f>
        <v>-9.1999999999999993</v>
      </c>
      <c r="AB40" s="4">
        <f>ROUND((csv!$HG40/10+calc!AB$1),1)</f>
        <v>-9.1</v>
      </c>
      <c r="AC40" s="4">
        <f>ROUND((csv!$HG40/10+calc!AC$1),1)</f>
        <v>-9</v>
      </c>
      <c r="AD40" s="4">
        <f>ROUND((csv!$HG40/10+calc!AD$1),1)</f>
        <v>-8.9</v>
      </c>
      <c r="AE40" s="4">
        <f>ROUND((csv!$HG40/10+calc!AE$1),1)</f>
        <v>-8.8000000000000007</v>
      </c>
      <c r="AF40" s="4">
        <f>ROUND((csv!$HG40/10+calc!AF$1),1)</f>
        <v>-8.6999999999999993</v>
      </c>
      <c r="AG40" s="4">
        <f>ROUND((csv!$HG40/10+calc!AG$1),1)</f>
        <v>-8.6</v>
      </c>
      <c r="AH40" s="4">
        <f>ROUND((csv!$HG40/10+calc!AH$1),1)</f>
        <v>-8.5</v>
      </c>
      <c r="AI40" s="4">
        <f>ROUND((csv!$HG40/10+calc!AI$1),1)</f>
        <v>-8.4</v>
      </c>
      <c r="AJ40" s="4">
        <f>ROUND((csv!$HG40/10+calc!AJ$1),1)</f>
        <v>-8.3000000000000007</v>
      </c>
      <c r="AK40" s="4">
        <f>ROUND((csv!$HG40/10+calc!AK$1),1)</f>
        <v>-8.1999999999999993</v>
      </c>
      <c r="AL40" s="4">
        <f>ROUND((csv!$HG40/10+calc!AL$1),1)</f>
        <v>-8.1</v>
      </c>
      <c r="AM40" s="4">
        <f>ROUND((csv!$HG40/10+calc!AM$1),1)</f>
        <v>-8</v>
      </c>
      <c r="AN40" s="4">
        <f>ROUND((csv!$HG40/10+calc!AN$1),1)</f>
        <v>-7.9</v>
      </c>
      <c r="AO40" s="4">
        <f>ROUND((csv!$HG40/10+calc!AO$1),1)</f>
        <v>-7.8</v>
      </c>
      <c r="AP40" s="4">
        <f>ROUND((csv!$HG40/10+calc!AP$1),1)</f>
        <v>-7.7</v>
      </c>
      <c r="AQ40" s="4">
        <f>ROUND((csv!$HG40/10+calc!AQ$1),1)</f>
        <v>-7.6</v>
      </c>
      <c r="AR40" s="4">
        <f>ROUND((csv!$HG40/10+calc!AR$1),1)</f>
        <v>-7.5</v>
      </c>
      <c r="AS40" s="4">
        <f>ROUND((csv!$HG40/10+calc!AS$1),1)</f>
        <v>-7.4</v>
      </c>
      <c r="AT40" s="4">
        <f>ROUND((csv!$HG40/10+calc!AT$1),1)</f>
        <v>-7.3</v>
      </c>
      <c r="AU40" s="4">
        <f>ROUND((csv!$HG40/10+calc!AU$1),1)</f>
        <v>-7.2</v>
      </c>
      <c r="AV40" s="4">
        <f>ROUND((csv!$HG40/10+calc!AV$1),1)</f>
        <v>-7.1</v>
      </c>
      <c r="AW40" s="4">
        <f>ROUND((csv!$HG40/10+calc!AW$1),1)</f>
        <v>-7</v>
      </c>
      <c r="AX40" s="4">
        <f>ROUND((csv!$HG40/10+calc!AX$1),1)</f>
        <v>-6.9</v>
      </c>
      <c r="AY40" s="4">
        <f>ROUND((csv!$HG40/10+calc!AY$1),1)</f>
        <v>-6.8</v>
      </c>
      <c r="AZ40" s="4">
        <f>ROUND((csv!$HG40/10+calc!AZ$1),1)</f>
        <v>-6.7</v>
      </c>
      <c r="BA40" s="4">
        <f>ROUND((csv!$HG40/10+calc!BA$1),1)</f>
        <v>-6.6</v>
      </c>
      <c r="BB40" s="4">
        <f>ROUND((csv!$HG40/10+calc!BB$1),1)</f>
        <v>-6.5</v>
      </c>
      <c r="BC40" s="4">
        <f>ROUND((csv!$HG40/10+calc!BC$1),1)</f>
        <v>-6.4</v>
      </c>
      <c r="BD40" s="4">
        <f>ROUND((csv!$HG40/10+calc!BD$1),1)</f>
        <v>-6.3</v>
      </c>
      <c r="BE40" s="4">
        <f>ROUND((csv!$HG40/10+calc!BE$1),1)</f>
        <v>-6.2</v>
      </c>
      <c r="BF40" s="4">
        <f>ROUND((csv!$HG40/10+calc!BF$1),1)</f>
        <v>-6.1</v>
      </c>
      <c r="BG40" s="4">
        <f>ROUND((csv!$HG40/10+calc!BG$1),1)</f>
        <v>-6</v>
      </c>
      <c r="BH40" s="4">
        <f>ROUND((csv!$HG40/10+calc!BH$1),1)</f>
        <v>-5.9</v>
      </c>
      <c r="BI40" s="4">
        <f>ROUND((csv!$HG40/10+calc!BI$1),1)</f>
        <v>-5.8</v>
      </c>
      <c r="BJ40" s="4">
        <f>ROUND((csv!$HG40/10+calc!BJ$1),1)</f>
        <v>-5.7</v>
      </c>
      <c r="BK40" s="4">
        <f>ROUND((csv!$HG40/10+calc!BK$1),1)</f>
        <v>-5.6</v>
      </c>
      <c r="BL40" s="4">
        <f>ROUND((csv!$HG40/10+calc!BL$1),1)</f>
        <v>-5.5</v>
      </c>
      <c r="BM40" s="4">
        <f>ROUND((csv!$HG40/10+calc!BM$1),1)</f>
        <v>-5.4</v>
      </c>
      <c r="BN40" s="4">
        <f>ROUND((csv!$HG40/10+calc!BN$1),1)</f>
        <v>-5.3</v>
      </c>
      <c r="BO40" s="4">
        <f>ROUND((csv!$HG40/10+calc!BO$1),1)</f>
        <v>-5.2</v>
      </c>
      <c r="BP40" s="4">
        <f>ROUND((csv!$HG40/10+calc!BP$1),1)</f>
        <v>-5.0999999999999996</v>
      </c>
      <c r="BQ40" s="4">
        <f>ROUND((csv!$HG40/10+calc!BQ$1),1)</f>
        <v>-5</v>
      </c>
      <c r="BR40" s="4">
        <f>ROUND((csv!$HG40/10+calc!BR$1),1)</f>
        <v>-4.9000000000000004</v>
      </c>
      <c r="BS40" s="4">
        <f>ROUND((csv!$HG40/10+calc!BS$1),1)</f>
        <v>-4.8</v>
      </c>
      <c r="BT40" s="4">
        <f>ROUND((csv!$HG40/10+calc!BT$1),1)</f>
        <v>-4.7</v>
      </c>
      <c r="BU40" s="4">
        <f>ROUND((csv!$HG40/10+calc!BU$1),1)</f>
        <v>-4.5999999999999996</v>
      </c>
      <c r="BV40" s="4">
        <f>ROUND((csv!$HG40/10+calc!BV$1),1)</f>
        <v>-4.5</v>
      </c>
      <c r="BW40" s="4">
        <f>ROUND((csv!$HG40/10+calc!BW$1),1)</f>
        <v>-4.4000000000000004</v>
      </c>
      <c r="BX40" s="4">
        <f>ROUND((csv!$HG40/10+calc!BX$1),1)</f>
        <v>-4.3</v>
      </c>
      <c r="BY40" s="4">
        <f>ROUND((csv!$HG40/10+calc!BY$1),1)</f>
        <v>-4.2</v>
      </c>
      <c r="BZ40" s="4">
        <f>ROUND((csv!$HG40/10+calc!BZ$1),1)</f>
        <v>-4.0999999999999996</v>
      </c>
      <c r="CA40" s="4">
        <f>ROUND((csv!$HG40/10+calc!CA$1),1)</f>
        <v>-4</v>
      </c>
      <c r="CB40" s="4">
        <f>ROUND((csv!$HG40/10+calc!CB$1),1)</f>
        <v>-3.9</v>
      </c>
      <c r="CC40" s="4">
        <f>ROUND((csv!$HG40/10+calc!CC$1),1)</f>
        <v>-3.8</v>
      </c>
      <c r="CD40" s="4">
        <f>ROUND((csv!$HG40/10+calc!CD$1),1)</f>
        <v>-3.7</v>
      </c>
      <c r="CE40" s="4">
        <f>ROUND((csv!$HG40/10+calc!CE$1),1)</f>
        <v>-3.6</v>
      </c>
      <c r="CF40" s="4">
        <f>ROUND((csv!$HG40/10+calc!CF$1),1)</f>
        <v>-3.5</v>
      </c>
      <c r="CG40" s="4">
        <f>ROUND((csv!$HG40/10+calc!CG$1),1)</f>
        <v>-3.4</v>
      </c>
      <c r="CH40" s="4">
        <f>ROUND((csv!$HG40/10+calc!CH$1),1)</f>
        <v>-3.3</v>
      </c>
      <c r="CI40" s="4">
        <f>ROUND((csv!$HG40/10+calc!CI$1),1)</f>
        <v>-3.2</v>
      </c>
      <c r="CJ40" s="4">
        <f>ROUND((csv!$HG40/10+calc!CJ$1),1)</f>
        <v>-3.1</v>
      </c>
      <c r="CK40" s="4">
        <f>ROUND((csv!$HG40/10+calc!CK$1),1)</f>
        <v>-3</v>
      </c>
      <c r="CL40" s="4">
        <f>ROUND((csv!$HG40/10+calc!CL$1),1)</f>
        <v>-2.9</v>
      </c>
      <c r="CM40" s="4">
        <f>ROUND((csv!$HG40/10+calc!CM$1),1)</f>
        <v>-2.8</v>
      </c>
      <c r="CN40" s="4">
        <f>ROUND((csv!$HG40/10+calc!CN$1),1)</f>
        <v>-2.7</v>
      </c>
      <c r="CO40" s="4">
        <f>ROUND((csv!$HG40/10+calc!CO$1),1)</f>
        <v>-2.6</v>
      </c>
      <c r="CP40" s="4">
        <f>ROUND((csv!$HG40/10+calc!CP$1),1)</f>
        <v>-2.5</v>
      </c>
      <c r="CQ40" s="4">
        <f>ROUND((csv!$HG40/10+calc!CQ$1),1)</f>
        <v>-2.4</v>
      </c>
      <c r="CR40" s="4">
        <f>ROUND((csv!$HG40/10+calc!CR$1),1)</f>
        <v>-2.2999999999999998</v>
      </c>
      <c r="CS40" s="4">
        <f>ROUND((csv!$HG40/10+calc!CS$1),1)</f>
        <v>-2.2000000000000002</v>
      </c>
      <c r="CT40" s="4">
        <f>ROUND((csv!$HG40/10+calc!CT$1),1)</f>
        <v>-2.1</v>
      </c>
      <c r="CU40" s="4">
        <f>ROUND((csv!$HG40/10+calc!CU$1),1)</f>
        <v>-2</v>
      </c>
      <c r="CV40" s="4">
        <f>ROUND((csv!$HG40/10+calc!CV$1),1)</f>
        <v>-1.9</v>
      </c>
      <c r="CW40" s="4">
        <f>ROUND((csv!$HG40/10+calc!CW$1),1)</f>
        <v>-1.8</v>
      </c>
      <c r="CX40" s="4">
        <f>ROUND((csv!$HG40/10+calc!CX$1),1)</f>
        <v>-1.7</v>
      </c>
      <c r="CY40" s="4">
        <f>ROUND((csv!$HG40/10+calc!CY$1),1)</f>
        <v>-1.6</v>
      </c>
      <c r="CZ40" s="4">
        <f>ROUND((csv!$HG40/10+calc!CZ$1),1)</f>
        <v>-1.5</v>
      </c>
      <c r="DA40" s="4">
        <f>ROUND((csv!$HG40/10+calc!DA$1),1)</f>
        <v>-1.4</v>
      </c>
      <c r="DB40" s="4">
        <f>ROUND((csv!$HG40/10+calc!DB$1),1)</f>
        <v>-1.3</v>
      </c>
      <c r="DC40" s="4">
        <f>ROUND((csv!$HG40/10+calc!DC$1),1)</f>
        <v>-1.2</v>
      </c>
      <c r="DD40" s="4">
        <f>ROUND((csv!$HG40/10+calc!DD$1),1)</f>
        <v>-1.1000000000000001</v>
      </c>
      <c r="DE40" s="4">
        <f>ROUND((csv!$HG40/10+calc!DE$1),1)</f>
        <v>-1</v>
      </c>
      <c r="DF40" s="4">
        <f>ROUND((csv!$HG40/10+calc!DF$1),1)</f>
        <v>-0.9</v>
      </c>
      <c r="DG40" s="4">
        <f>ROUND((csv!$HG40/10+calc!DG$1),1)</f>
        <v>-0.8</v>
      </c>
      <c r="DH40" s="4">
        <f>ROUND((csv!$HG40/10+calc!DH$1),1)</f>
        <v>-0.7</v>
      </c>
      <c r="DI40" s="4">
        <f>ROUND((csv!$HG40/10+calc!DI$1),1)</f>
        <v>-0.6</v>
      </c>
      <c r="DJ40" s="4">
        <f>ROUND((csv!$HG40/10+calc!DJ$1),1)</f>
        <v>-0.5</v>
      </c>
      <c r="DK40" s="4">
        <f>ROUND((csv!$HG40/10+calc!DK$1),1)</f>
        <v>-0.4</v>
      </c>
      <c r="DL40" s="4">
        <f>ROUND((csv!$HG40/10+calc!DL$1),1)</f>
        <v>-0.3</v>
      </c>
      <c r="DM40" s="4">
        <f>ROUND((csv!$HG40/10+calc!DM$1),1)</f>
        <v>-0.2</v>
      </c>
      <c r="DN40" s="4">
        <f>ROUND((csv!$HG40/10+calc!DN$1),1)</f>
        <v>-0.1</v>
      </c>
      <c r="DO40" s="4">
        <f>ROUND((csv!$HG40/10+calc!DO$1),1)</f>
        <v>0</v>
      </c>
      <c r="DP40" s="4">
        <f>ROUND((csv!$HG40/10+calc!DP$1),1)</f>
        <v>0.1</v>
      </c>
      <c r="DQ40" s="4">
        <f>ROUND((csv!$HG40/10+calc!DQ$1),1)</f>
        <v>0.2</v>
      </c>
      <c r="DR40" s="4">
        <f>ROUND((csv!$HG40/10+calc!DR$1),1)</f>
        <v>0.3</v>
      </c>
      <c r="DS40" s="4">
        <f>ROUND((csv!$HG40/10+calc!DS$1),1)</f>
        <v>0.4</v>
      </c>
      <c r="DT40" s="4">
        <f>ROUND((csv!$HG40/10+calc!DT$1),1)</f>
        <v>0.5</v>
      </c>
      <c r="DU40" s="4">
        <f>ROUND((csv!$HG40/10+calc!DU$1),1)</f>
        <v>0.6</v>
      </c>
      <c r="DV40" s="4">
        <f>ROUND((csv!$HG40/10+calc!DV$1),1)</f>
        <v>0.7</v>
      </c>
      <c r="DW40" s="4">
        <f>ROUND((csv!$HG40/10+calc!DW$1),1)</f>
        <v>0.8</v>
      </c>
      <c r="DX40" s="4">
        <f>ROUND((csv!$HG40/10+calc!DX$1),1)</f>
        <v>0.9</v>
      </c>
      <c r="DY40" s="4">
        <f>ROUND((csv!$HG40/10+calc!DY$1),1)</f>
        <v>1</v>
      </c>
      <c r="DZ40" s="4">
        <f>ROUND((csv!$HG40/10+calc!DZ$1),1)</f>
        <v>1.1000000000000001</v>
      </c>
      <c r="EA40" s="4">
        <f>ROUND((csv!$HG40/10+calc!EA$1),1)</f>
        <v>1.2</v>
      </c>
      <c r="EB40" s="4">
        <f>ROUND((csv!$HG40/10+calc!EB$1),1)</f>
        <v>1.3</v>
      </c>
      <c r="EC40" s="4">
        <f>ROUND((csv!$HG40/10+calc!EC$1),1)</f>
        <v>1.4</v>
      </c>
      <c r="ED40" s="4">
        <f>ROUND((csv!$HG40/10+calc!ED$1),1)</f>
        <v>1.5</v>
      </c>
      <c r="EE40" s="4">
        <f>ROUND((csv!$HG40/10+calc!EE$1),1)</f>
        <v>1.6</v>
      </c>
      <c r="EF40" s="4">
        <f>ROUND((csv!$HG40/10+calc!EF$1),1)</f>
        <v>1.7</v>
      </c>
      <c r="EG40" s="4">
        <f>ROUND((csv!$HG40/10+calc!EG$1),1)</f>
        <v>1.8</v>
      </c>
      <c r="EH40" s="4">
        <f>ROUND((csv!$HG40/10+calc!EH$1),1)</f>
        <v>1.9</v>
      </c>
      <c r="EI40" s="4">
        <f>ROUND((csv!$HG40/10+calc!EI$1),1)</f>
        <v>2</v>
      </c>
      <c r="EJ40" s="4">
        <f>ROUND((csv!$HG40/10+calc!EJ$1),1)</f>
        <v>2.1</v>
      </c>
      <c r="EK40" s="4">
        <f>ROUND((csv!$HG40/10+calc!EK$1),1)</f>
        <v>2.2000000000000002</v>
      </c>
      <c r="EL40" s="4">
        <f>ROUND((csv!$HG40/10+calc!EL$1),1)</f>
        <v>2.2999999999999998</v>
      </c>
      <c r="EM40" s="4">
        <f>ROUND((csv!$HG40/10+calc!EM$1),1)</f>
        <v>2.4</v>
      </c>
      <c r="EN40" s="4">
        <f>ROUND((csv!$HG40/10+calc!EN$1),1)</f>
        <v>2.5</v>
      </c>
      <c r="EO40" s="4">
        <f>ROUND((csv!$HG40/10+calc!EO$1),1)</f>
        <v>2.6</v>
      </c>
      <c r="EP40" s="4">
        <f>ROUND((csv!$HG40/10+calc!EP$1),1)</f>
        <v>2.7</v>
      </c>
      <c r="EQ40" s="4">
        <f>ROUND((csv!$HG40/10+calc!EQ$1),1)</f>
        <v>2.8</v>
      </c>
      <c r="ER40" s="4">
        <f>ROUND((csv!$HG40/10+calc!ER$1),1)</f>
        <v>2.9</v>
      </c>
      <c r="ES40" s="4">
        <f>ROUND((csv!$HG40/10+calc!ES$1),1)</f>
        <v>3</v>
      </c>
      <c r="ET40" s="4">
        <f>ROUND((csv!$HG40/10+calc!ET$1),1)</f>
        <v>3.1</v>
      </c>
      <c r="EU40" s="4">
        <f>ROUND((csv!$HG40/10+calc!EU$1),1)</f>
        <v>3.2</v>
      </c>
      <c r="EV40" s="4">
        <f>ROUND((csv!$HG40/10+calc!EV$1),1)</f>
        <v>3.3</v>
      </c>
      <c r="EW40" s="4">
        <f>ROUND((csv!$HG40/10+calc!EW$1),1)</f>
        <v>3.4</v>
      </c>
      <c r="EX40" s="4">
        <f>ROUND((csv!$HG40/10+calc!EX$1),1)</f>
        <v>3.5</v>
      </c>
      <c r="EY40" s="4">
        <f>ROUND((csv!$HG40/10+calc!EY$1),1)</f>
        <v>3.6</v>
      </c>
      <c r="EZ40" s="4">
        <f>ROUND((csv!$HG40/10+calc!EZ$1),1)</f>
        <v>3.7</v>
      </c>
      <c r="FA40" s="4">
        <f>ROUND((csv!$HG40/10+calc!FA$1),1)</f>
        <v>3.8</v>
      </c>
      <c r="FB40" s="4">
        <f>ROUND((csv!$HG40/10+calc!FB$1),1)</f>
        <v>3.9</v>
      </c>
      <c r="FC40" s="4">
        <f>ROUND((csv!$HG40/10+calc!FC$1),1)</f>
        <v>4</v>
      </c>
      <c r="FD40" s="4">
        <f>ROUND((csv!$HG40/10+calc!FD$1),1)</f>
        <v>4.0999999999999996</v>
      </c>
      <c r="FE40" s="4">
        <f>ROUND((csv!$HG40/10+calc!FE$1),1)</f>
        <v>4.2</v>
      </c>
      <c r="FF40" s="4">
        <f>ROUND((csv!$HG40/10+calc!FF$1),1)</f>
        <v>4.3</v>
      </c>
      <c r="FG40" s="4">
        <f>ROUND((csv!$HG40/10+calc!FG$1),1)</f>
        <v>4.4000000000000004</v>
      </c>
      <c r="FH40" s="4">
        <f>ROUND((csv!$HG40/10+calc!FH$1),1)</f>
        <v>4.5</v>
      </c>
      <c r="FI40" s="4">
        <f>ROUND((csv!$HG40/10+calc!FI$1),1)</f>
        <v>4.5999999999999996</v>
      </c>
      <c r="FJ40" s="4">
        <f>ROUND((csv!$HG40/10+calc!FJ$1),1)</f>
        <v>4.7</v>
      </c>
      <c r="FK40" s="4">
        <f>ROUND((csv!$HG40/10+calc!FK$1),1)</f>
        <v>4.8</v>
      </c>
      <c r="FL40" s="4">
        <f>ROUND((csv!$HG40/10+calc!FL$1),1)</f>
        <v>4.9000000000000004</v>
      </c>
      <c r="FM40" s="4">
        <f>ROUND((csv!$HG40/10+calc!FM$1),1)</f>
        <v>5</v>
      </c>
      <c r="FN40" s="4">
        <f>ROUND((csv!$HG40/10+calc!FN$1),1)</f>
        <v>5.0999999999999996</v>
      </c>
      <c r="FO40" s="4">
        <f>ROUND((csv!$HG40/10+calc!FO$1),1)</f>
        <v>5.2</v>
      </c>
      <c r="FP40" s="4">
        <f>ROUND((csv!$HG40/10+calc!FP$1),1)</f>
        <v>5.3</v>
      </c>
      <c r="FQ40" s="4">
        <f>ROUND((csv!$HG40/10+calc!FQ$1),1)</f>
        <v>5.4</v>
      </c>
      <c r="FR40" s="4">
        <f>ROUND((csv!$HG40/10+calc!FR$1),1)</f>
        <v>5.5</v>
      </c>
      <c r="FS40" s="4">
        <f>ROUND((csv!$HG40/10+calc!FS$1),1)</f>
        <v>5.6</v>
      </c>
      <c r="FT40" s="4">
        <f>ROUND((csv!$HG40/10+calc!FT$1),1)</f>
        <v>5.7</v>
      </c>
      <c r="FU40" s="4">
        <f>ROUND((csv!$HG40/10+calc!FU$1),1)</f>
        <v>5.8</v>
      </c>
      <c r="FV40" s="4">
        <f>ROUND((csv!$HG40/10+calc!FV$1),1)</f>
        <v>5.9</v>
      </c>
      <c r="FW40" s="4">
        <f>ROUND((csv!$HG40/10+calc!FW$1),1)</f>
        <v>6</v>
      </c>
      <c r="FX40" s="4">
        <f>ROUND((csv!$HG40/10+calc!FX$1),1)</f>
        <v>6.1</v>
      </c>
      <c r="FY40" s="4">
        <f>ROUND((csv!$HG40/10+calc!FY$1),1)</f>
        <v>6.2</v>
      </c>
      <c r="FZ40" s="4">
        <f>ROUND((csv!$HG40/10+calc!FZ$1),1)</f>
        <v>6.3</v>
      </c>
      <c r="GA40" s="4">
        <f>ROUND((csv!$HG40/10+calc!GA$1),1)</f>
        <v>6.4</v>
      </c>
      <c r="GB40" s="4">
        <f>ROUND((csv!$HG40/10+calc!GB$1),1)</f>
        <v>6.5</v>
      </c>
      <c r="GC40" s="4">
        <f>ROUND((csv!$HG40/10+calc!GC$1),1)</f>
        <v>6.6</v>
      </c>
      <c r="GD40" s="4">
        <f>ROUND((csv!$HG40/10+calc!GD$1),1)</f>
        <v>6.7</v>
      </c>
      <c r="GE40" s="4">
        <f>ROUND((csv!$HG40/10+calc!GE$1),1)</f>
        <v>6.8</v>
      </c>
      <c r="GF40" s="4">
        <f>ROUND((csv!$HG40/10+calc!GF$1),1)</f>
        <v>6.9</v>
      </c>
      <c r="GG40" s="4">
        <f>ROUND((csv!$HG40/10+calc!GG$1),1)</f>
        <v>7</v>
      </c>
      <c r="GH40" s="4">
        <f>ROUND((csv!$HG40/10+calc!GH$1),1)</f>
        <v>7.1</v>
      </c>
      <c r="GI40" s="4">
        <f>ROUND((csv!$HG40/10+calc!GI$1),1)</f>
        <v>7.2</v>
      </c>
      <c r="GJ40" s="4">
        <f>ROUND((csv!$HG40/10+calc!GJ$1),1)</f>
        <v>7.3</v>
      </c>
      <c r="GK40" s="4">
        <f>ROUND((csv!$HG40/10+calc!GK$1),1)</f>
        <v>7.4</v>
      </c>
      <c r="GL40" s="4">
        <f>ROUND((csv!$HG40/10+calc!GL$1),1)</f>
        <v>7.5</v>
      </c>
      <c r="GM40" s="4">
        <f>ROUND((csv!$HG40/10+calc!GM$1),1)</f>
        <v>7.6</v>
      </c>
      <c r="GN40" s="4">
        <f>ROUND((csv!$HG40/10+calc!GN$1),1)</f>
        <v>7.7</v>
      </c>
      <c r="GO40" s="4">
        <f>ROUND((csv!$HG40/10+calc!GO$1),1)</f>
        <v>7.8</v>
      </c>
      <c r="GP40" s="4">
        <f>ROUND((csv!$HG40/10+calc!GP$1),1)</f>
        <v>7.9</v>
      </c>
      <c r="GQ40" s="4">
        <f>ROUND((csv!$HG40/10+calc!GQ$1),1)</f>
        <v>8</v>
      </c>
      <c r="GR40" s="4">
        <f>ROUND((csv!$HG40/10+calc!GR$1),1)</f>
        <v>8.1</v>
      </c>
      <c r="GS40" s="4">
        <f>ROUND((csv!$HG40/10+calc!GS$1),1)</f>
        <v>8.1999999999999993</v>
      </c>
      <c r="GT40" s="4">
        <f>ROUND((csv!$HG40/10+calc!GT$1),1)</f>
        <v>8.3000000000000007</v>
      </c>
      <c r="GU40" s="4">
        <f>ROUND((csv!$HG40/10+calc!GU$1),1)</f>
        <v>8.4</v>
      </c>
      <c r="GV40" s="4">
        <f>ROUND((csv!$HG40/10+calc!GV$1),1)</f>
        <v>8.5</v>
      </c>
      <c r="GW40" s="4">
        <f>ROUND((csv!$HG40/10+calc!GW$1),1)</f>
        <v>8.6</v>
      </c>
      <c r="GX40" s="4">
        <f>ROUND((csv!$HG40/10+calc!GX$1),1)</f>
        <v>8.6999999999999993</v>
      </c>
      <c r="GY40" s="4">
        <f>ROUND((csv!$HG40/10+calc!GY$1),1)</f>
        <v>8.8000000000000007</v>
      </c>
      <c r="GZ40" s="4">
        <f>ROUND((csv!$HG40/10+calc!GZ$1),1)</f>
        <v>8.9</v>
      </c>
      <c r="HA40" s="4">
        <f>ROUND((csv!$HG40/10+calc!HA$1),1)</f>
        <v>9</v>
      </c>
      <c r="HB40" s="4">
        <f>ROUND((csv!$HG40/10+calc!HB$1),1)</f>
        <v>9.1</v>
      </c>
      <c r="HC40" s="4">
        <f>ROUND((csv!$HG40/10+calc!HC$1),1)</f>
        <v>9.1999999999999993</v>
      </c>
      <c r="HD40" s="4">
        <f>ROUND((csv!$HG40/10+calc!HD$1),1)</f>
        <v>9.3000000000000007</v>
      </c>
      <c r="HE40" s="4">
        <f>ROUND((csv!$HG40/10+calc!HE$1),1)</f>
        <v>9.4</v>
      </c>
      <c r="HF40" s="4">
        <f>ROUND((csv!$HG40/10+calc!HF$1),1)</f>
        <v>9.5</v>
      </c>
      <c r="HG40" s="4">
        <f>ROUND((csv!$HG40/10+calc!HG$1),1)</f>
        <v>9.6</v>
      </c>
      <c r="HH40" s="4">
        <f>ROUND((csv!$HG40/10+calc!HH$1),1)</f>
        <v>9.6999999999999993</v>
      </c>
      <c r="HI40" s="4">
        <f>ROUND((csv!$HG40/10+calc!HI$1),1)</f>
        <v>9.8000000000000007</v>
      </c>
      <c r="HJ40" s="4">
        <f>ROUND((csv!$HG40/10+calc!HJ$1),1)</f>
        <v>9.9</v>
      </c>
      <c r="HK40" s="4">
        <f>ROUND((csv!$HG40/10+calc!HK$1),1)</f>
        <v>10</v>
      </c>
      <c r="HM40" s="2">
        <f>csv!A40*10000+csv!B40*100+csv!C40</f>
        <v>0</v>
      </c>
      <c r="HN40" s="5">
        <f>IF(ISERROR(LOOKUP(HN$1,$S40:$HK40,csv!$L40:$HD40)),NA(),LOOKUP(HN$1,$S40:$HK40,csv!$L40:$HD40))</f>
        <v>0</v>
      </c>
      <c r="HO40" s="5">
        <f>IF(ISERROR(LOOKUP(HO$1,$S40:$HK40,csv!$L40:$HD40)),NA(),LOOKUP(HO$1,$S40:$HK40,csv!$L40:$HD40))</f>
        <v>0</v>
      </c>
      <c r="HP40" s="5">
        <f>IF(ISERROR(LOOKUP(HP$1,$S40:$HK40,csv!$L40:$HD40)),NA(),LOOKUP(HP$1,$S40:$HK40,csv!$L40:$HD40))</f>
        <v>0</v>
      </c>
      <c r="HQ40" s="5">
        <f>IF(ISERROR(LOOKUP(HQ$1,$S40:$HK40,csv!$L40:$HD40)),NA(),LOOKUP(HQ$1,$S40:$HK40,csv!$L40:$HD40))</f>
        <v>0</v>
      </c>
      <c r="HR40" s="5">
        <f>IF(ISERROR(LOOKUP(HR$1,$S40:$HK40,csv!$L40:$HD40)),NA(),LOOKUP(HR$1,$S40:$HK40,csv!$L40:$HD40))</f>
        <v>0</v>
      </c>
      <c r="HS40" s="5">
        <f>IF(ISERROR(LOOKUP(HS$1,$S40:$HK40,csv!$L40:$HD40)),NA(),LOOKUP(HS$1,$S40:$HK40,csv!$L40:$HD40))</f>
        <v>0</v>
      </c>
      <c r="HT40" s="5">
        <f>IF(ISERROR(LOOKUP(HT$1,$S40:$HK40,csv!$L40:$HD40)),NA(),LOOKUP(HT$1,$S40:$HK40,csv!$L40:$HD40))</f>
        <v>0</v>
      </c>
      <c r="HU40" s="5">
        <f>IF(ISERROR(LOOKUP(HU$1,$S40:$HK40,csv!$L40:$HD40)),NA(),LOOKUP(HU$1,$S40:$HK40,csv!$L40:$HD40))</f>
        <v>0</v>
      </c>
      <c r="HV40" s="5">
        <f>IF(ISERROR(LOOKUP(HV$1,$S40:$HK40,csv!$L40:$HD40)),NA(),LOOKUP(HV$1,$S40:$HK40,csv!$L40:$HD40))</f>
        <v>0</v>
      </c>
      <c r="HW40" s="5">
        <f>IF(ISERROR(LOOKUP(HW$1,$S40:$HK40,csv!$L40:$HD40)),NA(),LOOKUP(HW$1,$S40:$HK40,csv!$L40:$HD40))</f>
        <v>0</v>
      </c>
      <c r="HX40" s="5">
        <f>IF(ISERROR(LOOKUP(HX$1,$S40:$HK40,csv!$L40:$HD40)),NA(),LOOKUP(HX$1,$S40:$HK40,csv!$L40:$HD40))</f>
        <v>0</v>
      </c>
      <c r="HY40" s="5">
        <f>IF(ISERROR(LOOKUP(HY$1,$S40:$HK40,csv!$L40:$HD40)),NA(),LOOKUP(HY$1,$S40:$HK40,csv!$L40:$HD40))</f>
        <v>0</v>
      </c>
      <c r="HZ40" s="5">
        <f>IF(ISERROR(LOOKUP(HZ$1,$S40:$HK40,csv!$L40:$HD40)),NA(),LOOKUP(HZ$1,$S40:$HK40,csv!$L40:$HD40))</f>
        <v>0</v>
      </c>
      <c r="IA40" s="5">
        <f>IF(ISERROR(LOOKUP(IA$1,$S40:$HK40,csv!$L40:$HD40)),NA(),LOOKUP(IA$1,$S40:$HK40,csv!$L40:$HD40))</f>
        <v>0</v>
      </c>
      <c r="IB40" s="5">
        <f>IF(ISERROR(LOOKUP(IB$1,$S40:$HK40,csv!$L40:$HD40)),NA(),LOOKUP(IB$1,$S40:$HK40,csv!$L40:$HD40))</f>
        <v>0</v>
      </c>
      <c r="IC40" s="5">
        <f>IF(ISERROR(LOOKUP(IC$1,$S40:$HK40,csv!$L40:$HD40)),NA(),LOOKUP(IC$1,$S40:$HK40,csv!$L40:$HD40))</f>
        <v>0</v>
      </c>
      <c r="ID40" s="5">
        <f>IF(ISERROR(LOOKUP(ID$1,$S40:$HK40,csv!$L40:$HD40)),NA(),LOOKUP(ID$1,$S40:$HK40,csv!$L40:$HD40))</f>
        <v>0</v>
      </c>
      <c r="IE40" s="5">
        <f>IF(ISERROR(LOOKUP(IE$1,$S40:$HK40,csv!$L40:$HD40)),NA(),LOOKUP(IE$1,$S40:$HK40,csv!$L40:$HD40))</f>
        <v>0</v>
      </c>
      <c r="IF40" s="5">
        <f>IF(ISERROR(LOOKUP(IF$1,$S40:$HK40,csv!$L40:$HD40)),NA(),LOOKUP(IF$1,$S40:$HK40,csv!$L40:$HD40))</f>
        <v>0</v>
      </c>
      <c r="IG40" s="5">
        <f>IF(ISERROR(LOOKUP(IG$1,$S40:$HK40,csv!$L40:$HD40)),NA(),LOOKUP(IG$1,$S40:$HK40,csv!$L40:$HD40))</f>
        <v>0</v>
      </c>
      <c r="IH40" s="5">
        <f>IF(ISERROR(LOOKUP(IH$1,$S40:$HK40,csv!$L40:$HD40)),NA(),LOOKUP(IH$1,$S40:$HK40,csv!$L40:$HD40))</f>
        <v>0</v>
      </c>
      <c r="II40" s="5">
        <f>IF(ISERROR(LOOKUP(II$1,$S40:$HK40,csv!$L40:$HD40)),NA(),LOOKUP(II$1,$S40:$HK40,csv!$L40:$HD40))</f>
        <v>0</v>
      </c>
      <c r="IJ40" s="5">
        <f>IF(ISERROR(LOOKUP(IJ$1,$S40:$HK40,csv!$L40:$HD40)),NA(),LOOKUP(IJ$1,$S40:$HK40,csv!$L40:$HD40))</f>
        <v>0</v>
      </c>
      <c r="IK40" s="5">
        <f>IF(ISERROR(LOOKUP(IK$1,$S40:$HK40,csv!$L40:$HD40)),NA(),LOOKUP(IK$1,$S40:$HK40,csv!$L40:$HD40))</f>
        <v>0</v>
      </c>
      <c r="IL40" s="5">
        <f>IF(ISERROR(LOOKUP(IL$1,$S40:$HK40,csv!$L40:$HD40)),NA(),LOOKUP(IL$1,$S40:$HK40,csv!$L40:$HD40))</f>
        <v>0</v>
      </c>
      <c r="IM40" s="5">
        <f>IF(ISERROR(LOOKUP(IM$1,$S40:$HK40,csv!$L40:$HD40)),NA(),LOOKUP(IM$1,$S40:$HK40,csv!$L40:$HD40))</f>
        <v>0</v>
      </c>
      <c r="IN40" s="5">
        <f>IF(ISERROR(LOOKUP(IN$1,$S40:$HK40,csv!$L40:$HD40)),NA(),LOOKUP(IN$1,$S40:$HK40,csv!$L40:$HD40))</f>
        <v>0</v>
      </c>
      <c r="IO40" s="5">
        <f>IF(ISERROR(LOOKUP(IO$1,$S40:$HK40,csv!$L40:$HD40)),NA(),LOOKUP(IO$1,$S40:$HK40,csv!$L40:$HD40))</f>
        <v>0</v>
      </c>
      <c r="IP40" s="5">
        <f>IF(ISERROR(LOOKUP(IP$1,$S40:$HK40,csv!$L40:$HD40)),NA(),LOOKUP(IP$1,$S40:$HK40,csv!$L40:$HD40))</f>
        <v>0</v>
      </c>
      <c r="IQ40" s="5">
        <f>IF(ISERROR(LOOKUP(IQ$1,$S40:$HK40,csv!$L40:$HD40)),NA(),LOOKUP(IQ$1,$S40:$HK40,csv!$L40:$HD40))</f>
        <v>0</v>
      </c>
      <c r="IR40" s="5">
        <f>IF(ISERROR(LOOKUP(IR$1,$S40:$HK40,csv!$L40:$HD40)),NA(),LOOKUP(IR$1,$S40:$HK40,csv!$L40:$HD40))</f>
        <v>0</v>
      </c>
      <c r="IS40" s="5">
        <f>IF(ISERROR(LOOKUP(IS$1,$S40:$HK40,csv!$L40:$HD40)),NA(),LOOKUP(IS$1,$S40:$HK40,csv!$L40:$HD40))</f>
        <v>0</v>
      </c>
      <c r="IT40" s="5">
        <f>IF(ISERROR(LOOKUP(IT$1,$S40:$HK40,csv!$L40:$HD40)),NA(),LOOKUP(IT$1,$S40:$HK40,csv!$L40:$HD40))</f>
        <v>0</v>
      </c>
      <c r="IU40" s="5">
        <f>IF(ISERROR(LOOKUP(IU$1,$S40:$HK40,csv!$L40:$HD40)),NA(),LOOKUP(IU$1,$S40:$HK40,csv!$L40:$HD40))</f>
        <v>0</v>
      </c>
      <c r="IV40" s="5">
        <f>IF(ISERROR(LOOKUP(IV$1,$S40:$HK40,csv!$L40:$HD40)),NA(),LOOKUP(IV$1,$S40:$HK40,csv!$L40:$HD40))</f>
        <v>0</v>
      </c>
      <c r="IW40" s="5">
        <f>IF(ISERROR(LOOKUP(IW$1,$S40:$HK40,csv!$L40:$HD40)),NA(),LOOKUP(IW$1,$S40:$HK40,csv!$L40:$HD40))</f>
        <v>0</v>
      </c>
      <c r="IX40" s="5">
        <f>IF(ISERROR(LOOKUP(IX$1,$S40:$HK40,csv!$L40:$HD40)),NA(),LOOKUP(IX$1,$S40:$HK40,csv!$L40:$HD40))</f>
        <v>0</v>
      </c>
      <c r="IY40" s="5">
        <f>IF(ISERROR(LOOKUP(IY$1,$S40:$HK40,csv!$L40:$HD40)),NA(),LOOKUP(IY$1,$S40:$HK40,csv!$L40:$HD40))</f>
        <v>0</v>
      </c>
      <c r="IZ40" s="5">
        <f>IF(ISERROR(LOOKUP(IZ$1,$S40:$HK40,csv!$L40:$HD40)),NA(),LOOKUP(IZ$1,$S40:$HK40,csv!$L40:$HD40))</f>
        <v>0</v>
      </c>
      <c r="JA40" s="5">
        <f>IF(ISERROR(LOOKUP(JA$1,$S40:$HK40,csv!$L40:$HD40)),NA(),LOOKUP(JA$1,$S40:$HK40,csv!$L40:$HD40))</f>
        <v>0</v>
      </c>
      <c r="JB40" s="5">
        <f>IF(ISERROR(LOOKUP(JB$1,$S40:$HK40,csv!$L40:$HD40)),NA(),LOOKUP(JB$1,$S40:$HK40,csv!$L40:$HD40))</f>
        <v>0</v>
      </c>
      <c r="JC40" s="5">
        <f>IF(ISERROR(LOOKUP(JC$1,$S40:$HK40,csv!$L40:$HD40)),NA(),LOOKUP(JC$1,$S40:$HK40,csv!$L40:$HD40))</f>
        <v>0</v>
      </c>
      <c r="JD40" s="5">
        <f>IF(ISERROR(LOOKUP(JD$1,$S40:$HK40,csv!$L40:$HD40)),NA(),LOOKUP(JD$1,$S40:$HK40,csv!$L40:$HD40))</f>
        <v>0</v>
      </c>
      <c r="JE40" s="5">
        <f>IF(ISERROR(LOOKUP(JE$1,$S40:$HK40,csv!$L40:$HD40)),NA(),LOOKUP(JE$1,$S40:$HK40,csv!$L40:$HD40))</f>
        <v>0</v>
      </c>
      <c r="JF40" s="5">
        <f>IF(ISERROR(LOOKUP(JF$1,$S40:$HK40,csv!$L40:$HD40)),NA(),LOOKUP(JF$1,$S40:$HK40,csv!$L40:$HD40))</f>
        <v>0</v>
      </c>
      <c r="JG40" s="5">
        <f>IF(ISERROR(LOOKUP(JG$1,$S40:$HK40,csv!$L40:$HD40)),NA(),LOOKUP(JG$1,$S40:$HK40,csv!$L40:$HD40))</f>
        <v>0</v>
      </c>
      <c r="JH40" s="5">
        <f>IF(ISERROR(LOOKUP(JH$1,$S40:$HK40,csv!$L40:$HD40)),NA(),LOOKUP(JH$1,$S40:$HK40,csv!$L40:$HD40))</f>
        <v>0</v>
      </c>
      <c r="JI40" s="5">
        <f>IF(ISERROR(LOOKUP(JI$1,$S40:$HK40,csv!$L40:$HD40)),NA(),LOOKUP(JI$1,$S40:$HK40,csv!$L40:$HD40))</f>
        <v>0</v>
      </c>
      <c r="JJ40" s="5">
        <f>IF(ISERROR(LOOKUP(JJ$1,$S40:$HK40,csv!$L40:$HD40)),NA(),LOOKUP(JJ$1,$S40:$HK40,csv!$L40:$HD40))</f>
        <v>0</v>
      </c>
      <c r="JK40" s="5">
        <f>IF(ISERROR(LOOKUP(JK$1,$S40:$HK40,csv!$L40:$HD40)),NA(),LOOKUP(JK$1,$S40:$HK40,csv!$L40:$HD40))</f>
        <v>0</v>
      </c>
      <c r="JL40" s="5">
        <f>IF(ISERROR(LOOKUP(JL$1,$S40:$HK40,csv!$L40:$HD40)),NA(),LOOKUP(JL$1,$S40:$HK40,csv!$L40:$HD40))</f>
        <v>0</v>
      </c>
      <c r="JM40" s="5">
        <f>IF(ISERROR(LOOKUP(JM$1,$S40:$HK40,csv!$L40:$HD40)),NA(),LOOKUP(JM$1,$S40:$HK40,csv!$L40:$HD40))</f>
        <v>0</v>
      </c>
      <c r="JN40" s="5">
        <f>IF(ISERROR(LOOKUP(JN$1,$S40:$HK40,csv!$L40:$HD40)),NA(),LOOKUP(JN$1,$S40:$HK40,csv!$L40:$HD40))</f>
        <v>0</v>
      </c>
      <c r="JO40" s="5">
        <f>IF(ISERROR(LOOKUP(JO$1,$S40:$HK40,csv!$L40:$HD40)),NA(),LOOKUP(JO$1,$S40:$HK40,csv!$L40:$HD40))</f>
        <v>0</v>
      </c>
      <c r="JP40" s="5">
        <f>IF(ISERROR(LOOKUP(JP$1,$S40:$HK40,csv!$L40:$HD40)),NA(),LOOKUP(JP$1,$S40:$HK40,csv!$L40:$HD40))</f>
        <v>0</v>
      </c>
      <c r="JQ40" s="5">
        <f>IF(ISERROR(LOOKUP(JQ$1,$S40:$HK40,csv!$L40:$HD40)),NA(),LOOKUP(JQ$1,$S40:$HK40,csv!$L40:$HD40))</f>
        <v>0</v>
      </c>
      <c r="JR40" s="5">
        <f>IF(ISERROR(LOOKUP(JR$1,$S40:$HK40,csv!$L40:$HD40)),NA(),LOOKUP(JR$1,$S40:$HK40,csv!$L40:$HD40))</f>
        <v>0</v>
      </c>
      <c r="JS40" s="5">
        <f>IF(ISERROR(LOOKUP(JS$1,$S40:$HK40,csv!$L40:$HD40)),NA(),LOOKUP(JS$1,$S40:$HK40,csv!$L40:$HD40))</f>
        <v>0</v>
      </c>
      <c r="JT40" s="5">
        <f>IF(ISERROR(LOOKUP(JT$1,$S40:$HK40,csv!$L40:$HD40)),NA(),LOOKUP(JT$1,$S40:$HK40,csv!$L40:$HD40))</f>
        <v>0</v>
      </c>
      <c r="JU40" s="5">
        <f>IF(ISERROR(LOOKUP(JU$1,$S40:$HK40,csv!$L40:$HD40)),NA(),LOOKUP(JU$1,$S40:$HK40,csv!$L40:$HD40))</f>
        <v>0</v>
      </c>
      <c r="JV40" s="5">
        <f>IF(ISERROR(LOOKUP(JV$1,$S40:$HK40,csv!$L40:$HD40)),NA(),LOOKUP(JV$1,$S40:$HK40,csv!$L40:$HD40))</f>
        <v>0</v>
      </c>
      <c r="JW40" s="5">
        <f>IF(ISERROR(LOOKUP(JW$1,$S40:$HK40,csv!$L40:$HD40)),NA(),LOOKUP(JW$1,$S40:$HK40,csv!$L40:$HD40))</f>
        <v>0</v>
      </c>
      <c r="JX40" s="5">
        <f>IF(ISERROR(LOOKUP(JX$1,$S40:$HK40,csv!$L40:$HD40)),NA(),LOOKUP(JX$1,$S40:$HK40,csv!$L40:$HD40))</f>
        <v>0</v>
      </c>
      <c r="JY40" s="5">
        <f>IF(ISERROR(LOOKUP(JY$1,$S40:$HK40,csv!$L40:$HD40)),NA(),LOOKUP(JY$1,$S40:$HK40,csv!$L40:$HD40))</f>
        <v>0</v>
      </c>
      <c r="JZ40" s="5">
        <f>IF(ISERROR(LOOKUP(JZ$1,$S40:$HK40,csv!$L40:$HD40)),NA(),LOOKUP(JZ$1,$S40:$HK40,csv!$L40:$HD40))</f>
        <v>0</v>
      </c>
      <c r="KA40" s="5">
        <f>IF(ISERROR(LOOKUP(KA$1,$S40:$HK40,csv!$L40:$HD40)),NA(),LOOKUP(KA$1,$S40:$HK40,csv!$L40:$HD40))</f>
        <v>0</v>
      </c>
      <c r="KB40" s="5">
        <f>IF(ISERROR(LOOKUP(KB$1,$S40:$HK40,csv!$L40:$HD40)),NA(),LOOKUP(KB$1,$S40:$HK40,csv!$L40:$HD40))</f>
        <v>0</v>
      </c>
      <c r="KC40" s="5">
        <f>IF(ISERROR(LOOKUP(KC$1,$S40:$HK40,csv!$L40:$HD40)),NA(),LOOKUP(KC$1,$S40:$HK40,csv!$L40:$HD40))</f>
        <v>0</v>
      </c>
      <c r="KD40" s="5">
        <f>IF(ISERROR(LOOKUP(KD$1,$S40:$HK40,csv!$L40:$HD40)),NA(),LOOKUP(KD$1,$S40:$HK40,csv!$L40:$HD40))</f>
        <v>0</v>
      </c>
      <c r="KE40" s="5">
        <f>IF(ISERROR(LOOKUP(KE$1,$S40:$HK40,csv!$L40:$HD40)),NA(),LOOKUP(KE$1,$S40:$HK40,csv!$L40:$HD40))</f>
        <v>0</v>
      </c>
      <c r="KF40" s="5">
        <f>IF(ISERROR(LOOKUP(KF$1,$S40:$HK40,csv!$L40:$HD40)),NA(),LOOKUP(KF$1,$S40:$HK40,csv!$L40:$HD40))</f>
        <v>0</v>
      </c>
      <c r="KG40" s="5">
        <f>IF(ISERROR(LOOKUP(KG$1,$S40:$HK40,csv!$L40:$HD40)),NA(),LOOKUP(KG$1,$S40:$HK40,csv!$L40:$HD40))</f>
        <v>0</v>
      </c>
      <c r="KH40" s="5">
        <f>IF(ISERROR(LOOKUP(KH$1,$S40:$HK40,csv!$L40:$HD40)),NA(),LOOKUP(KH$1,$S40:$HK40,csv!$L40:$HD40))</f>
        <v>0</v>
      </c>
      <c r="KI40" s="5">
        <f>IF(ISERROR(LOOKUP(KI$1,$S40:$HK40,csv!$L40:$HD40)),NA(),LOOKUP(KI$1,$S40:$HK40,csv!$L40:$HD40))</f>
        <v>0</v>
      </c>
      <c r="KJ40" s="5">
        <f>IF(ISERROR(LOOKUP(KJ$1,$S40:$HK40,csv!$L40:$HD40)),NA(),LOOKUP(KJ$1,$S40:$HK40,csv!$L40:$HD40))</f>
        <v>0</v>
      </c>
      <c r="KK40" s="5">
        <f>IF(ISERROR(LOOKUP(KK$1,$S40:$HK40,csv!$L40:$HD40)),NA(),LOOKUP(KK$1,$S40:$HK40,csv!$L40:$HD40))</f>
        <v>0</v>
      </c>
      <c r="KL40" s="5">
        <f>IF(ISERROR(LOOKUP(KL$1,$S40:$HK40,csv!$L40:$HD40)),NA(),LOOKUP(KL$1,$S40:$HK40,csv!$L40:$HD40))</f>
        <v>0</v>
      </c>
      <c r="KM40" s="5">
        <f>IF(ISERROR(LOOKUP(KM$1,$S40:$HK40,csv!$L40:$HD40)),NA(),LOOKUP(KM$1,$S40:$HK40,csv!$L40:$HD40))</f>
        <v>0</v>
      </c>
      <c r="KN40" s="5">
        <f>IF(ISERROR(LOOKUP(KN$1,$S40:$HK40,csv!$L40:$HD40)),NA(),LOOKUP(KN$1,$S40:$HK40,csv!$L40:$HD40))</f>
        <v>0</v>
      </c>
      <c r="KO40" s="5">
        <f>IF(ISERROR(LOOKUP(KO$1,$S40:$HK40,csv!$L40:$HD40)),NA(),LOOKUP(KO$1,$S40:$HK40,csv!$L40:$HD40))</f>
        <v>0</v>
      </c>
      <c r="KP40" s="5">
        <f>IF(ISERROR(LOOKUP(KP$1,$S40:$HK40,csv!$L40:$HD40)),NA(),LOOKUP(KP$1,$S40:$HK40,csv!$L40:$HD40))</f>
        <v>0</v>
      </c>
      <c r="KQ40" s="5">
        <f>IF(ISERROR(LOOKUP(KQ$1,$S40:$HK40,csv!$L40:$HD40)),NA(),LOOKUP(KQ$1,$S40:$HK40,csv!$L40:$HD40))</f>
        <v>0</v>
      </c>
      <c r="KR40" s="5">
        <f>IF(ISERROR(LOOKUP(KR$1,$S40:$HK40,csv!$L40:$HD40)),NA(),LOOKUP(KR$1,$S40:$HK40,csv!$L40:$HD40))</f>
        <v>0</v>
      </c>
      <c r="KS40" s="5">
        <f>IF(ISERROR(LOOKUP(KS$1,$S40:$HK40,csv!$L40:$HD40)),NA(),LOOKUP(KS$1,$S40:$HK40,csv!$L40:$HD40))</f>
        <v>0</v>
      </c>
      <c r="KT40" s="5">
        <f>IF(ISERROR(LOOKUP(KT$1,$S40:$HK40,csv!$L40:$HD40)),NA(),LOOKUP(KT$1,$S40:$HK40,csv!$L40:$HD40))</f>
        <v>0</v>
      </c>
      <c r="KU40" s="5">
        <f>IF(ISERROR(LOOKUP(KU$1,$S40:$HK40,csv!$L40:$HD40)),NA(),LOOKUP(KU$1,$S40:$HK40,csv!$L40:$HD40))</f>
        <v>0</v>
      </c>
      <c r="KV40" s="5">
        <f>IF(ISERROR(LOOKUP(KV$1,$S40:$HK40,csv!$L40:$HD40)),NA(),LOOKUP(KV$1,$S40:$HK40,csv!$L40:$HD40))</f>
        <v>0</v>
      </c>
      <c r="KW40" s="5">
        <f>IF(ISERROR(LOOKUP(KW$1,$S40:$HK40,csv!$L40:$HD40)),NA(),LOOKUP(KW$1,$S40:$HK40,csv!$L40:$HD40))</f>
        <v>0</v>
      </c>
      <c r="KX40" s="5">
        <f>IF(ISERROR(LOOKUP(KX$1,$S40:$HK40,csv!$L40:$HD40)),NA(),LOOKUP(KX$1,$S40:$HK40,csv!$L40:$HD40))</f>
        <v>0</v>
      </c>
      <c r="KY40" s="5">
        <f>IF(ISERROR(LOOKUP(KY$1,$S40:$HK40,csv!$L40:$HD40)),NA(),LOOKUP(KY$1,$S40:$HK40,csv!$L40:$HD40))</f>
        <v>0</v>
      </c>
      <c r="KZ40" s="5">
        <f>IF(ISERROR(LOOKUP(KZ$1,$S40:$HK40,csv!$L40:$HD40)),NA(),LOOKUP(KZ$1,$S40:$HK40,csv!$L40:$HD40))</f>
        <v>0</v>
      </c>
      <c r="LA40" s="5">
        <f>IF(ISERROR(LOOKUP(LA$1,$S40:$HK40,csv!$L40:$HD40)),NA(),LOOKUP(LA$1,$S40:$HK40,csv!$L40:$HD40))</f>
        <v>0</v>
      </c>
      <c r="LB40" s="5">
        <f>IF(ISERROR(LOOKUP(LB$1,$S40:$HK40,csv!$L40:$HD40)),NA(),LOOKUP(LB$1,$S40:$HK40,csv!$L40:$HD40))</f>
        <v>0</v>
      </c>
      <c r="LC40" s="5">
        <f>IF(ISERROR(LOOKUP(LC$1,$S40:$HK40,csv!$L40:$HD40)),NA(),LOOKUP(LC$1,$S40:$HK40,csv!$L40:$HD40))</f>
        <v>0</v>
      </c>
      <c r="LD40" s="5">
        <f>IF(ISERROR(LOOKUP(LD$1,$S40:$HK40,csv!$L40:$HD40)),NA(),LOOKUP(LD$1,$S40:$HK40,csv!$L40:$HD40))</f>
        <v>0</v>
      </c>
      <c r="LE40" s="5">
        <f>IF(ISERROR(LOOKUP(LE$1,$S40:$HK40,csv!$L40:$HD40)),NA(),LOOKUP(LE$1,$S40:$HK40,csv!$L40:$HD40))</f>
        <v>0</v>
      </c>
      <c r="LF40" s="5">
        <f>IF(ISERROR(LOOKUP(LF$1,$S40:$HK40,csv!$L40:$HD40)),NA(),LOOKUP(LF$1,$S40:$HK40,csv!$L40:$HD40))</f>
        <v>0</v>
      </c>
      <c r="LG40" s="5">
        <f>IF(ISERROR(LOOKUP(LG$1,$S40:$HK40,csv!$L40:$HD40)),NA(),LOOKUP(LG$1,$S40:$HK40,csv!$L40:$HD40))</f>
        <v>0</v>
      </c>
      <c r="LH40" s="5">
        <f>IF(ISERROR(LOOKUP(LH$1,$S40:$HK40,csv!$L40:$HD40)),NA(),LOOKUP(LH$1,$S40:$HK40,csv!$L40:$HD40))</f>
        <v>0</v>
      </c>
      <c r="LI40" s="5">
        <f>IF(ISERROR(LOOKUP(LI$1,$S40:$HK40,csv!$L40:$HD40)),NA(),LOOKUP(LI$1,$S40:$HK40,csv!$L40:$HD40))</f>
        <v>0</v>
      </c>
      <c r="LJ40" s="5">
        <f>IF(ISERROR(LOOKUP(LJ$1,$S40:$HK40,csv!$L40:$HD40)),NA(),LOOKUP(LJ$1,$S40:$HK40,csv!$L40:$HD40))</f>
        <v>0</v>
      </c>
      <c r="LK40" s="5">
        <f>IF(ISERROR(LOOKUP(LK$1,$S40:$HK40,csv!$L40:$HD40)),NA(),LOOKUP(LK$1,$S40:$HK40,csv!$L40:$HD40))</f>
        <v>0</v>
      </c>
      <c r="LL40" s="5">
        <f>IF(ISERROR(LOOKUP(LL$1,$S40:$HK40,csv!$L40:$HD40)),NA(),LOOKUP(LL$1,$S40:$HK40,csv!$L40:$HD40))</f>
        <v>0</v>
      </c>
      <c r="LM40" s="5">
        <f>IF(ISERROR(LOOKUP(LM$1,$S40:$HK40,csv!$L40:$HD40)),NA(),LOOKUP(LM$1,$S40:$HK40,csv!$L40:$HD40))</f>
        <v>0</v>
      </c>
      <c r="LN40" s="5">
        <f>IF(ISERROR(LOOKUP(LN$1,$S40:$HK40,csv!$L40:$HD40)),NA(),LOOKUP(LN$1,$S40:$HK40,csv!$L40:$HD40))</f>
        <v>0</v>
      </c>
      <c r="LO40" s="5">
        <f>IF(ISERROR(LOOKUP(LO$1,$S40:$HK40,csv!$L40:$HD40)),NA(),LOOKUP(LO$1,$S40:$HK40,csv!$L40:$HD40))</f>
        <v>0</v>
      </c>
      <c r="LP40" s="5">
        <f>IF(ISERROR(LOOKUP(LP$1,$S40:$HK40,csv!$L40:$HD40)),NA(),LOOKUP(LP$1,$S40:$HK40,csv!$L40:$HD40))</f>
        <v>0</v>
      </c>
      <c r="LQ40" s="5">
        <f>IF(ISERROR(LOOKUP(LQ$1,$S40:$HK40,csv!$L40:$HD40)),NA(),LOOKUP(LQ$1,$S40:$HK40,csv!$L40:$HD40))</f>
        <v>0</v>
      </c>
      <c r="LR40" s="5">
        <f>IF(ISERROR(LOOKUP(LR$1,$S40:$HK40,csv!$L40:$HD40)),NA(),LOOKUP(LR$1,$S40:$HK40,csv!$L40:$HD40))</f>
        <v>0</v>
      </c>
      <c r="LS40" s="5">
        <f>IF(ISERROR(LOOKUP(LS$1,$S40:$HK40,csv!$L40:$HD40)),NA(),LOOKUP(LS$1,$S40:$HK40,csv!$L40:$HD40))</f>
        <v>0</v>
      </c>
      <c r="LT40" s="5">
        <f>IF(ISERROR(LOOKUP(LT$1,$S40:$HK40,csv!$L40:$HD40)),NA(),LOOKUP(LT$1,$S40:$HK40,csv!$L40:$HD40))</f>
        <v>0</v>
      </c>
      <c r="LU40" s="5">
        <f>IF(ISERROR(LOOKUP(LU$1,$S40:$HK40,csv!$L40:$HD40)),NA(),LOOKUP(LU$1,$S40:$HK40,csv!$L40:$HD40))</f>
        <v>0</v>
      </c>
      <c r="LV40" s="5">
        <f>IF(ISERROR(LOOKUP(LV$1,$S40:$HK40,csv!$L40:$HD40)),NA(),LOOKUP(LV$1,$S40:$HK40,csv!$L40:$HD40))</f>
        <v>0</v>
      </c>
      <c r="LW40" s="5">
        <f>IF(ISERROR(LOOKUP(LW$1,$S40:$HK40,csv!$L40:$HD40)),NA(),LOOKUP(LW$1,$S40:$HK40,csv!$L40:$HD40))</f>
        <v>0</v>
      </c>
      <c r="LX40" s="5">
        <f>IF(ISERROR(LOOKUP(LX$1,$S40:$HK40,csv!$L40:$HD40)),NA(),LOOKUP(LX$1,$S40:$HK40,csv!$L40:$HD40))</f>
        <v>0</v>
      </c>
      <c r="LY40" s="5">
        <f>IF(ISERROR(LOOKUP(LY$1,$S40:$HK40,csv!$L40:$HD40)),NA(),LOOKUP(LY$1,$S40:$HK40,csv!$L40:$HD40))</f>
        <v>0</v>
      </c>
      <c r="LZ40" s="5">
        <f>IF(ISERROR(LOOKUP(LZ$1,$S40:$HK40,csv!$L40:$HD40)),NA(),LOOKUP(LZ$1,$S40:$HK40,csv!$L40:$HD40))</f>
        <v>0</v>
      </c>
      <c r="MA40" s="5">
        <f>IF(ISERROR(LOOKUP(MA$1,$S40:$HK40,csv!$L40:$HD40)),NA(),LOOKUP(MA$1,$S40:$HK40,csv!$L40:$HD40))</f>
        <v>0</v>
      </c>
      <c r="MB40" s="5">
        <f>IF(ISERROR(LOOKUP(MB$1,$S40:$HK40,csv!$L40:$HD40)),NA(),LOOKUP(MB$1,$S40:$HK40,csv!$L40:$HD40))</f>
        <v>0</v>
      </c>
      <c r="MC40" s="5">
        <f>IF(ISERROR(LOOKUP(MC$1,$S40:$HK40,csv!$L40:$HD40)),NA(),LOOKUP(MC$1,$S40:$HK40,csv!$L40:$HD40))</f>
        <v>0</v>
      </c>
      <c r="MD40" s="5">
        <f>IF(ISERROR(LOOKUP(MD$1,$S40:$HK40,csv!$L40:$HD40)),NA(),LOOKUP(MD$1,$S40:$HK40,csv!$L40:$HD40))</f>
        <v>0</v>
      </c>
      <c r="ME40" s="5">
        <f>IF(ISERROR(LOOKUP(ME$1,$S40:$HK40,csv!$L40:$HD40)),NA(),LOOKUP(ME$1,$S40:$HK40,csv!$L40:$HD40))</f>
        <v>0</v>
      </c>
      <c r="MF40" s="5">
        <f>IF(ISERROR(LOOKUP(MF$1,$S40:$HK40,csv!$L40:$HD40)),NA(),LOOKUP(MF$1,$S40:$HK40,csv!$L40:$HD40))</f>
        <v>0</v>
      </c>
      <c r="MG40" s="5">
        <f>IF(ISERROR(LOOKUP(MG$1,$S40:$HK40,csv!$L40:$HD40)),NA(),LOOKUP(MG$1,$S40:$HK40,csv!$L40:$HD40))</f>
        <v>0</v>
      </c>
      <c r="MH40" s="5">
        <f>IF(ISERROR(LOOKUP(MH$1,$S40:$HK40,csv!$L40:$HD40)),NA(),LOOKUP(MH$1,$S40:$HK40,csv!$L40:$HD40))</f>
        <v>0</v>
      </c>
      <c r="MI40" s="5">
        <f>IF(ISERROR(LOOKUP(MI$1,$S40:$HK40,csv!$L40:$HD40)),NA(),LOOKUP(MI$1,$S40:$HK40,csv!$L40:$HD40))</f>
        <v>0</v>
      </c>
      <c r="MJ40" s="5">
        <f>IF(ISERROR(LOOKUP(MJ$1,$S40:$HK40,csv!$L40:$HD40)),NA(),LOOKUP(MJ$1,$S40:$HK40,csv!$L40:$HD40))</f>
        <v>0</v>
      </c>
      <c r="MK40" s="5">
        <f>IF(ISERROR(LOOKUP(MK$1,$S40:$HK40,csv!$L40:$HD40)),NA(),LOOKUP(MK$1,$S40:$HK40,csv!$L40:$HD40))</f>
        <v>0</v>
      </c>
      <c r="ML40" s="5">
        <f>IF(ISERROR(LOOKUP(ML$1,$S40:$HK40,csv!$L40:$HD40)),NA(),LOOKUP(ML$1,$S40:$HK40,csv!$L40:$HD40))</f>
        <v>0</v>
      </c>
      <c r="MM40" s="5">
        <f>IF(ISERROR(LOOKUP(MM$1,$S40:$HK40,csv!$L40:$HD40)),NA(),LOOKUP(MM$1,$S40:$HK40,csv!$L40:$HD40))</f>
        <v>0</v>
      </c>
      <c r="MN40" s="5">
        <f>IF(ISERROR(LOOKUP(MN$1,$S40:$HK40,csv!$L40:$HD40)),NA(),LOOKUP(MN$1,$S40:$HK40,csv!$L40:$HD40))</f>
        <v>0</v>
      </c>
      <c r="MO40" s="5">
        <f>IF(ISERROR(LOOKUP(MO$1,$S40:$HK40,csv!$L40:$HD40)),NA(),LOOKUP(MO$1,$S40:$HK40,csv!$L40:$HD40))</f>
        <v>0</v>
      </c>
      <c r="MP40" s="5">
        <f>IF(ISERROR(LOOKUP(MP$1,$S40:$HK40,csv!$L40:$HD40)),NA(),LOOKUP(MP$1,$S40:$HK40,csv!$L40:$HD40))</f>
        <v>0</v>
      </c>
      <c r="MQ40" s="5">
        <f>IF(ISERROR(LOOKUP(MQ$1,$S40:$HK40,csv!$L40:$HD40)),NA(),LOOKUP(MQ$1,$S40:$HK40,csv!$L40:$HD40))</f>
        <v>0</v>
      </c>
      <c r="MR40" s="5">
        <f>IF(ISERROR(LOOKUP(MR$1,$S40:$HK40,csv!$L40:$HD40)),NA(),LOOKUP(MR$1,$S40:$HK40,csv!$L40:$HD40))</f>
        <v>0</v>
      </c>
      <c r="MS40" s="5">
        <f>IF(ISERROR(LOOKUP(MS$1,$S40:$HK40,csv!$L40:$HD40)),NA(),LOOKUP(MS$1,$S40:$HK40,csv!$L40:$HD40))</f>
        <v>0</v>
      </c>
      <c r="MT40" s="5">
        <f>IF(ISERROR(LOOKUP(MT$1,$S40:$HK40,csv!$L40:$HD40)),NA(),LOOKUP(MT$1,$S40:$HK40,csv!$L40:$HD40))</f>
        <v>0</v>
      </c>
      <c r="MU40" s="5">
        <f>IF(ISERROR(LOOKUP(MU$1,$S40:$HK40,csv!$L40:$HD40)),NA(),LOOKUP(MU$1,$S40:$HK40,csv!$L40:$HD40))</f>
        <v>0</v>
      </c>
      <c r="MV40" s="5">
        <f>IF(ISERROR(LOOKUP(MV$1,$S40:$HK40,csv!$L40:$HD40)),NA(),LOOKUP(MV$1,$S40:$HK40,csv!$L40:$HD40))</f>
        <v>0</v>
      </c>
      <c r="MW40" s="5">
        <f>IF(ISERROR(LOOKUP(MW$1,$S40:$HK40,csv!$L40:$HD40)),NA(),LOOKUP(MW$1,$S40:$HK40,csv!$L40:$HD40))</f>
        <v>0</v>
      </c>
      <c r="MX40" s="5">
        <f>IF(ISERROR(LOOKUP(MX$1,$S40:$HK40,csv!$L40:$HD40)),NA(),LOOKUP(MX$1,$S40:$HK40,csv!$L40:$HD40))</f>
        <v>0</v>
      </c>
      <c r="MY40" s="5">
        <f>IF(ISERROR(LOOKUP(MY$1,$S40:$HK40,csv!$L40:$HD40)),NA(),LOOKUP(MY$1,$S40:$HK40,csv!$L40:$HD40))</f>
        <v>0</v>
      </c>
      <c r="MZ40" s="5">
        <f>IF(ISERROR(LOOKUP(MZ$1,$S40:$HK40,csv!$L40:$HD40)),NA(),LOOKUP(MZ$1,$S40:$HK40,csv!$L40:$HD40))</f>
        <v>0</v>
      </c>
      <c r="NA40" s="5">
        <f>IF(ISERROR(LOOKUP(NA$1,$S40:$HK40,csv!$L40:$HD40)),NA(),LOOKUP(NA$1,$S40:$HK40,csv!$L40:$HD40))</f>
        <v>0</v>
      </c>
      <c r="NB40" s="5">
        <f>IF(ISERROR(LOOKUP(NB$1,$S40:$HK40,csv!$L40:$HD40)),NA(),LOOKUP(NB$1,$S40:$HK40,csv!$L40:$HD40))</f>
        <v>0</v>
      </c>
      <c r="NC40" s="5">
        <f>IF(ISERROR(LOOKUP(NC$1,$S40:$HK40,csv!$L40:$HD40)),NA(),LOOKUP(NC$1,$S40:$HK40,csv!$L40:$HD40))</f>
        <v>0</v>
      </c>
      <c r="ND40" s="5">
        <f>IF(ISERROR(LOOKUP(ND$1,$S40:$HK40,csv!$L40:$HD40)),NA(),LOOKUP(ND$1,$S40:$HK40,csv!$L40:$HD40))</f>
        <v>0</v>
      </c>
      <c r="NE40" s="5">
        <f>IF(ISERROR(LOOKUP(NE$1,$S40:$HK40,csv!$L40:$HD40)),NA(),LOOKUP(NE$1,$S40:$HK40,csv!$L40:$HD40))</f>
        <v>0</v>
      </c>
      <c r="NF40" s="5">
        <f>IF(ISERROR(LOOKUP(NF$1,$S40:$HK40,csv!$L40:$HD40)),NA(),LOOKUP(NF$1,$S40:$HK40,csv!$L40:$HD40))</f>
        <v>0</v>
      </c>
      <c r="NG40" s="5">
        <f>IF(ISERROR(LOOKUP(NG$1,$S40:$HK40,csv!$L40:$HD40)),NA(),LOOKUP(NG$1,$S40:$HK40,csv!$L40:$HD40))</f>
        <v>0</v>
      </c>
      <c r="NH40" s="5">
        <f>IF(ISERROR(LOOKUP(NH$1,$S40:$HK40,csv!$L40:$HD40)),NA(),LOOKUP(NH$1,$S40:$HK40,csv!$L40:$HD40))</f>
        <v>0</v>
      </c>
      <c r="NI40" s="5">
        <f>IF(ISERROR(LOOKUP(NI$1,$S40:$HK40,csv!$L40:$HD40)),NA(),LOOKUP(NI$1,$S40:$HK40,csv!$L40:$HD40))</f>
        <v>0</v>
      </c>
      <c r="NJ40" s="5">
        <f>IF(ISERROR(LOOKUP(NJ$1,$S40:$HK40,csv!$L40:$HD40)),NA(),LOOKUP(NJ$1,$S40:$HK40,csv!$L40:$HD40))</f>
        <v>0</v>
      </c>
      <c r="NK40" s="5">
        <f>IF(ISERROR(LOOKUP(NK$1,$S40:$HK40,csv!$L40:$HD40)),NA(),LOOKUP(NK$1,$S40:$HK40,csv!$L40:$HD40))</f>
        <v>0</v>
      </c>
      <c r="NL40" s="5">
        <f>IF(ISERROR(LOOKUP(NL$1,$S40:$HK40,csv!$L40:$HD40)),NA(),LOOKUP(NL$1,$S40:$HK40,csv!$L40:$HD40))</f>
        <v>0</v>
      </c>
      <c r="NM40" s="5">
        <f>IF(ISERROR(LOOKUP(NM$1,$S40:$HK40,csv!$L40:$HD40)),NA(),LOOKUP(NM$1,$S40:$HK40,csv!$L40:$HD40))</f>
        <v>0</v>
      </c>
      <c r="NN40" s="5">
        <f>IF(ISERROR(LOOKUP(NN$1,$S40:$HK40,csv!$L40:$HD40)),NA(),LOOKUP(NN$1,$S40:$HK40,csv!$L40:$HD40))</f>
        <v>0</v>
      </c>
      <c r="NO40" s="5">
        <f>IF(ISERROR(LOOKUP(NO$1,$S40:$HK40,csv!$L40:$HD40)),NA(),LOOKUP(NO$1,$S40:$HK40,csv!$L40:$HD40))</f>
        <v>0</v>
      </c>
      <c r="NP40" s="5">
        <f>IF(ISERROR(LOOKUP(NP$1,$S40:$HK40,csv!$L40:$HD40)),NA(),LOOKUP(NP$1,$S40:$HK40,csv!$L40:$HD40))</f>
        <v>0</v>
      </c>
      <c r="NQ40" s="5">
        <f>IF(ISERROR(LOOKUP(NQ$1,$S40:$HK40,csv!$L40:$HD40)),NA(),LOOKUP(NQ$1,$S40:$HK40,csv!$L40:$HD40))</f>
        <v>0</v>
      </c>
      <c r="NR40" s="5">
        <f>IF(ISERROR(LOOKUP(NR$1,$S40:$HK40,csv!$L40:$HD40)),NA(),LOOKUP(NR$1,$S40:$HK40,csv!$L40:$HD40))</f>
        <v>0</v>
      </c>
      <c r="NS40" s="5">
        <f>IF(ISERROR(LOOKUP(NS$1,$S40:$HK40,csv!$L40:$HD40)),NA(),LOOKUP(NS$1,$S40:$HK40,csv!$L40:$HD40))</f>
        <v>0</v>
      </c>
      <c r="NT40" s="5">
        <f>IF(ISERROR(LOOKUP(NT$1,$S40:$HK40,csv!$L40:$HD40)),NA(),LOOKUP(NT$1,$S40:$HK40,csv!$L40:$HD40))</f>
        <v>0</v>
      </c>
      <c r="NU40" s="5">
        <f>IF(ISERROR(LOOKUP(NU$1,$S40:$HK40,csv!$L40:$HD40)),NA(),LOOKUP(NU$1,$S40:$HK40,csv!$L40:$HD40))</f>
        <v>0</v>
      </c>
      <c r="NV40" s="5">
        <f>IF(ISERROR(LOOKUP(NV$1,$S40:$HK40,csv!$L40:$HD40)),NA(),LOOKUP(NV$1,$S40:$HK40,csv!$L40:$HD40))</f>
        <v>0</v>
      </c>
      <c r="NW40" s="5">
        <f>IF(ISERROR(LOOKUP(NW$1,$S40:$HK40,csv!$L40:$HD40)),NA(),LOOKUP(NW$1,$S40:$HK40,csv!$L40:$HD40))</f>
        <v>0</v>
      </c>
      <c r="NX40" s="5">
        <f>IF(ISERROR(LOOKUP(NX$1,$S40:$HK40,csv!$L40:$HD40)),NA(),LOOKUP(NX$1,$S40:$HK40,csv!$L40:$HD40))</f>
        <v>0</v>
      </c>
      <c r="NY40" s="5">
        <f>IF(ISERROR(LOOKUP(NY$1,$S40:$HK40,csv!$L40:$HD40)),NA(),LOOKUP(NY$1,$S40:$HK40,csv!$L40:$HD40))</f>
        <v>0</v>
      </c>
      <c r="NZ40" s="5">
        <f>IF(ISERROR(LOOKUP(NZ$1,$S40:$HK40,csv!$L40:$HD40)),NA(),LOOKUP(NZ$1,$S40:$HK40,csv!$L40:$HD40))</f>
        <v>0</v>
      </c>
      <c r="OA40" s="5">
        <f>IF(ISERROR(LOOKUP(OA$1,$S40:$HK40,csv!$L40:$HD40)),NA(),LOOKUP(OA$1,$S40:$HK40,csv!$L40:$HD40))</f>
        <v>0</v>
      </c>
      <c r="OB40" s="5">
        <f>IF(ISERROR(LOOKUP(OB$1,$S40:$HK40,csv!$L40:$HD40)),NA(),LOOKUP(OB$1,$S40:$HK40,csv!$L40:$HD40))</f>
        <v>0</v>
      </c>
      <c r="OC40" s="5">
        <f>IF(ISERROR(LOOKUP(OC$1,$S40:$HK40,csv!$L40:$HD40)),NA(),LOOKUP(OC$1,$S40:$HK40,csv!$L40:$HD40))</f>
        <v>0</v>
      </c>
      <c r="OD40" s="5">
        <f>IF(ISERROR(LOOKUP(OD$1,$S40:$HK40,csv!$L40:$HD40)),NA(),LOOKUP(OD$1,$S40:$HK40,csv!$L40:$HD40))</f>
        <v>0</v>
      </c>
      <c r="OE40" s="5">
        <f>IF(ISERROR(LOOKUP(OE$1,$S40:$HK40,csv!$L40:$HD40)),NA(),LOOKUP(OE$1,$S40:$HK40,csv!$L40:$HD40))</f>
        <v>0</v>
      </c>
      <c r="OF40" s="5">
        <f>IF(ISERROR(LOOKUP(OF$1,$S40:$HK40,csv!$L40:$HD40)),NA(),LOOKUP(OF$1,$S40:$HK40,csv!$L40:$HD40))</f>
        <v>0</v>
      </c>
      <c r="OG40" s="5">
        <f>IF(ISERROR(LOOKUP(OG$1,$S40:$HK40,csv!$L40:$HD40)),NA(),LOOKUP(OG$1,$S40:$HK40,csv!$L40:$HD40))</f>
        <v>0</v>
      </c>
      <c r="OH40" s="5">
        <f>IF(ISERROR(LOOKUP(OH$1,$S40:$HK40,csv!$L40:$HD40)),NA(),LOOKUP(OH$1,$S40:$HK40,csv!$L40:$HD40))</f>
        <v>0</v>
      </c>
      <c r="OI40" s="5">
        <f>IF(ISERROR(LOOKUP(OI$1,$S40:$HK40,csv!$L40:$HD40)),NA(),LOOKUP(OI$1,$S40:$HK40,csv!$L40:$HD40))</f>
        <v>0</v>
      </c>
      <c r="OJ40" s="5">
        <f>IF(ISERROR(LOOKUP(OJ$1,$S40:$HK40,csv!$L40:$HD40)),NA(),LOOKUP(OJ$1,$S40:$HK40,csv!$L40:$HD40))</f>
        <v>0</v>
      </c>
      <c r="OK40" s="5">
        <f>IF(ISERROR(LOOKUP(OK$1,$S40:$HK40,csv!$L40:$HD40)),NA(),LOOKUP(OK$1,$S40:$HK40,csv!$L40:$HD40))</f>
        <v>0</v>
      </c>
      <c r="OL40" s="5">
        <f>IF(ISERROR(LOOKUP(OL$1,$S40:$HK40,csv!$L40:$HD40)),NA(),LOOKUP(OL$1,$S40:$HK40,csv!$L40:$HD40))</f>
        <v>0</v>
      </c>
      <c r="OM40" s="5">
        <f>IF(ISERROR(LOOKUP(OM$1,$S40:$HK40,csv!$L40:$HD40)),NA(),LOOKUP(OM$1,$S40:$HK40,csv!$L40:$HD40))</f>
        <v>0</v>
      </c>
      <c r="ON40" s="5">
        <f>IF(ISERROR(LOOKUP(ON$1,$S40:$HK40,csv!$L40:$HD40)),NA(),LOOKUP(ON$1,$S40:$HK40,csv!$L40:$HD40))</f>
        <v>0</v>
      </c>
      <c r="OO40" s="5">
        <f>IF(ISERROR(LOOKUP(OO$1,$S40:$HK40,csv!$L40:$HD40)),NA(),LOOKUP(OO$1,$S40:$HK40,csv!$L40:$HD40))</f>
        <v>0</v>
      </c>
      <c r="OP40" s="5">
        <f>IF(ISERROR(LOOKUP(OP$1,$S40:$HK40,csv!$L40:$HD40)),NA(),LOOKUP(OP$1,$S40:$HK40,csv!$L40:$HD40))</f>
        <v>0</v>
      </c>
      <c r="OQ40" s="5">
        <f>IF(ISERROR(LOOKUP(OQ$1,$S40:$HK40,csv!$L40:$HD40)),NA(),LOOKUP(OQ$1,$S40:$HK40,csv!$L40:$HD40))</f>
        <v>0</v>
      </c>
      <c r="OR40" s="5">
        <f>IF(ISERROR(LOOKUP(OR$1,$S40:$HK40,csv!$L40:$HD40)),NA(),LOOKUP(OR$1,$S40:$HK40,csv!$L40:$HD40))</f>
        <v>0</v>
      </c>
      <c r="OS40" s="5">
        <f>IF(ISERROR(LOOKUP(OS$1,$S40:$HK40,csv!$L40:$HD40)),NA(),LOOKUP(OS$1,$S40:$HK40,csv!$L40:$HD40))</f>
        <v>0</v>
      </c>
      <c r="OT40" s="5">
        <f>IF(ISERROR(LOOKUP(OT$1,$S40:$HK40,csv!$L40:$HD40)),NA(),LOOKUP(OT$1,$S40:$HK40,csv!$L40:$HD40))</f>
        <v>0</v>
      </c>
      <c r="OU40" s="5">
        <f>IF(ISERROR(LOOKUP(OU$1,$S40:$HK40,csv!$L40:$HD40)),NA(),LOOKUP(OU$1,$S40:$HK40,csv!$L40:$HD40))</f>
        <v>0</v>
      </c>
      <c r="OV40" s="5">
        <f>IF(ISERROR(LOOKUP(OV$1,$S40:$HK40,csv!$L40:$HD40)),NA(),LOOKUP(OV$1,$S40:$HK40,csv!$L40:$HD40))</f>
        <v>0</v>
      </c>
      <c r="OW40" s="5">
        <f>IF(ISERROR(LOOKUP(OW$1,$S40:$HK40,csv!$L40:$HD40)),NA(),LOOKUP(OW$1,$S40:$HK40,csv!$L40:$HD40))</f>
        <v>0</v>
      </c>
      <c r="OX40" s="5">
        <f>IF(ISERROR(LOOKUP(OX$1,$S40:$HK40,csv!$L40:$HD40)),NA(),LOOKUP(OX$1,$S40:$HK40,csv!$L40:$HD40))</f>
        <v>0</v>
      </c>
      <c r="OY40" s="5">
        <f>IF(ISERROR(LOOKUP(OY$1,$S40:$HK40,csv!$L40:$HD40)),NA(),LOOKUP(OY$1,$S40:$HK40,csv!$L40:$HD40))</f>
        <v>0</v>
      </c>
      <c r="OZ40" s="5">
        <f>IF(ISERROR(LOOKUP(OZ$1,$S40:$HK40,csv!$L40:$HD40)),NA(),LOOKUP(OZ$1,$S40:$HK40,csv!$L40:$HD40))</f>
        <v>0</v>
      </c>
      <c r="PA40" s="5">
        <f>IF(ISERROR(LOOKUP(PA$1,$S40:$HK40,csv!$L40:$HD40)),NA(),LOOKUP(PA$1,$S40:$HK40,csv!$L40:$HD40))</f>
        <v>0</v>
      </c>
      <c r="PB40" s="5">
        <f>IF(ISERROR(LOOKUP(PB$1,$S40:$HK40,csv!$L40:$HD40)),NA(),LOOKUP(PB$1,$S40:$HK40,csv!$L40:$HD40))</f>
        <v>0</v>
      </c>
      <c r="PC40" s="5">
        <f>IF(ISERROR(LOOKUP(PC$1,$S40:$HK40,csv!$L40:$HD40)),NA(),LOOKUP(PC$1,$S40:$HK40,csv!$L40:$HD40))</f>
        <v>0</v>
      </c>
      <c r="PD40" s="5">
        <f>IF(ISERROR(LOOKUP(PD$1,$S40:$HK40,csv!$L40:$HD40)),NA(),LOOKUP(PD$1,$S40:$HK40,csv!$L40:$HD40))</f>
        <v>0</v>
      </c>
      <c r="PE40" s="5">
        <f>IF(ISERROR(LOOKUP(PE$1,$S40:$HK40,csv!$L40:$HD40)),NA(),LOOKUP(PE$1,$S40:$HK40,csv!$L40:$HD40))</f>
        <v>0</v>
      </c>
      <c r="PF40" s="5">
        <f>IF(ISERROR(LOOKUP(PF$1,$S40:$HK40,csv!$L40:$HD40)),NA(),LOOKUP(PF$1,$S40:$HK40,csv!$L40:$HD40))</f>
        <v>0</v>
      </c>
      <c r="PG40" s="5">
        <f>IF(ISERROR(LOOKUP(PG$1,$S40:$HK40,csv!$L40:$HD40)),NA(),LOOKUP(PG$1,$S40:$HK40,csv!$L40:$HD40))</f>
        <v>0</v>
      </c>
      <c r="PH40" s="5">
        <f>IF(ISERROR(LOOKUP(PH$1,$S40:$HK40,csv!$L40:$HD40)),NA(),LOOKUP(PH$1,$S40:$HK40,csv!$L40:$HD40))</f>
        <v>0</v>
      </c>
      <c r="PI40" s="5">
        <f>IF(ISERROR(LOOKUP(PI$1,$S40:$HK40,csv!$L40:$HD40)),NA(),LOOKUP(PI$1,$S40:$HK40,csv!$L40:$HD40))</f>
        <v>0</v>
      </c>
      <c r="PJ40" s="5">
        <f>IF(ISERROR(LOOKUP(PJ$1,$S40:$HK40,csv!$L40:$HD40)),NA(),LOOKUP(PJ$1,$S40:$HK40,csv!$L40:$HD40))</f>
        <v>0</v>
      </c>
      <c r="PK40" s="5">
        <f>IF(ISERROR(LOOKUP(PK$1,$S40:$HK40,csv!$L40:$HD40)),NA(),LOOKUP(PK$1,$S40:$HK40,csv!$L40:$HD40))</f>
        <v>0</v>
      </c>
      <c r="PL40" s="5">
        <f>IF(ISERROR(LOOKUP(PL$1,$S40:$HK40,csv!$L40:$HD40)),NA(),LOOKUP(PL$1,$S40:$HK40,csv!$L40:$HD40))</f>
        <v>0</v>
      </c>
      <c r="PM40" s="5">
        <f>IF(ISERROR(LOOKUP(PM$1,$S40:$HK40,csv!$L40:$HD40)),NA(),LOOKUP(PM$1,$S40:$HK40,csv!$L40:$HD40))</f>
        <v>0</v>
      </c>
      <c r="PN40" s="5">
        <f>IF(ISERROR(LOOKUP(PN$1,$S40:$HK40,csv!$L40:$HD40)),NA(),LOOKUP(PN$1,$S40:$HK40,csv!$L40:$HD40))</f>
        <v>0</v>
      </c>
      <c r="PO40" s="5">
        <f>IF(ISERROR(LOOKUP(PO$1,$S40:$HK40,csv!$L40:$HD40)),NA(),LOOKUP(PO$1,$S40:$HK40,csv!$L40:$HD40))</f>
        <v>0</v>
      </c>
      <c r="PP40" s="5">
        <f>IF(ISERROR(LOOKUP(PP$1,$S40:$HK40,csv!$L40:$HD40)),NA(),LOOKUP(PP$1,$S40:$HK40,csv!$L40:$HD40))</f>
        <v>0</v>
      </c>
      <c r="PQ40" s="5">
        <f>IF(ISERROR(LOOKUP(PQ$1,$S40:$HK40,csv!$L40:$HD40)),NA(),LOOKUP(PQ$1,$S40:$HK40,csv!$L40:$HD40))</f>
        <v>0</v>
      </c>
      <c r="PR40" s="5">
        <f>IF(ISERROR(LOOKUP(PR$1,$S40:$HK40,csv!$L40:$HD40)),NA(),LOOKUP(PR$1,$S40:$HK40,csv!$L40:$HD40))</f>
        <v>0</v>
      </c>
      <c r="PS40" s="5">
        <f>IF(ISERROR(LOOKUP(PS$1,$S40:$HK40,csv!$L40:$HD40)),NA(),LOOKUP(PS$1,$S40:$HK40,csv!$L40:$HD40))</f>
        <v>0</v>
      </c>
      <c r="PT40" s="5">
        <f>IF(ISERROR(LOOKUP(PT$1,$S40:$HK40,csv!$L40:$HD40)),NA(),LOOKUP(PT$1,$S40:$HK40,csv!$L40:$HD40))</f>
        <v>0</v>
      </c>
      <c r="PU40" s="5">
        <f>IF(ISERROR(LOOKUP(PU$1,$S40:$HK40,csv!$L40:$HD40)),NA(),LOOKUP(PU$1,$S40:$HK40,csv!$L40:$HD40))</f>
        <v>0</v>
      </c>
      <c r="PV40" s="5">
        <f>IF(ISERROR(LOOKUP(PV$1,$S40:$HK40,csv!$L40:$HD40)),NA(),LOOKUP(PV$1,$S40:$HK40,csv!$L40:$HD40))</f>
        <v>0</v>
      </c>
      <c r="PW40" s="5">
        <f>IF(ISERROR(LOOKUP(PW$1,$S40:$HK40,csv!$L40:$HD40)),NA(),LOOKUP(PW$1,$S40:$HK40,csv!$L40:$HD40))</f>
        <v>0</v>
      </c>
      <c r="PX40" s="5">
        <f>IF(ISERROR(LOOKUP(PX$1,$S40:$HK40,csv!$L40:$HD40)),NA(),LOOKUP(PX$1,$S40:$HK40,csv!$L40:$HD40))</f>
        <v>0</v>
      </c>
      <c r="PY40" s="5">
        <f>IF(ISERROR(LOOKUP(PY$1,$S40:$HK40,csv!$L40:$HD40)),NA(),LOOKUP(PY$1,$S40:$HK40,csv!$L40:$HD40))</f>
        <v>0</v>
      </c>
      <c r="PZ40" s="5">
        <f>IF(ISERROR(LOOKUP(PZ$1,$S40:$HK40,csv!$L40:$HD40)),NA(),LOOKUP(PZ$1,$S40:$HK40,csv!$L40:$HD40))</f>
        <v>0</v>
      </c>
      <c r="QA40" s="5">
        <f>IF(ISERROR(LOOKUP(QA$1,$S40:$HK40,csv!$L40:$HD40)),NA(),LOOKUP(QA$1,$S40:$HK40,csv!$L40:$HD40))</f>
        <v>0</v>
      </c>
      <c r="QB40" s="5">
        <f>IF(ISERROR(LOOKUP(QB$1,$S40:$HK40,csv!$L40:$HD40)),NA(),LOOKUP(QB$1,$S40:$HK40,csv!$L40:$HD40))</f>
        <v>0</v>
      </c>
      <c r="QC40" s="5">
        <f>IF(ISERROR(LOOKUP(QC$1,$S40:$HK40,csv!$L40:$HD40)),NA(),LOOKUP(QC$1,$S40:$HK40,csv!$L40:$HD40))</f>
        <v>0</v>
      </c>
      <c r="QD40" s="5">
        <f>IF(ISERROR(LOOKUP(QD$1,$S40:$HK40,csv!$L40:$HD40)),NA(),LOOKUP(QD$1,$S40:$HK40,csv!$L40:$HD40))</f>
        <v>0</v>
      </c>
      <c r="QE40" s="5">
        <f>IF(ISERROR(LOOKUP(QE$1,$S40:$HK40,csv!$L40:$HD40)),NA(),LOOKUP(QE$1,$S40:$HK40,csv!$L40:$HD40))</f>
        <v>0</v>
      </c>
      <c r="QF40" s="5">
        <f>IF(ISERROR(LOOKUP(QF$1,$S40:$HK40,csv!$L40:$HD40)),NA(),LOOKUP(QF$1,$S40:$HK40,csv!$L40:$HD40))</f>
        <v>0</v>
      </c>
      <c r="QG40" s="5">
        <f>IF(ISERROR(LOOKUP(QG$1,$S40:$HK40,csv!$L40:$HD40)),NA(),LOOKUP(QG$1,$S40:$HK40,csv!$L40:$HD40))</f>
        <v>0</v>
      </c>
      <c r="QH40" s="5">
        <f>IF(ISERROR(LOOKUP(QH$1,$S40:$HK40,csv!$L40:$HD40)),NA(),LOOKUP(QH$1,$S40:$HK40,csv!$L40:$HD40))</f>
        <v>0</v>
      </c>
      <c r="QI40" s="5">
        <f>IF(ISERROR(LOOKUP(QI$1,$S40:$HK40,csv!$L40:$HD40)),NA(),LOOKUP(QI$1,$S40:$HK40,csv!$L40:$HD40))</f>
        <v>0</v>
      </c>
      <c r="QJ40" s="5">
        <f>IF(ISERROR(LOOKUP(QJ$1,$S40:$HK40,csv!$L40:$HD40)),NA(),LOOKUP(QJ$1,$S40:$HK40,csv!$L40:$HD40))</f>
        <v>0</v>
      </c>
      <c r="QK40" s="5">
        <f>IF(ISERROR(LOOKUP(QK$1,$S40:$HK40,csv!$L40:$HD40)),NA(),LOOKUP(QK$1,$S40:$HK40,csv!$L40:$HD40))</f>
        <v>0</v>
      </c>
      <c r="QL40" s="5">
        <f>IF(ISERROR(LOOKUP(QL$1,$S40:$HK40,csv!$L40:$HD40)),NA(),LOOKUP(QL$1,$S40:$HK40,csv!$L40:$HD40))</f>
        <v>0</v>
      </c>
      <c r="QM40" s="5">
        <f>IF(ISERROR(LOOKUP(QM$1,$S40:$HK40,csv!$L40:$HD40)),NA(),LOOKUP(QM$1,$S40:$HK40,csv!$L40:$HD40))</f>
        <v>0</v>
      </c>
      <c r="QN40" s="5">
        <f>IF(ISERROR(LOOKUP(QN$1,$S40:$HK40,csv!$L40:$HD40)),NA(),LOOKUP(QN$1,$S40:$HK40,csv!$L40:$HD40))</f>
        <v>0</v>
      </c>
      <c r="QO40" s="5">
        <f>IF(ISERROR(LOOKUP(QO$1,$S40:$HK40,csv!$L40:$HD40)),NA(),LOOKUP(QO$1,$S40:$HK40,csv!$L40:$HD40))</f>
        <v>0</v>
      </c>
      <c r="QP40" s="5">
        <f>IF(ISERROR(LOOKUP(QP$1,$S40:$HK40,csv!$L40:$HD40)),NA(),LOOKUP(QP$1,$S40:$HK40,csv!$L40:$HD40))</f>
        <v>0</v>
      </c>
      <c r="QQ40" s="5">
        <f>IF(ISERROR(LOOKUP(QQ$1,$S40:$HK40,csv!$L40:$HD40)),NA(),LOOKUP(QQ$1,$S40:$HK40,csv!$L40:$HD40))</f>
        <v>0</v>
      </c>
      <c r="QR40" s="5">
        <f>IF(ISERROR(LOOKUP(QR$1,$S40:$HK40,csv!$L40:$HD40)),NA(),LOOKUP(QR$1,$S40:$HK40,csv!$L40:$HD40))</f>
        <v>0</v>
      </c>
      <c r="QS40" s="5">
        <f>IF(ISERROR(LOOKUP(QS$1,$S40:$HK40,csv!$L40:$HD40)),NA(),LOOKUP(QS$1,$S40:$HK40,csv!$L40:$HD40))</f>
        <v>0</v>
      </c>
      <c r="QT40" s="5">
        <f>IF(ISERROR(LOOKUP(QT$1,$S40:$HK40,csv!$L40:$HD40)),NA(),LOOKUP(QT$1,$S40:$HK40,csv!$L40:$HD40))</f>
        <v>0</v>
      </c>
      <c r="QU40" s="5">
        <f>IF(ISERROR(LOOKUP(QU$1,$S40:$HK40,csv!$L40:$HD40)),NA(),LOOKUP(QU$1,$S40:$HK40,csv!$L40:$HD40))</f>
        <v>0</v>
      </c>
      <c r="QV40" s="5">
        <f>IF(ISERROR(LOOKUP(QV$1,$S40:$HK40,csv!$L40:$HD40)),NA(),LOOKUP(QV$1,$S40:$HK40,csv!$L40:$HD40))</f>
        <v>0</v>
      </c>
      <c r="QW40" s="5">
        <f>IF(ISERROR(LOOKUP(QW$1,$S40:$HK40,csv!$L40:$HD40)),NA(),LOOKUP(QW$1,$S40:$HK40,csv!$L40:$HD40))</f>
        <v>0</v>
      </c>
      <c r="QX40" s="5">
        <f>IF(ISERROR(LOOKUP(QX$1,$S40:$HK40,csv!$L40:$HD40)),NA(),LOOKUP(QX$1,$S40:$HK40,csv!$L40:$HD40))</f>
        <v>0</v>
      </c>
      <c r="QY40" s="5">
        <f>IF(ISERROR(LOOKUP(QY$1,$S40:$HK40,csv!$L40:$HD40)),NA(),LOOKUP(QY$1,$S40:$HK40,csv!$L40:$HD40))</f>
        <v>0</v>
      </c>
      <c r="QZ40" s="5">
        <f>IF(ISERROR(LOOKUP(QZ$1,$S40:$HK40,csv!$L40:$HD40)),NA(),LOOKUP(QZ$1,$S40:$HK40,csv!$L40:$HD40))</f>
        <v>0</v>
      </c>
      <c r="RA40" s="5">
        <f>IF(ISERROR(LOOKUP(RA$1,$S40:$HK40,csv!$L40:$HD40)),NA(),LOOKUP(RA$1,$S40:$HK40,csv!$L40:$HD40))</f>
        <v>0</v>
      </c>
      <c r="RB40" s="5">
        <f>IF(ISERROR(LOOKUP(RB$1,$S40:$HK40,csv!$L40:$HD40)),NA(),LOOKUP(RB$1,$S40:$HK40,csv!$L40:$HD40))</f>
        <v>0</v>
      </c>
      <c r="RC40" s="5">
        <f>IF(ISERROR(LOOKUP(RC$1,$S40:$HK40,csv!$L40:$HD40)),NA(),LOOKUP(RC$1,$S40:$HK40,csv!$L40:$HD40))</f>
        <v>0</v>
      </c>
      <c r="RD40" s="5">
        <f>IF(ISERROR(LOOKUP(RD$1,$S40:$HK40,csv!$L40:$HD40)),NA(),LOOKUP(RD$1,$S40:$HK40,csv!$L40:$HD40))</f>
        <v>0</v>
      </c>
      <c r="RE40" s="5">
        <f>IF(ISERROR(LOOKUP(RE$1,$S40:$HK40,csv!$L40:$HD40)),NA(),LOOKUP(RE$1,$S40:$HK40,csv!$L40:$HD40))</f>
        <v>0</v>
      </c>
      <c r="RF40" s="5">
        <f>IF(ISERROR(LOOKUP(RF$1,$S40:$HK40,csv!$L40:$HD40)),NA(),LOOKUP(RF$1,$S40:$HK40,csv!$L40:$HD40))</f>
        <v>0</v>
      </c>
      <c r="RG40" s="5">
        <f>IF(ISERROR(LOOKUP(RG$1,$S40:$HK40,csv!$L40:$HD40)),NA(),LOOKUP(RG$1,$S40:$HK40,csv!$L40:$HD40))</f>
        <v>0</v>
      </c>
      <c r="RH40" s="5">
        <f>IF(ISERROR(LOOKUP(RH$1,$S40:$HK40,csv!$L40:$HD40)),NA(),LOOKUP(RH$1,$S40:$HK40,csv!$L40:$HD40))</f>
        <v>0</v>
      </c>
      <c r="RI40" s="5">
        <f>IF(ISERROR(LOOKUP(RI$1,$S40:$HK40,csv!$L40:$HD40)),NA(),LOOKUP(RI$1,$S40:$HK40,csv!$L40:$HD40))</f>
        <v>0</v>
      </c>
      <c r="RJ40" s="5">
        <f>IF(ISERROR(LOOKUP(RJ$1,$S40:$HK40,csv!$L40:$HD40)),NA(),LOOKUP(RJ$1,$S40:$HK40,csv!$L40:$HD40))</f>
        <v>0</v>
      </c>
      <c r="RK40" s="5">
        <f>IF(ISERROR(LOOKUP(RK$1,$S40:$HK40,csv!$L40:$HD40)),NA(),LOOKUP(RK$1,$S40:$HK40,csv!$L40:$HD40))</f>
        <v>0</v>
      </c>
      <c r="RL40" s="5">
        <f>IF(ISERROR(LOOKUP(RL$1,$S40:$HK40,csv!$L40:$HD40)),NA(),LOOKUP(RL$1,$S40:$HK40,csv!$L40:$HD40))</f>
        <v>0</v>
      </c>
      <c r="RM40" s="5">
        <f>IF(ISERROR(LOOKUP(RM$1,$S40:$HK40,csv!$L40:$HD40)),NA(),LOOKUP(RM$1,$S40:$HK40,csv!$L40:$HD40))</f>
        <v>0</v>
      </c>
      <c r="RN40" s="5">
        <f>IF(ISERROR(LOOKUP(RN$1,$S40:$HK40,csv!$L40:$HD40)),NA(),LOOKUP(RN$1,$S40:$HK40,csv!$L40:$HD40))</f>
        <v>0</v>
      </c>
      <c r="RO40" s="5">
        <f>IF(ISERROR(LOOKUP(RO$1,$S40:$HK40,csv!$L40:$HD40)),NA(),LOOKUP(RO$1,$S40:$HK40,csv!$L40:$HD40))</f>
        <v>0</v>
      </c>
      <c r="RP40" s="5">
        <f>IF(ISERROR(LOOKUP(RP$1,$S40:$HK40,csv!$L40:$HD40)),NA(),LOOKUP(RP$1,$S40:$HK40,csv!$L40:$HD40))</f>
        <v>0</v>
      </c>
      <c r="RQ40" s="5">
        <f>IF(ISERROR(LOOKUP(RQ$1,$S40:$HK40,csv!$L40:$HD40)),NA(),LOOKUP(RQ$1,$S40:$HK40,csv!$L40:$HD40))</f>
        <v>0</v>
      </c>
      <c r="RR40" s="5">
        <f>IF(ISERROR(LOOKUP(RR$1,$S40:$HK40,csv!$L40:$HD40)),NA(),LOOKUP(RR$1,$S40:$HK40,csv!$L40:$HD40))</f>
        <v>0</v>
      </c>
      <c r="RS40" s="5">
        <f>IF(ISERROR(LOOKUP(RS$1,$S40:$HK40,csv!$L40:$HD40)),NA(),LOOKUP(RS$1,$S40:$HK40,csv!$L40:$HD40))</f>
        <v>0</v>
      </c>
      <c r="RT40" s="5">
        <f>IF(ISERROR(LOOKUP(RT$1,$S40:$HK40,csv!$L40:$HD40)),NA(),LOOKUP(RT$1,$S40:$HK40,csv!$L40:$HD40))</f>
        <v>0</v>
      </c>
      <c r="RU40" s="5">
        <f>IF(ISERROR(LOOKUP(RU$1,$S40:$HK40,csv!$L40:$HD40)),NA(),LOOKUP(RU$1,$S40:$HK40,csv!$L40:$HD40))</f>
        <v>0</v>
      </c>
      <c r="RV40" s="5">
        <f>IF(ISERROR(LOOKUP(RV$1,$S40:$HK40,csv!$L40:$HD40)),NA(),LOOKUP(RV$1,$S40:$HK40,csv!$L40:$HD40))</f>
        <v>0</v>
      </c>
      <c r="RW40" s="5">
        <f>IF(ISERROR(LOOKUP(RW$1,$S40:$HK40,csv!$L40:$HD40)),NA(),LOOKUP(RW$1,$S40:$HK40,csv!$L40:$HD40))</f>
        <v>0</v>
      </c>
      <c r="RX40" s="5">
        <f>IF(ISERROR(LOOKUP(RX$1,$S40:$HK40,csv!$L40:$HD40)),NA(),LOOKUP(RX$1,$S40:$HK40,csv!$L40:$HD40))</f>
        <v>0</v>
      </c>
      <c r="RY40" s="5">
        <f>IF(ISERROR(LOOKUP(RY$1,$S40:$HK40,csv!$L40:$HD40)),NA(),LOOKUP(RY$1,$S40:$HK40,csv!$L40:$HD40))</f>
        <v>0</v>
      </c>
      <c r="RZ40" s="5">
        <f>IF(ISERROR(LOOKUP(RZ$1,$S40:$HK40,csv!$L40:$HD40)),NA(),LOOKUP(RZ$1,$S40:$HK40,csv!$L40:$HD40))</f>
        <v>0</v>
      </c>
      <c r="SA40" s="5">
        <f>IF(ISERROR(LOOKUP(SA$1,$S40:$HK40,csv!$L40:$HD40)),NA(),LOOKUP(SA$1,$S40:$HK40,csv!$L40:$HD40))</f>
        <v>0</v>
      </c>
      <c r="SB40" s="5">
        <f>IF(ISERROR(LOOKUP(SB$1,$S40:$HK40,csv!$L40:$HD40)),NA(),LOOKUP(SB$1,$S40:$HK40,csv!$L40:$HD40))</f>
        <v>0</v>
      </c>
      <c r="SC40" s="5">
        <f>IF(ISERROR(LOOKUP(SC$1,$S40:$HK40,csv!$L40:$HD40)),NA(),LOOKUP(SC$1,$S40:$HK40,csv!$L40:$HD40))</f>
        <v>0</v>
      </c>
      <c r="SD40" s="5">
        <f>IF(ISERROR(LOOKUP(SD$1,$S40:$HK40,csv!$L40:$HD40)),NA(),LOOKUP(SD$1,$S40:$HK40,csv!$L40:$HD40))</f>
        <v>0</v>
      </c>
      <c r="SE40" s="5">
        <f>IF(ISERROR(LOOKUP(SE$1,$S40:$HK40,csv!$L40:$HD40)),NA(),LOOKUP(SE$1,$S40:$HK40,csv!$L40:$HD40))</f>
        <v>0</v>
      </c>
      <c r="SF40" s="5">
        <f>IF(ISERROR(LOOKUP(SF$1,$S40:$HK40,csv!$L40:$HD40)),NA(),LOOKUP(SF$1,$S40:$HK40,csv!$L40:$HD40))</f>
        <v>0</v>
      </c>
      <c r="SG40" s="5">
        <f>IF(ISERROR(LOOKUP(SG$1,$S40:$HK40,csv!$L40:$HD40)),NA(),LOOKUP(SG$1,$S40:$HK40,csv!$L40:$HD40))</f>
        <v>0</v>
      </c>
      <c r="SH40" s="5">
        <f>IF(ISERROR(LOOKUP(SH$1,$S40:$HK40,csv!$L40:$HD40)),NA(),LOOKUP(SH$1,$S40:$HK40,csv!$L40:$HD40))</f>
        <v>0</v>
      </c>
      <c r="SI40" s="5">
        <f>IF(ISERROR(LOOKUP(SI$1,$S40:$HK40,csv!$L40:$HD40)),NA(),LOOKUP(SI$1,$S40:$HK40,csv!$L40:$HD40))</f>
        <v>0</v>
      </c>
      <c r="SJ40" s="5">
        <f>IF(ISERROR(LOOKUP(SJ$1,$S40:$HK40,csv!$L40:$HD40)),NA(),LOOKUP(SJ$1,$S40:$HK40,csv!$L40:$HD40))</f>
        <v>0</v>
      </c>
      <c r="SK40" s="5">
        <f>IF(ISERROR(LOOKUP(SK$1,$S40:$HK40,csv!$L40:$HD40)),NA(),LOOKUP(SK$1,$S40:$HK40,csv!$L40:$HD40))</f>
        <v>0</v>
      </c>
      <c r="SL40" s="5">
        <f>IF(ISERROR(LOOKUP(SL$1,$S40:$HK40,csv!$L40:$HD40)),NA(),LOOKUP(SL$1,$S40:$HK40,csv!$L40:$HD40))</f>
        <v>0</v>
      </c>
      <c r="SM40" s="5">
        <f>IF(ISERROR(LOOKUP(SM$1,$S40:$HK40,csv!$L40:$HD40)),NA(),LOOKUP(SM$1,$S40:$HK40,csv!$L40:$HD40))</f>
        <v>0</v>
      </c>
      <c r="SN40" s="5">
        <f>IF(ISERROR(LOOKUP(SN$1,$S40:$HK40,csv!$L40:$HD40)),NA(),LOOKUP(SN$1,$S40:$HK40,csv!$L40:$HD40))</f>
        <v>0</v>
      </c>
      <c r="SO40" s="5">
        <f>IF(ISERROR(LOOKUP(SO$1,$S40:$HK40,csv!$L40:$HD40)),NA(),LOOKUP(SO$1,$S40:$HK40,csv!$L40:$HD40))</f>
        <v>0</v>
      </c>
      <c r="SP40" s="5">
        <f>IF(ISERROR(LOOKUP(SP$1,$S40:$HK40,csv!$L40:$HD40)),NA(),LOOKUP(SP$1,$S40:$HK40,csv!$L40:$HD40))</f>
        <v>0</v>
      </c>
      <c r="SQ40" s="5">
        <f>IF(ISERROR(LOOKUP(SQ$1,$S40:$HK40,csv!$L40:$HD40)),NA(),LOOKUP(SQ$1,$S40:$HK40,csv!$L40:$HD40))</f>
        <v>0</v>
      </c>
      <c r="SR40" s="5">
        <f>IF(ISERROR(LOOKUP(SR$1,$S40:$HK40,csv!$L40:$HD40)),NA(),LOOKUP(SR$1,$S40:$HK40,csv!$L40:$HD40))</f>
        <v>0</v>
      </c>
      <c r="SS40" s="5">
        <f>IF(ISERROR(LOOKUP(SS$1,$S40:$HK40,csv!$L40:$HD40)),NA(),LOOKUP(SS$1,$S40:$HK40,csv!$L40:$HD40))</f>
        <v>0</v>
      </c>
      <c r="ST40" s="5">
        <f>IF(ISERROR(LOOKUP(ST$1,$S40:$HK40,csv!$L40:$HD40)),NA(),LOOKUP(ST$1,$S40:$HK40,csv!$L40:$HD40))</f>
        <v>0</v>
      </c>
      <c r="SU40" s="5">
        <f>IF(ISERROR(LOOKUP(SU$1,$S40:$HK40,csv!$L40:$HD40)),NA(),LOOKUP(SU$1,$S40:$HK40,csv!$L40:$HD40))</f>
        <v>0</v>
      </c>
      <c r="SV40" s="5">
        <f>IF(ISERROR(LOOKUP(SV$1,$S40:$HK40,csv!$L40:$HD40)),NA(),LOOKUP(SV$1,$S40:$HK40,csv!$L40:$HD40))</f>
        <v>0</v>
      </c>
      <c r="SW40" s="5">
        <f>IF(ISERROR(LOOKUP(SW$1,$S40:$HK40,csv!$L40:$HD40)),NA(),LOOKUP(SW$1,$S40:$HK40,csv!$L40:$HD40))</f>
        <v>0</v>
      </c>
      <c r="SX40" s="5">
        <f>IF(ISERROR(LOOKUP(SX$1,$S40:$HK40,csv!$L40:$HD40)),NA(),LOOKUP(SX$1,$S40:$HK40,csv!$L40:$HD40))</f>
        <v>0</v>
      </c>
      <c r="SY40" s="5">
        <f>IF(ISERROR(LOOKUP(SY$1,$S40:$HK40,csv!$L40:$HD40)),NA(),LOOKUP(SY$1,$S40:$HK40,csv!$L40:$HD40))</f>
        <v>0</v>
      </c>
      <c r="SZ40" s="5">
        <f>IF(ISERROR(LOOKUP(SZ$1,$S40:$HK40,csv!$L40:$HD40)),NA(),LOOKUP(SZ$1,$S40:$HK40,csv!$L40:$HD40))</f>
        <v>0</v>
      </c>
      <c r="TA40" s="5">
        <f>IF(ISERROR(LOOKUP(TA$1,$S40:$HK40,csv!$L40:$HD40)),NA(),LOOKUP(TA$1,$S40:$HK40,csv!$L40:$HD40))</f>
        <v>0</v>
      </c>
      <c r="TB40" s="5">
        <f>IF(ISERROR(LOOKUP(TB$1,$S40:$HK40,csv!$L40:$HD40)),NA(),LOOKUP(TB$1,$S40:$HK40,csv!$L40:$HD40))</f>
        <v>0</v>
      </c>
      <c r="TD40">
        <f>csv!HG40/10</f>
        <v>0</v>
      </c>
    </row>
    <row r="42" spans="19:525" x14ac:dyDescent="0.15">
      <c r="S42" t="s">
        <v>185</v>
      </c>
      <c r="V42" t="s">
        <v>186</v>
      </c>
      <c r="HM42" s="2" t="s">
        <v>192</v>
      </c>
      <c r="TD42" t="s">
        <v>200</v>
      </c>
    </row>
    <row r="43" spans="19:525" x14ac:dyDescent="0.15">
      <c r="S43" t="s">
        <v>178</v>
      </c>
      <c r="T43" t="s">
        <v>179</v>
      </c>
      <c r="U43" t="s">
        <v>180</v>
      </c>
      <c r="V43" t="s">
        <v>178</v>
      </c>
      <c r="W43" t="s">
        <v>179</v>
      </c>
      <c r="X43" t="s">
        <v>180</v>
      </c>
      <c r="HM43" s="2" t="e">
        <f>VLOOKUP(グラフ!$B$90,$C$2:$D$14,2,FALSE)</f>
        <v>#N/A</v>
      </c>
      <c r="TD43">
        <v>0</v>
      </c>
      <c r="TE43">
        <v>100</v>
      </c>
    </row>
    <row r="44" spans="19:525" x14ac:dyDescent="0.15">
      <c r="S44">
        <f>IF($S2&gt;=グラフ!$J$43,0,IF($HK2&lt;=グラフ!$J$43,100,INDEX(csv!$L2:$HD2,1,MATCH(グラフ!$J$43,$S2:$HK2,1))))</f>
        <v>0</v>
      </c>
      <c r="T44">
        <f>IF($S15&gt;=グラフ!$R$43,0,IF($HK15&lt;=グラフ!$R$43,100,INDEX(csv!$L15:$HD15,1,MATCH(グラフ!$R$43,$S15:$HK15,1))))</f>
        <v>0</v>
      </c>
      <c r="U44">
        <f>IF($S28&gt;=グラフ!$B$43,0,IF($HK28&lt;=グラフ!$B$43,100,INDEX(csv!$L28:$HD28,1,MATCH(グラフ!$B$43,$S28:$HK28,1))))</f>
        <v>0</v>
      </c>
      <c r="V44">
        <f>100-S44</f>
        <v>100</v>
      </c>
      <c r="W44">
        <f t="shared" ref="W44:X44" si="5">100-T44</f>
        <v>100</v>
      </c>
      <c r="X44">
        <f t="shared" si="5"/>
        <v>100</v>
      </c>
      <c r="HM44" s="2" t="s">
        <v>193</v>
      </c>
      <c r="HN44" s="8" t="e">
        <f>LOOKUP($HM43,$HM$2:$HM$14,HN$2:HN$14)</f>
        <v>#N/A</v>
      </c>
      <c r="HO44" s="8" t="e">
        <f t="shared" ref="HO44:JZ44" si="6">LOOKUP($HM43,$HM$2:$HM$14,HO$2:HO$14)</f>
        <v>#N/A</v>
      </c>
      <c r="HP44" s="8" t="e">
        <f t="shared" si="6"/>
        <v>#N/A</v>
      </c>
      <c r="HQ44" s="8" t="e">
        <f t="shared" si="6"/>
        <v>#N/A</v>
      </c>
      <c r="HR44" s="8" t="e">
        <f t="shared" si="6"/>
        <v>#N/A</v>
      </c>
      <c r="HS44" s="8" t="e">
        <f t="shared" si="6"/>
        <v>#N/A</v>
      </c>
      <c r="HT44" s="8" t="e">
        <f t="shared" si="6"/>
        <v>#N/A</v>
      </c>
      <c r="HU44" s="8" t="e">
        <f t="shared" si="6"/>
        <v>#N/A</v>
      </c>
      <c r="HV44" s="8" t="e">
        <f t="shared" si="6"/>
        <v>#N/A</v>
      </c>
      <c r="HW44" s="8" t="e">
        <f t="shared" si="6"/>
        <v>#N/A</v>
      </c>
      <c r="HX44" s="8" t="e">
        <f t="shared" si="6"/>
        <v>#N/A</v>
      </c>
      <c r="HY44" s="8" t="e">
        <f t="shared" si="6"/>
        <v>#N/A</v>
      </c>
      <c r="HZ44" s="8" t="e">
        <f t="shared" si="6"/>
        <v>#N/A</v>
      </c>
      <c r="IA44" s="8" t="e">
        <f t="shared" si="6"/>
        <v>#N/A</v>
      </c>
      <c r="IB44" s="8" t="e">
        <f t="shared" si="6"/>
        <v>#N/A</v>
      </c>
      <c r="IC44" s="8" t="e">
        <f t="shared" si="6"/>
        <v>#N/A</v>
      </c>
      <c r="ID44" s="8" t="e">
        <f t="shared" si="6"/>
        <v>#N/A</v>
      </c>
      <c r="IE44" s="8" t="e">
        <f t="shared" si="6"/>
        <v>#N/A</v>
      </c>
      <c r="IF44" s="8" t="e">
        <f t="shared" si="6"/>
        <v>#N/A</v>
      </c>
      <c r="IG44" s="8" t="e">
        <f t="shared" si="6"/>
        <v>#N/A</v>
      </c>
      <c r="IH44" s="8" t="e">
        <f t="shared" si="6"/>
        <v>#N/A</v>
      </c>
      <c r="II44" s="8" t="e">
        <f t="shared" si="6"/>
        <v>#N/A</v>
      </c>
      <c r="IJ44" s="8" t="e">
        <f t="shared" si="6"/>
        <v>#N/A</v>
      </c>
      <c r="IK44" s="8" t="e">
        <f t="shared" si="6"/>
        <v>#N/A</v>
      </c>
      <c r="IL44" s="8" t="e">
        <f t="shared" si="6"/>
        <v>#N/A</v>
      </c>
      <c r="IM44" s="8" t="e">
        <f t="shared" si="6"/>
        <v>#N/A</v>
      </c>
      <c r="IN44" s="8" t="e">
        <f t="shared" si="6"/>
        <v>#N/A</v>
      </c>
      <c r="IO44" s="8" t="e">
        <f t="shared" si="6"/>
        <v>#N/A</v>
      </c>
      <c r="IP44" s="8" t="e">
        <f t="shared" si="6"/>
        <v>#N/A</v>
      </c>
      <c r="IQ44" s="8" t="e">
        <f t="shared" si="6"/>
        <v>#N/A</v>
      </c>
      <c r="IR44" s="8" t="e">
        <f t="shared" si="6"/>
        <v>#N/A</v>
      </c>
      <c r="IS44" s="8" t="e">
        <f t="shared" si="6"/>
        <v>#N/A</v>
      </c>
      <c r="IT44" s="8" t="e">
        <f t="shared" si="6"/>
        <v>#N/A</v>
      </c>
      <c r="IU44" s="8" t="e">
        <f t="shared" si="6"/>
        <v>#N/A</v>
      </c>
      <c r="IV44" s="8" t="e">
        <f t="shared" si="6"/>
        <v>#N/A</v>
      </c>
      <c r="IW44" s="8" t="e">
        <f t="shared" si="6"/>
        <v>#N/A</v>
      </c>
      <c r="IX44" s="8" t="e">
        <f t="shared" si="6"/>
        <v>#N/A</v>
      </c>
      <c r="IY44" s="8" t="e">
        <f t="shared" si="6"/>
        <v>#N/A</v>
      </c>
      <c r="IZ44" s="8" t="e">
        <f t="shared" si="6"/>
        <v>#N/A</v>
      </c>
      <c r="JA44" s="8" t="e">
        <f t="shared" si="6"/>
        <v>#N/A</v>
      </c>
      <c r="JB44" s="8" t="e">
        <f t="shared" si="6"/>
        <v>#N/A</v>
      </c>
      <c r="JC44" s="8" t="e">
        <f t="shared" si="6"/>
        <v>#N/A</v>
      </c>
      <c r="JD44" s="8" t="e">
        <f t="shared" si="6"/>
        <v>#N/A</v>
      </c>
      <c r="JE44" s="8" t="e">
        <f t="shared" si="6"/>
        <v>#N/A</v>
      </c>
      <c r="JF44" s="8" t="e">
        <f t="shared" si="6"/>
        <v>#N/A</v>
      </c>
      <c r="JG44" s="8" t="e">
        <f t="shared" si="6"/>
        <v>#N/A</v>
      </c>
      <c r="JH44" s="8" t="e">
        <f t="shared" si="6"/>
        <v>#N/A</v>
      </c>
      <c r="JI44" s="8" t="e">
        <f t="shared" si="6"/>
        <v>#N/A</v>
      </c>
      <c r="JJ44" s="8" t="e">
        <f t="shared" si="6"/>
        <v>#N/A</v>
      </c>
      <c r="JK44" s="8" t="e">
        <f t="shared" si="6"/>
        <v>#N/A</v>
      </c>
      <c r="JL44" s="8" t="e">
        <f t="shared" si="6"/>
        <v>#N/A</v>
      </c>
      <c r="JM44" s="8" t="e">
        <f t="shared" si="6"/>
        <v>#N/A</v>
      </c>
      <c r="JN44" s="8" t="e">
        <f t="shared" si="6"/>
        <v>#N/A</v>
      </c>
      <c r="JO44" s="8" t="e">
        <f t="shared" si="6"/>
        <v>#N/A</v>
      </c>
      <c r="JP44" s="8" t="e">
        <f t="shared" si="6"/>
        <v>#N/A</v>
      </c>
      <c r="JQ44" s="8" t="e">
        <f t="shared" si="6"/>
        <v>#N/A</v>
      </c>
      <c r="JR44" s="8" t="e">
        <f t="shared" si="6"/>
        <v>#N/A</v>
      </c>
      <c r="JS44" s="8" t="e">
        <f t="shared" si="6"/>
        <v>#N/A</v>
      </c>
      <c r="JT44" s="8" t="e">
        <f t="shared" si="6"/>
        <v>#N/A</v>
      </c>
      <c r="JU44" s="8" t="e">
        <f t="shared" si="6"/>
        <v>#N/A</v>
      </c>
      <c r="JV44" s="8" t="e">
        <f t="shared" si="6"/>
        <v>#N/A</v>
      </c>
      <c r="JW44" s="8" t="e">
        <f t="shared" si="6"/>
        <v>#N/A</v>
      </c>
      <c r="JX44" s="8" t="e">
        <f t="shared" si="6"/>
        <v>#N/A</v>
      </c>
      <c r="JY44" s="8" t="e">
        <f t="shared" si="6"/>
        <v>#N/A</v>
      </c>
      <c r="JZ44" s="8" t="e">
        <f t="shared" si="6"/>
        <v>#N/A</v>
      </c>
      <c r="KA44" s="8" t="e">
        <f t="shared" ref="KA44:ML44" si="7">LOOKUP($HM43,$HM$2:$HM$14,KA$2:KA$14)</f>
        <v>#N/A</v>
      </c>
      <c r="KB44" s="8" t="e">
        <f t="shared" si="7"/>
        <v>#N/A</v>
      </c>
      <c r="KC44" s="8" t="e">
        <f t="shared" si="7"/>
        <v>#N/A</v>
      </c>
      <c r="KD44" s="8" t="e">
        <f t="shared" si="7"/>
        <v>#N/A</v>
      </c>
      <c r="KE44" s="8" t="e">
        <f t="shared" si="7"/>
        <v>#N/A</v>
      </c>
      <c r="KF44" s="8" t="e">
        <f t="shared" si="7"/>
        <v>#N/A</v>
      </c>
      <c r="KG44" s="8" t="e">
        <f t="shared" si="7"/>
        <v>#N/A</v>
      </c>
      <c r="KH44" s="8" t="e">
        <f t="shared" si="7"/>
        <v>#N/A</v>
      </c>
      <c r="KI44" s="8" t="e">
        <f t="shared" si="7"/>
        <v>#N/A</v>
      </c>
      <c r="KJ44" s="8" t="e">
        <f t="shared" si="7"/>
        <v>#N/A</v>
      </c>
      <c r="KK44" s="8" t="e">
        <f t="shared" si="7"/>
        <v>#N/A</v>
      </c>
      <c r="KL44" s="8" t="e">
        <f t="shared" si="7"/>
        <v>#N/A</v>
      </c>
      <c r="KM44" s="8" t="e">
        <f t="shared" si="7"/>
        <v>#N/A</v>
      </c>
      <c r="KN44" s="8" t="e">
        <f t="shared" si="7"/>
        <v>#N/A</v>
      </c>
      <c r="KO44" s="8" t="e">
        <f t="shared" si="7"/>
        <v>#N/A</v>
      </c>
      <c r="KP44" s="8" t="e">
        <f t="shared" si="7"/>
        <v>#N/A</v>
      </c>
      <c r="KQ44" s="8" t="e">
        <f t="shared" si="7"/>
        <v>#N/A</v>
      </c>
      <c r="KR44" s="8" t="e">
        <f t="shared" si="7"/>
        <v>#N/A</v>
      </c>
      <c r="KS44" s="8" t="e">
        <f t="shared" si="7"/>
        <v>#N/A</v>
      </c>
      <c r="KT44" s="8" t="e">
        <f t="shared" si="7"/>
        <v>#N/A</v>
      </c>
      <c r="KU44" s="8" t="e">
        <f t="shared" si="7"/>
        <v>#N/A</v>
      </c>
      <c r="KV44" s="8" t="e">
        <f t="shared" si="7"/>
        <v>#N/A</v>
      </c>
      <c r="KW44" s="8" t="e">
        <f t="shared" si="7"/>
        <v>#N/A</v>
      </c>
      <c r="KX44" s="8" t="e">
        <f t="shared" si="7"/>
        <v>#N/A</v>
      </c>
      <c r="KY44" s="8" t="e">
        <f t="shared" si="7"/>
        <v>#N/A</v>
      </c>
      <c r="KZ44" s="8" t="e">
        <f t="shared" si="7"/>
        <v>#N/A</v>
      </c>
      <c r="LA44" s="8" t="e">
        <f t="shared" si="7"/>
        <v>#N/A</v>
      </c>
      <c r="LB44" s="8" t="e">
        <f t="shared" si="7"/>
        <v>#N/A</v>
      </c>
      <c r="LC44" s="8" t="e">
        <f t="shared" si="7"/>
        <v>#N/A</v>
      </c>
      <c r="LD44" s="8" t="e">
        <f t="shared" si="7"/>
        <v>#N/A</v>
      </c>
      <c r="LE44" s="8" t="e">
        <f t="shared" si="7"/>
        <v>#N/A</v>
      </c>
      <c r="LF44" s="8" t="e">
        <f t="shared" si="7"/>
        <v>#N/A</v>
      </c>
      <c r="LG44" s="8" t="e">
        <f t="shared" si="7"/>
        <v>#N/A</v>
      </c>
      <c r="LH44" s="8" t="e">
        <f t="shared" si="7"/>
        <v>#N/A</v>
      </c>
      <c r="LI44" s="8" t="e">
        <f t="shared" si="7"/>
        <v>#N/A</v>
      </c>
      <c r="LJ44" s="8" t="e">
        <f t="shared" si="7"/>
        <v>#N/A</v>
      </c>
      <c r="LK44" s="8" t="e">
        <f t="shared" si="7"/>
        <v>#N/A</v>
      </c>
      <c r="LL44" s="8" t="e">
        <f t="shared" si="7"/>
        <v>#N/A</v>
      </c>
      <c r="LM44" s="8" t="e">
        <f t="shared" si="7"/>
        <v>#N/A</v>
      </c>
      <c r="LN44" s="8" t="e">
        <f t="shared" si="7"/>
        <v>#N/A</v>
      </c>
      <c r="LO44" s="8" t="e">
        <f t="shared" si="7"/>
        <v>#N/A</v>
      </c>
      <c r="LP44" s="8" t="e">
        <f t="shared" si="7"/>
        <v>#N/A</v>
      </c>
      <c r="LQ44" s="8" t="e">
        <f t="shared" si="7"/>
        <v>#N/A</v>
      </c>
      <c r="LR44" s="8" t="e">
        <f t="shared" si="7"/>
        <v>#N/A</v>
      </c>
      <c r="LS44" s="8" t="e">
        <f t="shared" si="7"/>
        <v>#N/A</v>
      </c>
      <c r="LT44" s="8" t="e">
        <f t="shared" si="7"/>
        <v>#N/A</v>
      </c>
      <c r="LU44" s="8" t="e">
        <f t="shared" si="7"/>
        <v>#N/A</v>
      </c>
      <c r="LV44" s="8" t="e">
        <f t="shared" si="7"/>
        <v>#N/A</v>
      </c>
      <c r="LW44" s="8" t="e">
        <f t="shared" si="7"/>
        <v>#N/A</v>
      </c>
      <c r="LX44" s="8" t="e">
        <f t="shared" si="7"/>
        <v>#N/A</v>
      </c>
      <c r="LY44" s="8" t="e">
        <f t="shared" si="7"/>
        <v>#N/A</v>
      </c>
      <c r="LZ44" s="8" t="e">
        <f t="shared" si="7"/>
        <v>#N/A</v>
      </c>
      <c r="MA44" s="8" t="e">
        <f t="shared" si="7"/>
        <v>#N/A</v>
      </c>
      <c r="MB44" s="8" t="e">
        <f t="shared" si="7"/>
        <v>#N/A</v>
      </c>
      <c r="MC44" s="8" t="e">
        <f t="shared" si="7"/>
        <v>#N/A</v>
      </c>
      <c r="MD44" s="8" t="e">
        <f t="shared" si="7"/>
        <v>#N/A</v>
      </c>
      <c r="ME44" s="8" t="e">
        <f t="shared" si="7"/>
        <v>#N/A</v>
      </c>
      <c r="MF44" s="8" t="e">
        <f t="shared" si="7"/>
        <v>#N/A</v>
      </c>
      <c r="MG44" s="8" t="e">
        <f t="shared" si="7"/>
        <v>#N/A</v>
      </c>
      <c r="MH44" s="8" t="e">
        <f t="shared" si="7"/>
        <v>#N/A</v>
      </c>
      <c r="MI44" s="8" t="e">
        <f t="shared" si="7"/>
        <v>#N/A</v>
      </c>
      <c r="MJ44" s="8" t="e">
        <f t="shared" si="7"/>
        <v>#N/A</v>
      </c>
      <c r="MK44" s="8" t="e">
        <f t="shared" si="7"/>
        <v>#N/A</v>
      </c>
      <c r="ML44" s="8" t="e">
        <f t="shared" si="7"/>
        <v>#N/A</v>
      </c>
      <c r="MM44" s="8" t="e">
        <f t="shared" ref="MM44:OX44" si="8">LOOKUP($HM43,$HM$2:$HM$14,MM$2:MM$14)</f>
        <v>#N/A</v>
      </c>
      <c r="MN44" s="8" t="e">
        <f t="shared" si="8"/>
        <v>#N/A</v>
      </c>
      <c r="MO44" s="8" t="e">
        <f t="shared" si="8"/>
        <v>#N/A</v>
      </c>
      <c r="MP44" s="8" t="e">
        <f t="shared" si="8"/>
        <v>#N/A</v>
      </c>
      <c r="MQ44" s="8" t="e">
        <f t="shared" si="8"/>
        <v>#N/A</v>
      </c>
      <c r="MR44" s="8" t="e">
        <f t="shared" si="8"/>
        <v>#N/A</v>
      </c>
      <c r="MS44" s="8" t="e">
        <f t="shared" si="8"/>
        <v>#N/A</v>
      </c>
      <c r="MT44" s="8" t="e">
        <f t="shared" si="8"/>
        <v>#N/A</v>
      </c>
      <c r="MU44" s="8" t="e">
        <f t="shared" si="8"/>
        <v>#N/A</v>
      </c>
      <c r="MV44" s="8" t="e">
        <f t="shared" si="8"/>
        <v>#N/A</v>
      </c>
      <c r="MW44" s="8" t="e">
        <f t="shared" si="8"/>
        <v>#N/A</v>
      </c>
      <c r="MX44" s="8" t="e">
        <f t="shared" si="8"/>
        <v>#N/A</v>
      </c>
      <c r="MY44" s="8" t="e">
        <f t="shared" si="8"/>
        <v>#N/A</v>
      </c>
      <c r="MZ44" s="8" t="e">
        <f t="shared" si="8"/>
        <v>#N/A</v>
      </c>
      <c r="NA44" s="8" t="e">
        <f t="shared" si="8"/>
        <v>#N/A</v>
      </c>
      <c r="NB44" s="8" t="e">
        <f t="shared" si="8"/>
        <v>#N/A</v>
      </c>
      <c r="NC44" s="8" t="e">
        <f t="shared" si="8"/>
        <v>#N/A</v>
      </c>
      <c r="ND44" s="8" t="e">
        <f t="shared" si="8"/>
        <v>#N/A</v>
      </c>
      <c r="NE44" s="8" t="e">
        <f t="shared" si="8"/>
        <v>#N/A</v>
      </c>
      <c r="NF44" s="8" t="e">
        <f t="shared" si="8"/>
        <v>#N/A</v>
      </c>
      <c r="NG44" s="8" t="e">
        <f t="shared" si="8"/>
        <v>#N/A</v>
      </c>
      <c r="NH44" s="8" t="e">
        <f t="shared" si="8"/>
        <v>#N/A</v>
      </c>
      <c r="NI44" s="8" t="e">
        <f t="shared" si="8"/>
        <v>#N/A</v>
      </c>
      <c r="NJ44" s="8" t="e">
        <f t="shared" si="8"/>
        <v>#N/A</v>
      </c>
      <c r="NK44" s="8" t="e">
        <f t="shared" si="8"/>
        <v>#N/A</v>
      </c>
      <c r="NL44" s="8" t="e">
        <f t="shared" si="8"/>
        <v>#N/A</v>
      </c>
      <c r="NM44" s="8" t="e">
        <f t="shared" si="8"/>
        <v>#N/A</v>
      </c>
      <c r="NN44" s="8" t="e">
        <f t="shared" si="8"/>
        <v>#N/A</v>
      </c>
      <c r="NO44" s="8" t="e">
        <f t="shared" si="8"/>
        <v>#N/A</v>
      </c>
      <c r="NP44" s="8" t="e">
        <f t="shared" si="8"/>
        <v>#N/A</v>
      </c>
      <c r="NQ44" s="8" t="e">
        <f t="shared" si="8"/>
        <v>#N/A</v>
      </c>
      <c r="NR44" s="8" t="e">
        <f t="shared" si="8"/>
        <v>#N/A</v>
      </c>
      <c r="NS44" s="8" t="e">
        <f t="shared" si="8"/>
        <v>#N/A</v>
      </c>
      <c r="NT44" s="8" t="e">
        <f t="shared" si="8"/>
        <v>#N/A</v>
      </c>
      <c r="NU44" s="8" t="e">
        <f t="shared" si="8"/>
        <v>#N/A</v>
      </c>
      <c r="NV44" s="8" t="e">
        <f t="shared" si="8"/>
        <v>#N/A</v>
      </c>
      <c r="NW44" s="8" t="e">
        <f t="shared" si="8"/>
        <v>#N/A</v>
      </c>
      <c r="NX44" s="8" t="e">
        <f t="shared" si="8"/>
        <v>#N/A</v>
      </c>
      <c r="NY44" s="8" t="e">
        <f t="shared" si="8"/>
        <v>#N/A</v>
      </c>
      <c r="NZ44" s="8" t="e">
        <f t="shared" si="8"/>
        <v>#N/A</v>
      </c>
      <c r="OA44" s="8" t="e">
        <f t="shared" si="8"/>
        <v>#N/A</v>
      </c>
      <c r="OB44" s="8" t="e">
        <f t="shared" si="8"/>
        <v>#N/A</v>
      </c>
      <c r="OC44" s="8" t="e">
        <f t="shared" si="8"/>
        <v>#N/A</v>
      </c>
      <c r="OD44" s="8" t="e">
        <f t="shared" si="8"/>
        <v>#N/A</v>
      </c>
      <c r="OE44" s="8" t="e">
        <f t="shared" si="8"/>
        <v>#N/A</v>
      </c>
      <c r="OF44" s="8" t="e">
        <f t="shared" si="8"/>
        <v>#N/A</v>
      </c>
      <c r="OG44" s="8" t="e">
        <f t="shared" si="8"/>
        <v>#N/A</v>
      </c>
      <c r="OH44" s="8" t="e">
        <f t="shared" si="8"/>
        <v>#N/A</v>
      </c>
      <c r="OI44" s="8" t="e">
        <f t="shared" si="8"/>
        <v>#N/A</v>
      </c>
      <c r="OJ44" s="8" t="e">
        <f t="shared" si="8"/>
        <v>#N/A</v>
      </c>
      <c r="OK44" s="8" t="e">
        <f t="shared" si="8"/>
        <v>#N/A</v>
      </c>
      <c r="OL44" s="8" t="e">
        <f t="shared" si="8"/>
        <v>#N/A</v>
      </c>
      <c r="OM44" s="8" t="e">
        <f t="shared" si="8"/>
        <v>#N/A</v>
      </c>
      <c r="ON44" s="8" t="e">
        <f t="shared" si="8"/>
        <v>#N/A</v>
      </c>
      <c r="OO44" s="8" t="e">
        <f t="shared" si="8"/>
        <v>#N/A</v>
      </c>
      <c r="OP44" s="8" t="e">
        <f t="shared" si="8"/>
        <v>#N/A</v>
      </c>
      <c r="OQ44" s="8" t="e">
        <f t="shared" si="8"/>
        <v>#N/A</v>
      </c>
      <c r="OR44" s="8" t="e">
        <f t="shared" si="8"/>
        <v>#N/A</v>
      </c>
      <c r="OS44" s="8" t="e">
        <f t="shared" si="8"/>
        <v>#N/A</v>
      </c>
      <c r="OT44" s="8" t="e">
        <f t="shared" si="8"/>
        <v>#N/A</v>
      </c>
      <c r="OU44" s="8" t="e">
        <f t="shared" si="8"/>
        <v>#N/A</v>
      </c>
      <c r="OV44" s="8" t="e">
        <f t="shared" si="8"/>
        <v>#N/A</v>
      </c>
      <c r="OW44" s="8" t="e">
        <f t="shared" si="8"/>
        <v>#N/A</v>
      </c>
      <c r="OX44" s="8" t="e">
        <f t="shared" si="8"/>
        <v>#N/A</v>
      </c>
      <c r="OY44" s="8" t="e">
        <f t="shared" ref="OY44:RJ44" si="9">LOOKUP($HM43,$HM$2:$HM$14,OY$2:OY$14)</f>
        <v>#N/A</v>
      </c>
      <c r="OZ44" s="8" t="e">
        <f t="shared" si="9"/>
        <v>#N/A</v>
      </c>
      <c r="PA44" s="8" t="e">
        <f t="shared" si="9"/>
        <v>#N/A</v>
      </c>
      <c r="PB44" s="8" t="e">
        <f t="shared" si="9"/>
        <v>#N/A</v>
      </c>
      <c r="PC44" s="8" t="e">
        <f t="shared" si="9"/>
        <v>#N/A</v>
      </c>
      <c r="PD44" s="8" t="e">
        <f t="shared" si="9"/>
        <v>#N/A</v>
      </c>
      <c r="PE44" s="8" t="e">
        <f t="shared" si="9"/>
        <v>#N/A</v>
      </c>
      <c r="PF44" s="8" t="e">
        <f t="shared" si="9"/>
        <v>#N/A</v>
      </c>
      <c r="PG44" s="8" t="e">
        <f t="shared" si="9"/>
        <v>#N/A</v>
      </c>
      <c r="PH44" s="8" t="e">
        <f t="shared" si="9"/>
        <v>#N/A</v>
      </c>
      <c r="PI44" s="8" t="e">
        <f t="shared" si="9"/>
        <v>#N/A</v>
      </c>
      <c r="PJ44" s="8" t="e">
        <f t="shared" si="9"/>
        <v>#N/A</v>
      </c>
      <c r="PK44" s="8" t="e">
        <f t="shared" si="9"/>
        <v>#N/A</v>
      </c>
      <c r="PL44" s="8" t="e">
        <f t="shared" si="9"/>
        <v>#N/A</v>
      </c>
      <c r="PM44" s="8" t="e">
        <f t="shared" si="9"/>
        <v>#N/A</v>
      </c>
      <c r="PN44" s="8" t="e">
        <f t="shared" si="9"/>
        <v>#N/A</v>
      </c>
      <c r="PO44" s="8" t="e">
        <f t="shared" si="9"/>
        <v>#N/A</v>
      </c>
      <c r="PP44" s="8" t="e">
        <f t="shared" si="9"/>
        <v>#N/A</v>
      </c>
      <c r="PQ44" s="8" t="e">
        <f t="shared" si="9"/>
        <v>#N/A</v>
      </c>
      <c r="PR44" s="8" t="e">
        <f t="shared" si="9"/>
        <v>#N/A</v>
      </c>
      <c r="PS44" s="8" t="e">
        <f t="shared" si="9"/>
        <v>#N/A</v>
      </c>
      <c r="PT44" s="8" t="e">
        <f t="shared" si="9"/>
        <v>#N/A</v>
      </c>
      <c r="PU44" s="8" t="e">
        <f t="shared" si="9"/>
        <v>#N/A</v>
      </c>
      <c r="PV44" s="8" t="e">
        <f t="shared" si="9"/>
        <v>#N/A</v>
      </c>
      <c r="PW44" s="8" t="e">
        <f t="shared" si="9"/>
        <v>#N/A</v>
      </c>
      <c r="PX44" s="8" t="e">
        <f t="shared" si="9"/>
        <v>#N/A</v>
      </c>
      <c r="PY44" s="8" t="e">
        <f t="shared" si="9"/>
        <v>#N/A</v>
      </c>
      <c r="PZ44" s="8" t="e">
        <f t="shared" si="9"/>
        <v>#N/A</v>
      </c>
      <c r="QA44" s="8" t="e">
        <f t="shared" si="9"/>
        <v>#N/A</v>
      </c>
      <c r="QB44" s="8" t="e">
        <f t="shared" si="9"/>
        <v>#N/A</v>
      </c>
      <c r="QC44" s="8" t="e">
        <f t="shared" si="9"/>
        <v>#N/A</v>
      </c>
      <c r="QD44" s="8" t="e">
        <f t="shared" si="9"/>
        <v>#N/A</v>
      </c>
      <c r="QE44" s="8" t="e">
        <f t="shared" si="9"/>
        <v>#N/A</v>
      </c>
      <c r="QF44" s="8" t="e">
        <f t="shared" si="9"/>
        <v>#N/A</v>
      </c>
      <c r="QG44" s="8" t="e">
        <f t="shared" si="9"/>
        <v>#N/A</v>
      </c>
      <c r="QH44" s="8" t="e">
        <f t="shared" si="9"/>
        <v>#N/A</v>
      </c>
      <c r="QI44" s="8" t="e">
        <f t="shared" si="9"/>
        <v>#N/A</v>
      </c>
      <c r="QJ44" s="8" t="e">
        <f t="shared" si="9"/>
        <v>#N/A</v>
      </c>
      <c r="QK44" s="8" t="e">
        <f t="shared" si="9"/>
        <v>#N/A</v>
      </c>
      <c r="QL44" s="8" t="e">
        <f t="shared" si="9"/>
        <v>#N/A</v>
      </c>
      <c r="QM44" s="8" t="e">
        <f t="shared" si="9"/>
        <v>#N/A</v>
      </c>
      <c r="QN44" s="8" t="e">
        <f t="shared" si="9"/>
        <v>#N/A</v>
      </c>
      <c r="QO44" s="8" t="e">
        <f t="shared" si="9"/>
        <v>#N/A</v>
      </c>
      <c r="QP44" s="8" t="e">
        <f t="shared" si="9"/>
        <v>#N/A</v>
      </c>
      <c r="QQ44" s="8" t="e">
        <f t="shared" si="9"/>
        <v>#N/A</v>
      </c>
      <c r="QR44" s="8" t="e">
        <f t="shared" si="9"/>
        <v>#N/A</v>
      </c>
      <c r="QS44" s="8" t="e">
        <f t="shared" si="9"/>
        <v>#N/A</v>
      </c>
      <c r="QT44" s="8" t="e">
        <f t="shared" si="9"/>
        <v>#N/A</v>
      </c>
      <c r="QU44" s="8" t="e">
        <f t="shared" si="9"/>
        <v>#N/A</v>
      </c>
      <c r="QV44" s="8" t="e">
        <f t="shared" si="9"/>
        <v>#N/A</v>
      </c>
      <c r="QW44" s="8" t="e">
        <f t="shared" si="9"/>
        <v>#N/A</v>
      </c>
      <c r="QX44" s="8" t="e">
        <f t="shared" si="9"/>
        <v>#N/A</v>
      </c>
      <c r="QY44" s="8" t="e">
        <f t="shared" si="9"/>
        <v>#N/A</v>
      </c>
      <c r="QZ44" s="8" t="e">
        <f t="shared" si="9"/>
        <v>#N/A</v>
      </c>
      <c r="RA44" s="8" t="e">
        <f t="shared" si="9"/>
        <v>#N/A</v>
      </c>
      <c r="RB44" s="8" t="e">
        <f t="shared" si="9"/>
        <v>#N/A</v>
      </c>
      <c r="RC44" s="8" t="e">
        <f t="shared" si="9"/>
        <v>#N/A</v>
      </c>
      <c r="RD44" s="8" t="e">
        <f t="shared" si="9"/>
        <v>#N/A</v>
      </c>
      <c r="RE44" s="8" t="e">
        <f t="shared" si="9"/>
        <v>#N/A</v>
      </c>
      <c r="RF44" s="8" t="e">
        <f t="shared" si="9"/>
        <v>#N/A</v>
      </c>
      <c r="RG44" s="8" t="e">
        <f t="shared" si="9"/>
        <v>#N/A</v>
      </c>
      <c r="RH44" s="8" t="e">
        <f t="shared" si="9"/>
        <v>#N/A</v>
      </c>
      <c r="RI44" s="8" t="e">
        <f t="shared" si="9"/>
        <v>#N/A</v>
      </c>
      <c r="RJ44" s="8" t="e">
        <f t="shared" si="9"/>
        <v>#N/A</v>
      </c>
      <c r="RK44" s="8" t="e">
        <f t="shared" ref="RK44:TB44" si="10">LOOKUP($HM43,$HM$2:$HM$14,RK$2:RK$14)</f>
        <v>#N/A</v>
      </c>
      <c r="RL44" s="8" t="e">
        <f t="shared" si="10"/>
        <v>#N/A</v>
      </c>
      <c r="RM44" s="8" t="e">
        <f t="shared" si="10"/>
        <v>#N/A</v>
      </c>
      <c r="RN44" s="8" t="e">
        <f t="shared" si="10"/>
        <v>#N/A</v>
      </c>
      <c r="RO44" s="8" t="e">
        <f t="shared" si="10"/>
        <v>#N/A</v>
      </c>
      <c r="RP44" s="8" t="e">
        <f t="shared" si="10"/>
        <v>#N/A</v>
      </c>
      <c r="RQ44" s="8" t="e">
        <f t="shared" si="10"/>
        <v>#N/A</v>
      </c>
      <c r="RR44" s="8" t="e">
        <f t="shared" si="10"/>
        <v>#N/A</v>
      </c>
      <c r="RS44" s="8" t="e">
        <f t="shared" si="10"/>
        <v>#N/A</v>
      </c>
      <c r="RT44" s="8" t="e">
        <f t="shared" si="10"/>
        <v>#N/A</v>
      </c>
      <c r="RU44" s="8" t="e">
        <f t="shared" si="10"/>
        <v>#N/A</v>
      </c>
      <c r="RV44" s="8" t="e">
        <f t="shared" si="10"/>
        <v>#N/A</v>
      </c>
      <c r="RW44" s="8" t="e">
        <f t="shared" si="10"/>
        <v>#N/A</v>
      </c>
      <c r="RX44" s="8" t="e">
        <f t="shared" si="10"/>
        <v>#N/A</v>
      </c>
      <c r="RY44" s="8" t="e">
        <f t="shared" si="10"/>
        <v>#N/A</v>
      </c>
      <c r="RZ44" s="8" t="e">
        <f t="shared" si="10"/>
        <v>#N/A</v>
      </c>
      <c r="SA44" s="8" t="e">
        <f t="shared" si="10"/>
        <v>#N/A</v>
      </c>
      <c r="SB44" s="8" t="e">
        <f t="shared" si="10"/>
        <v>#N/A</v>
      </c>
      <c r="SC44" s="8" t="e">
        <f t="shared" si="10"/>
        <v>#N/A</v>
      </c>
      <c r="SD44" s="8" t="e">
        <f t="shared" si="10"/>
        <v>#N/A</v>
      </c>
      <c r="SE44" s="8" t="e">
        <f t="shared" si="10"/>
        <v>#N/A</v>
      </c>
      <c r="SF44" s="8" t="e">
        <f t="shared" si="10"/>
        <v>#N/A</v>
      </c>
      <c r="SG44" s="8" t="e">
        <f t="shared" si="10"/>
        <v>#N/A</v>
      </c>
      <c r="SH44" s="8" t="e">
        <f t="shared" si="10"/>
        <v>#N/A</v>
      </c>
      <c r="SI44" s="8" t="e">
        <f t="shared" si="10"/>
        <v>#N/A</v>
      </c>
      <c r="SJ44" s="8" t="e">
        <f t="shared" si="10"/>
        <v>#N/A</v>
      </c>
      <c r="SK44" s="8" t="e">
        <f t="shared" si="10"/>
        <v>#N/A</v>
      </c>
      <c r="SL44" s="8" t="e">
        <f t="shared" si="10"/>
        <v>#N/A</v>
      </c>
      <c r="SM44" s="8" t="e">
        <f t="shared" si="10"/>
        <v>#N/A</v>
      </c>
      <c r="SN44" s="8" t="e">
        <f t="shared" si="10"/>
        <v>#N/A</v>
      </c>
      <c r="SO44" s="8" t="e">
        <f t="shared" si="10"/>
        <v>#N/A</v>
      </c>
      <c r="SP44" s="8" t="e">
        <f t="shared" si="10"/>
        <v>#N/A</v>
      </c>
      <c r="SQ44" s="8" t="e">
        <f t="shared" si="10"/>
        <v>#N/A</v>
      </c>
      <c r="SR44" s="8" t="e">
        <f t="shared" si="10"/>
        <v>#N/A</v>
      </c>
      <c r="SS44" s="8" t="e">
        <f t="shared" si="10"/>
        <v>#N/A</v>
      </c>
      <c r="ST44" s="8" t="e">
        <f t="shared" si="10"/>
        <v>#N/A</v>
      </c>
      <c r="SU44" s="8" t="e">
        <f t="shared" si="10"/>
        <v>#N/A</v>
      </c>
      <c r="SV44" s="8" t="e">
        <f t="shared" si="10"/>
        <v>#N/A</v>
      </c>
      <c r="SW44" s="8" t="e">
        <f t="shared" si="10"/>
        <v>#N/A</v>
      </c>
      <c r="SX44" s="8" t="e">
        <f t="shared" si="10"/>
        <v>#N/A</v>
      </c>
      <c r="SY44" s="8" t="e">
        <f t="shared" si="10"/>
        <v>#N/A</v>
      </c>
      <c r="SZ44" s="8" t="e">
        <f t="shared" si="10"/>
        <v>#N/A</v>
      </c>
      <c r="TA44" s="8" t="e">
        <f t="shared" si="10"/>
        <v>#N/A</v>
      </c>
      <c r="TB44" s="8" t="e">
        <f t="shared" si="10"/>
        <v>#N/A</v>
      </c>
      <c r="TD44" t="e">
        <f>LOOKUP($HM43,$HM$2:$HM$14,TD$2:TD$14)</f>
        <v>#N/A</v>
      </c>
      <c r="TE44" t="e">
        <f>TD44</f>
        <v>#N/A</v>
      </c>
    </row>
    <row r="45" spans="19:525" x14ac:dyDescent="0.15">
      <c r="S45">
        <f>IF($S3&gt;=グラフ!$J$43,0,IF($HK3&lt;=グラフ!$J$43,100,INDEX(csv!$L3:$HD3,1,MATCH(グラフ!$J$43,$S3:$HK3,1))))</f>
        <v>0</v>
      </c>
      <c r="T45">
        <f>IF($S16&gt;=グラフ!$R$43,0,IF($HK16&lt;=グラフ!$R$43,100,INDEX(csv!$L16:$HD16,1,MATCH(グラフ!$R$43,$S16:$HK16,1))))</f>
        <v>0</v>
      </c>
      <c r="U45">
        <f>IF($S29&gt;=グラフ!$B$43,0,IF($HK29&lt;=グラフ!$B$43,100,INDEX(csv!$L29:$HD29,1,MATCH(グラフ!$B$43,$S29:$HK29,1))))</f>
        <v>0</v>
      </c>
      <c r="V45">
        <f t="shared" ref="V45:V55" si="11">100-S45</f>
        <v>100</v>
      </c>
      <c r="W45">
        <f t="shared" ref="W45:W55" si="12">100-T45</f>
        <v>100</v>
      </c>
      <c r="X45">
        <f t="shared" ref="X45:X55" si="13">100-U45</f>
        <v>100</v>
      </c>
      <c r="HM45" s="2" t="s">
        <v>194</v>
      </c>
      <c r="HN45" s="8" t="e">
        <f>LOOKUP($HM43,$HM$15:$HM$27,HN$15:HN$27)</f>
        <v>#N/A</v>
      </c>
      <c r="HO45" s="8" t="e">
        <f t="shared" ref="HO45:JZ45" si="14">LOOKUP($HM43,$HM$15:$HM$27,HO$15:HO$27)</f>
        <v>#N/A</v>
      </c>
      <c r="HP45" s="8" t="e">
        <f t="shared" si="14"/>
        <v>#N/A</v>
      </c>
      <c r="HQ45" s="8" t="e">
        <f t="shared" si="14"/>
        <v>#N/A</v>
      </c>
      <c r="HR45" s="8" t="e">
        <f t="shared" si="14"/>
        <v>#N/A</v>
      </c>
      <c r="HS45" s="8" t="e">
        <f t="shared" si="14"/>
        <v>#N/A</v>
      </c>
      <c r="HT45" s="8" t="e">
        <f t="shared" si="14"/>
        <v>#N/A</v>
      </c>
      <c r="HU45" s="8" t="e">
        <f t="shared" si="14"/>
        <v>#N/A</v>
      </c>
      <c r="HV45" s="8" t="e">
        <f t="shared" si="14"/>
        <v>#N/A</v>
      </c>
      <c r="HW45" s="8" t="e">
        <f t="shared" si="14"/>
        <v>#N/A</v>
      </c>
      <c r="HX45" s="8" t="e">
        <f t="shared" si="14"/>
        <v>#N/A</v>
      </c>
      <c r="HY45" s="8" t="e">
        <f t="shared" si="14"/>
        <v>#N/A</v>
      </c>
      <c r="HZ45" s="8" t="e">
        <f t="shared" si="14"/>
        <v>#N/A</v>
      </c>
      <c r="IA45" s="8" t="e">
        <f t="shared" si="14"/>
        <v>#N/A</v>
      </c>
      <c r="IB45" s="8" t="e">
        <f t="shared" si="14"/>
        <v>#N/A</v>
      </c>
      <c r="IC45" s="8" t="e">
        <f t="shared" si="14"/>
        <v>#N/A</v>
      </c>
      <c r="ID45" s="8" t="e">
        <f t="shared" si="14"/>
        <v>#N/A</v>
      </c>
      <c r="IE45" s="8" t="e">
        <f t="shared" si="14"/>
        <v>#N/A</v>
      </c>
      <c r="IF45" s="8" t="e">
        <f t="shared" si="14"/>
        <v>#N/A</v>
      </c>
      <c r="IG45" s="8" t="e">
        <f t="shared" si="14"/>
        <v>#N/A</v>
      </c>
      <c r="IH45" s="8" t="e">
        <f t="shared" si="14"/>
        <v>#N/A</v>
      </c>
      <c r="II45" s="8" t="e">
        <f t="shared" si="14"/>
        <v>#N/A</v>
      </c>
      <c r="IJ45" s="8" t="e">
        <f t="shared" si="14"/>
        <v>#N/A</v>
      </c>
      <c r="IK45" s="8" t="e">
        <f t="shared" si="14"/>
        <v>#N/A</v>
      </c>
      <c r="IL45" s="8" t="e">
        <f t="shared" si="14"/>
        <v>#N/A</v>
      </c>
      <c r="IM45" s="8" t="e">
        <f t="shared" si="14"/>
        <v>#N/A</v>
      </c>
      <c r="IN45" s="8" t="e">
        <f t="shared" si="14"/>
        <v>#N/A</v>
      </c>
      <c r="IO45" s="8" t="e">
        <f t="shared" si="14"/>
        <v>#N/A</v>
      </c>
      <c r="IP45" s="8" t="e">
        <f t="shared" si="14"/>
        <v>#N/A</v>
      </c>
      <c r="IQ45" s="8" t="e">
        <f t="shared" si="14"/>
        <v>#N/A</v>
      </c>
      <c r="IR45" s="8" t="e">
        <f t="shared" si="14"/>
        <v>#N/A</v>
      </c>
      <c r="IS45" s="8" t="e">
        <f t="shared" si="14"/>
        <v>#N/A</v>
      </c>
      <c r="IT45" s="8" t="e">
        <f t="shared" si="14"/>
        <v>#N/A</v>
      </c>
      <c r="IU45" s="8" t="e">
        <f t="shared" si="14"/>
        <v>#N/A</v>
      </c>
      <c r="IV45" s="8" t="e">
        <f t="shared" si="14"/>
        <v>#N/A</v>
      </c>
      <c r="IW45" s="8" t="e">
        <f t="shared" si="14"/>
        <v>#N/A</v>
      </c>
      <c r="IX45" s="8" t="e">
        <f t="shared" si="14"/>
        <v>#N/A</v>
      </c>
      <c r="IY45" s="8" t="e">
        <f t="shared" si="14"/>
        <v>#N/A</v>
      </c>
      <c r="IZ45" s="8" t="e">
        <f t="shared" si="14"/>
        <v>#N/A</v>
      </c>
      <c r="JA45" s="8" t="e">
        <f t="shared" si="14"/>
        <v>#N/A</v>
      </c>
      <c r="JB45" s="8" t="e">
        <f t="shared" si="14"/>
        <v>#N/A</v>
      </c>
      <c r="JC45" s="8" t="e">
        <f t="shared" si="14"/>
        <v>#N/A</v>
      </c>
      <c r="JD45" s="8" t="e">
        <f t="shared" si="14"/>
        <v>#N/A</v>
      </c>
      <c r="JE45" s="8" t="e">
        <f t="shared" si="14"/>
        <v>#N/A</v>
      </c>
      <c r="JF45" s="8" t="e">
        <f t="shared" si="14"/>
        <v>#N/A</v>
      </c>
      <c r="JG45" s="8" t="e">
        <f t="shared" si="14"/>
        <v>#N/A</v>
      </c>
      <c r="JH45" s="8" t="e">
        <f t="shared" si="14"/>
        <v>#N/A</v>
      </c>
      <c r="JI45" s="8" t="e">
        <f t="shared" si="14"/>
        <v>#N/A</v>
      </c>
      <c r="JJ45" s="8" t="e">
        <f t="shared" si="14"/>
        <v>#N/A</v>
      </c>
      <c r="JK45" s="8" t="e">
        <f t="shared" si="14"/>
        <v>#N/A</v>
      </c>
      <c r="JL45" s="8" t="e">
        <f t="shared" si="14"/>
        <v>#N/A</v>
      </c>
      <c r="JM45" s="8" t="e">
        <f t="shared" si="14"/>
        <v>#N/A</v>
      </c>
      <c r="JN45" s="8" t="e">
        <f t="shared" si="14"/>
        <v>#N/A</v>
      </c>
      <c r="JO45" s="8" t="e">
        <f t="shared" si="14"/>
        <v>#N/A</v>
      </c>
      <c r="JP45" s="8" t="e">
        <f t="shared" si="14"/>
        <v>#N/A</v>
      </c>
      <c r="JQ45" s="8" t="e">
        <f t="shared" si="14"/>
        <v>#N/A</v>
      </c>
      <c r="JR45" s="8" t="e">
        <f t="shared" si="14"/>
        <v>#N/A</v>
      </c>
      <c r="JS45" s="8" t="e">
        <f t="shared" si="14"/>
        <v>#N/A</v>
      </c>
      <c r="JT45" s="8" t="e">
        <f t="shared" si="14"/>
        <v>#N/A</v>
      </c>
      <c r="JU45" s="8" t="e">
        <f t="shared" si="14"/>
        <v>#N/A</v>
      </c>
      <c r="JV45" s="8" t="e">
        <f t="shared" si="14"/>
        <v>#N/A</v>
      </c>
      <c r="JW45" s="8" t="e">
        <f t="shared" si="14"/>
        <v>#N/A</v>
      </c>
      <c r="JX45" s="8" t="e">
        <f t="shared" si="14"/>
        <v>#N/A</v>
      </c>
      <c r="JY45" s="8" t="e">
        <f t="shared" si="14"/>
        <v>#N/A</v>
      </c>
      <c r="JZ45" s="8" t="e">
        <f t="shared" si="14"/>
        <v>#N/A</v>
      </c>
      <c r="KA45" s="8" t="e">
        <f t="shared" ref="KA45:ML45" si="15">LOOKUP($HM43,$HM$15:$HM$27,KA$15:KA$27)</f>
        <v>#N/A</v>
      </c>
      <c r="KB45" s="8" t="e">
        <f t="shared" si="15"/>
        <v>#N/A</v>
      </c>
      <c r="KC45" s="8" t="e">
        <f t="shared" si="15"/>
        <v>#N/A</v>
      </c>
      <c r="KD45" s="8" t="e">
        <f t="shared" si="15"/>
        <v>#N/A</v>
      </c>
      <c r="KE45" s="8" t="e">
        <f t="shared" si="15"/>
        <v>#N/A</v>
      </c>
      <c r="KF45" s="8" t="e">
        <f t="shared" si="15"/>
        <v>#N/A</v>
      </c>
      <c r="KG45" s="8" t="e">
        <f t="shared" si="15"/>
        <v>#N/A</v>
      </c>
      <c r="KH45" s="8" t="e">
        <f t="shared" si="15"/>
        <v>#N/A</v>
      </c>
      <c r="KI45" s="8" t="e">
        <f t="shared" si="15"/>
        <v>#N/A</v>
      </c>
      <c r="KJ45" s="8" t="e">
        <f t="shared" si="15"/>
        <v>#N/A</v>
      </c>
      <c r="KK45" s="8" t="e">
        <f t="shared" si="15"/>
        <v>#N/A</v>
      </c>
      <c r="KL45" s="8" t="e">
        <f t="shared" si="15"/>
        <v>#N/A</v>
      </c>
      <c r="KM45" s="8" t="e">
        <f t="shared" si="15"/>
        <v>#N/A</v>
      </c>
      <c r="KN45" s="8" t="e">
        <f t="shared" si="15"/>
        <v>#N/A</v>
      </c>
      <c r="KO45" s="8" t="e">
        <f t="shared" si="15"/>
        <v>#N/A</v>
      </c>
      <c r="KP45" s="8" t="e">
        <f t="shared" si="15"/>
        <v>#N/A</v>
      </c>
      <c r="KQ45" s="8" t="e">
        <f t="shared" si="15"/>
        <v>#N/A</v>
      </c>
      <c r="KR45" s="8" t="e">
        <f t="shared" si="15"/>
        <v>#N/A</v>
      </c>
      <c r="KS45" s="8" t="e">
        <f t="shared" si="15"/>
        <v>#N/A</v>
      </c>
      <c r="KT45" s="8" t="e">
        <f t="shared" si="15"/>
        <v>#N/A</v>
      </c>
      <c r="KU45" s="8" t="e">
        <f t="shared" si="15"/>
        <v>#N/A</v>
      </c>
      <c r="KV45" s="8" t="e">
        <f t="shared" si="15"/>
        <v>#N/A</v>
      </c>
      <c r="KW45" s="8" t="e">
        <f t="shared" si="15"/>
        <v>#N/A</v>
      </c>
      <c r="KX45" s="8" t="e">
        <f t="shared" si="15"/>
        <v>#N/A</v>
      </c>
      <c r="KY45" s="8" t="e">
        <f t="shared" si="15"/>
        <v>#N/A</v>
      </c>
      <c r="KZ45" s="8" t="e">
        <f t="shared" si="15"/>
        <v>#N/A</v>
      </c>
      <c r="LA45" s="8" t="e">
        <f t="shared" si="15"/>
        <v>#N/A</v>
      </c>
      <c r="LB45" s="8" t="e">
        <f t="shared" si="15"/>
        <v>#N/A</v>
      </c>
      <c r="LC45" s="8" t="e">
        <f t="shared" si="15"/>
        <v>#N/A</v>
      </c>
      <c r="LD45" s="8" t="e">
        <f t="shared" si="15"/>
        <v>#N/A</v>
      </c>
      <c r="LE45" s="8" t="e">
        <f t="shared" si="15"/>
        <v>#N/A</v>
      </c>
      <c r="LF45" s="8" t="e">
        <f t="shared" si="15"/>
        <v>#N/A</v>
      </c>
      <c r="LG45" s="8" t="e">
        <f t="shared" si="15"/>
        <v>#N/A</v>
      </c>
      <c r="LH45" s="8" t="e">
        <f t="shared" si="15"/>
        <v>#N/A</v>
      </c>
      <c r="LI45" s="8" t="e">
        <f t="shared" si="15"/>
        <v>#N/A</v>
      </c>
      <c r="LJ45" s="8" t="e">
        <f t="shared" si="15"/>
        <v>#N/A</v>
      </c>
      <c r="LK45" s="8" t="e">
        <f t="shared" si="15"/>
        <v>#N/A</v>
      </c>
      <c r="LL45" s="8" t="e">
        <f t="shared" si="15"/>
        <v>#N/A</v>
      </c>
      <c r="LM45" s="8" t="e">
        <f t="shared" si="15"/>
        <v>#N/A</v>
      </c>
      <c r="LN45" s="8" t="e">
        <f t="shared" si="15"/>
        <v>#N/A</v>
      </c>
      <c r="LO45" s="8" t="e">
        <f t="shared" si="15"/>
        <v>#N/A</v>
      </c>
      <c r="LP45" s="8" t="e">
        <f t="shared" si="15"/>
        <v>#N/A</v>
      </c>
      <c r="LQ45" s="8" t="e">
        <f t="shared" si="15"/>
        <v>#N/A</v>
      </c>
      <c r="LR45" s="8" t="e">
        <f t="shared" si="15"/>
        <v>#N/A</v>
      </c>
      <c r="LS45" s="8" t="e">
        <f t="shared" si="15"/>
        <v>#N/A</v>
      </c>
      <c r="LT45" s="8" t="e">
        <f t="shared" si="15"/>
        <v>#N/A</v>
      </c>
      <c r="LU45" s="8" t="e">
        <f t="shared" si="15"/>
        <v>#N/A</v>
      </c>
      <c r="LV45" s="8" t="e">
        <f t="shared" si="15"/>
        <v>#N/A</v>
      </c>
      <c r="LW45" s="8" t="e">
        <f t="shared" si="15"/>
        <v>#N/A</v>
      </c>
      <c r="LX45" s="8" t="e">
        <f t="shared" si="15"/>
        <v>#N/A</v>
      </c>
      <c r="LY45" s="8" t="e">
        <f t="shared" si="15"/>
        <v>#N/A</v>
      </c>
      <c r="LZ45" s="8" t="e">
        <f t="shared" si="15"/>
        <v>#N/A</v>
      </c>
      <c r="MA45" s="8" t="e">
        <f t="shared" si="15"/>
        <v>#N/A</v>
      </c>
      <c r="MB45" s="8" t="e">
        <f t="shared" si="15"/>
        <v>#N/A</v>
      </c>
      <c r="MC45" s="8" t="e">
        <f t="shared" si="15"/>
        <v>#N/A</v>
      </c>
      <c r="MD45" s="8" t="e">
        <f t="shared" si="15"/>
        <v>#N/A</v>
      </c>
      <c r="ME45" s="8" t="e">
        <f t="shared" si="15"/>
        <v>#N/A</v>
      </c>
      <c r="MF45" s="8" t="e">
        <f t="shared" si="15"/>
        <v>#N/A</v>
      </c>
      <c r="MG45" s="8" t="e">
        <f t="shared" si="15"/>
        <v>#N/A</v>
      </c>
      <c r="MH45" s="8" t="e">
        <f t="shared" si="15"/>
        <v>#N/A</v>
      </c>
      <c r="MI45" s="8" t="e">
        <f t="shared" si="15"/>
        <v>#N/A</v>
      </c>
      <c r="MJ45" s="8" t="e">
        <f t="shared" si="15"/>
        <v>#N/A</v>
      </c>
      <c r="MK45" s="8" t="e">
        <f t="shared" si="15"/>
        <v>#N/A</v>
      </c>
      <c r="ML45" s="8" t="e">
        <f t="shared" si="15"/>
        <v>#N/A</v>
      </c>
      <c r="MM45" s="8" t="e">
        <f t="shared" ref="MM45:OX45" si="16">LOOKUP($HM43,$HM$15:$HM$27,MM$15:MM$27)</f>
        <v>#N/A</v>
      </c>
      <c r="MN45" s="8" t="e">
        <f t="shared" si="16"/>
        <v>#N/A</v>
      </c>
      <c r="MO45" s="8" t="e">
        <f t="shared" si="16"/>
        <v>#N/A</v>
      </c>
      <c r="MP45" s="8" t="e">
        <f t="shared" si="16"/>
        <v>#N/A</v>
      </c>
      <c r="MQ45" s="8" t="e">
        <f t="shared" si="16"/>
        <v>#N/A</v>
      </c>
      <c r="MR45" s="8" t="e">
        <f t="shared" si="16"/>
        <v>#N/A</v>
      </c>
      <c r="MS45" s="8" t="e">
        <f t="shared" si="16"/>
        <v>#N/A</v>
      </c>
      <c r="MT45" s="8" t="e">
        <f t="shared" si="16"/>
        <v>#N/A</v>
      </c>
      <c r="MU45" s="8" t="e">
        <f t="shared" si="16"/>
        <v>#N/A</v>
      </c>
      <c r="MV45" s="8" t="e">
        <f t="shared" si="16"/>
        <v>#N/A</v>
      </c>
      <c r="MW45" s="8" t="e">
        <f t="shared" si="16"/>
        <v>#N/A</v>
      </c>
      <c r="MX45" s="8" t="e">
        <f t="shared" si="16"/>
        <v>#N/A</v>
      </c>
      <c r="MY45" s="8" t="e">
        <f t="shared" si="16"/>
        <v>#N/A</v>
      </c>
      <c r="MZ45" s="8" t="e">
        <f t="shared" si="16"/>
        <v>#N/A</v>
      </c>
      <c r="NA45" s="8" t="e">
        <f t="shared" si="16"/>
        <v>#N/A</v>
      </c>
      <c r="NB45" s="8" t="e">
        <f t="shared" si="16"/>
        <v>#N/A</v>
      </c>
      <c r="NC45" s="8" t="e">
        <f t="shared" si="16"/>
        <v>#N/A</v>
      </c>
      <c r="ND45" s="8" t="e">
        <f t="shared" si="16"/>
        <v>#N/A</v>
      </c>
      <c r="NE45" s="8" t="e">
        <f t="shared" si="16"/>
        <v>#N/A</v>
      </c>
      <c r="NF45" s="8" t="e">
        <f t="shared" si="16"/>
        <v>#N/A</v>
      </c>
      <c r="NG45" s="8" t="e">
        <f t="shared" si="16"/>
        <v>#N/A</v>
      </c>
      <c r="NH45" s="8" t="e">
        <f t="shared" si="16"/>
        <v>#N/A</v>
      </c>
      <c r="NI45" s="8" t="e">
        <f t="shared" si="16"/>
        <v>#N/A</v>
      </c>
      <c r="NJ45" s="8" t="e">
        <f t="shared" si="16"/>
        <v>#N/A</v>
      </c>
      <c r="NK45" s="8" t="e">
        <f t="shared" si="16"/>
        <v>#N/A</v>
      </c>
      <c r="NL45" s="8" t="e">
        <f t="shared" si="16"/>
        <v>#N/A</v>
      </c>
      <c r="NM45" s="8" t="e">
        <f t="shared" si="16"/>
        <v>#N/A</v>
      </c>
      <c r="NN45" s="8" t="e">
        <f t="shared" si="16"/>
        <v>#N/A</v>
      </c>
      <c r="NO45" s="8" t="e">
        <f t="shared" si="16"/>
        <v>#N/A</v>
      </c>
      <c r="NP45" s="8" t="e">
        <f t="shared" si="16"/>
        <v>#N/A</v>
      </c>
      <c r="NQ45" s="8" t="e">
        <f t="shared" si="16"/>
        <v>#N/A</v>
      </c>
      <c r="NR45" s="8" t="e">
        <f t="shared" si="16"/>
        <v>#N/A</v>
      </c>
      <c r="NS45" s="8" t="e">
        <f t="shared" si="16"/>
        <v>#N/A</v>
      </c>
      <c r="NT45" s="8" t="e">
        <f t="shared" si="16"/>
        <v>#N/A</v>
      </c>
      <c r="NU45" s="8" t="e">
        <f t="shared" si="16"/>
        <v>#N/A</v>
      </c>
      <c r="NV45" s="8" t="e">
        <f t="shared" si="16"/>
        <v>#N/A</v>
      </c>
      <c r="NW45" s="8" t="e">
        <f t="shared" si="16"/>
        <v>#N/A</v>
      </c>
      <c r="NX45" s="8" t="e">
        <f t="shared" si="16"/>
        <v>#N/A</v>
      </c>
      <c r="NY45" s="8" t="e">
        <f t="shared" si="16"/>
        <v>#N/A</v>
      </c>
      <c r="NZ45" s="8" t="e">
        <f t="shared" si="16"/>
        <v>#N/A</v>
      </c>
      <c r="OA45" s="8" t="e">
        <f t="shared" si="16"/>
        <v>#N/A</v>
      </c>
      <c r="OB45" s="8" t="e">
        <f t="shared" si="16"/>
        <v>#N/A</v>
      </c>
      <c r="OC45" s="8" t="e">
        <f t="shared" si="16"/>
        <v>#N/A</v>
      </c>
      <c r="OD45" s="8" t="e">
        <f t="shared" si="16"/>
        <v>#N/A</v>
      </c>
      <c r="OE45" s="8" t="e">
        <f t="shared" si="16"/>
        <v>#N/A</v>
      </c>
      <c r="OF45" s="8" t="e">
        <f t="shared" si="16"/>
        <v>#N/A</v>
      </c>
      <c r="OG45" s="8" t="e">
        <f t="shared" si="16"/>
        <v>#N/A</v>
      </c>
      <c r="OH45" s="8" t="e">
        <f t="shared" si="16"/>
        <v>#N/A</v>
      </c>
      <c r="OI45" s="8" t="e">
        <f t="shared" si="16"/>
        <v>#N/A</v>
      </c>
      <c r="OJ45" s="8" t="e">
        <f t="shared" si="16"/>
        <v>#N/A</v>
      </c>
      <c r="OK45" s="8" t="e">
        <f t="shared" si="16"/>
        <v>#N/A</v>
      </c>
      <c r="OL45" s="8" t="e">
        <f t="shared" si="16"/>
        <v>#N/A</v>
      </c>
      <c r="OM45" s="8" t="e">
        <f t="shared" si="16"/>
        <v>#N/A</v>
      </c>
      <c r="ON45" s="8" t="e">
        <f t="shared" si="16"/>
        <v>#N/A</v>
      </c>
      <c r="OO45" s="8" t="e">
        <f t="shared" si="16"/>
        <v>#N/A</v>
      </c>
      <c r="OP45" s="8" t="e">
        <f t="shared" si="16"/>
        <v>#N/A</v>
      </c>
      <c r="OQ45" s="8" t="e">
        <f t="shared" si="16"/>
        <v>#N/A</v>
      </c>
      <c r="OR45" s="8" t="e">
        <f t="shared" si="16"/>
        <v>#N/A</v>
      </c>
      <c r="OS45" s="8" t="e">
        <f t="shared" si="16"/>
        <v>#N/A</v>
      </c>
      <c r="OT45" s="8" t="e">
        <f t="shared" si="16"/>
        <v>#N/A</v>
      </c>
      <c r="OU45" s="8" t="e">
        <f t="shared" si="16"/>
        <v>#N/A</v>
      </c>
      <c r="OV45" s="8" t="e">
        <f t="shared" si="16"/>
        <v>#N/A</v>
      </c>
      <c r="OW45" s="8" t="e">
        <f t="shared" si="16"/>
        <v>#N/A</v>
      </c>
      <c r="OX45" s="8" t="e">
        <f t="shared" si="16"/>
        <v>#N/A</v>
      </c>
      <c r="OY45" s="8" t="e">
        <f t="shared" ref="OY45:RJ45" si="17">LOOKUP($HM43,$HM$15:$HM$27,OY$15:OY$27)</f>
        <v>#N/A</v>
      </c>
      <c r="OZ45" s="8" t="e">
        <f t="shared" si="17"/>
        <v>#N/A</v>
      </c>
      <c r="PA45" s="8" t="e">
        <f t="shared" si="17"/>
        <v>#N/A</v>
      </c>
      <c r="PB45" s="8" t="e">
        <f t="shared" si="17"/>
        <v>#N/A</v>
      </c>
      <c r="PC45" s="8" t="e">
        <f t="shared" si="17"/>
        <v>#N/A</v>
      </c>
      <c r="PD45" s="8" t="e">
        <f t="shared" si="17"/>
        <v>#N/A</v>
      </c>
      <c r="PE45" s="8" t="e">
        <f t="shared" si="17"/>
        <v>#N/A</v>
      </c>
      <c r="PF45" s="8" t="e">
        <f t="shared" si="17"/>
        <v>#N/A</v>
      </c>
      <c r="PG45" s="8" t="e">
        <f t="shared" si="17"/>
        <v>#N/A</v>
      </c>
      <c r="PH45" s="8" t="e">
        <f t="shared" si="17"/>
        <v>#N/A</v>
      </c>
      <c r="PI45" s="8" t="e">
        <f t="shared" si="17"/>
        <v>#N/A</v>
      </c>
      <c r="PJ45" s="8" t="e">
        <f t="shared" si="17"/>
        <v>#N/A</v>
      </c>
      <c r="PK45" s="8" t="e">
        <f t="shared" si="17"/>
        <v>#N/A</v>
      </c>
      <c r="PL45" s="8" t="e">
        <f t="shared" si="17"/>
        <v>#N/A</v>
      </c>
      <c r="PM45" s="8" t="e">
        <f t="shared" si="17"/>
        <v>#N/A</v>
      </c>
      <c r="PN45" s="8" t="e">
        <f t="shared" si="17"/>
        <v>#N/A</v>
      </c>
      <c r="PO45" s="8" t="e">
        <f t="shared" si="17"/>
        <v>#N/A</v>
      </c>
      <c r="PP45" s="8" t="e">
        <f t="shared" si="17"/>
        <v>#N/A</v>
      </c>
      <c r="PQ45" s="8" t="e">
        <f t="shared" si="17"/>
        <v>#N/A</v>
      </c>
      <c r="PR45" s="8" t="e">
        <f t="shared" si="17"/>
        <v>#N/A</v>
      </c>
      <c r="PS45" s="8" t="e">
        <f t="shared" si="17"/>
        <v>#N/A</v>
      </c>
      <c r="PT45" s="8" t="e">
        <f t="shared" si="17"/>
        <v>#N/A</v>
      </c>
      <c r="PU45" s="8" t="e">
        <f t="shared" si="17"/>
        <v>#N/A</v>
      </c>
      <c r="PV45" s="8" t="e">
        <f t="shared" si="17"/>
        <v>#N/A</v>
      </c>
      <c r="PW45" s="8" t="e">
        <f t="shared" si="17"/>
        <v>#N/A</v>
      </c>
      <c r="PX45" s="8" t="e">
        <f t="shared" si="17"/>
        <v>#N/A</v>
      </c>
      <c r="PY45" s="8" t="e">
        <f t="shared" si="17"/>
        <v>#N/A</v>
      </c>
      <c r="PZ45" s="8" t="e">
        <f t="shared" si="17"/>
        <v>#N/A</v>
      </c>
      <c r="QA45" s="8" t="e">
        <f t="shared" si="17"/>
        <v>#N/A</v>
      </c>
      <c r="QB45" s="8" t="e">
        <f t="shared" si="17"/>
        <v>#N/A</v>
      </c>
      <c r="QC45" s="8" t="e">
        <f t="shared" si="17"/>
        <v>#N/A</v>
      </c>
      <c r="QD45" s="8" t="e">
        <f t="shared" si="17"/>
        <v>#N/A</v>
      </c>
      <c r="QE45" s="8" t="e">
        <f t="shared" si="17"/>
        <v>#N/A</v>
      </c>
      <c r="QF45" s="8" t="e">
        <f t="shared" si="17"/>
        <v>#N/A</v>
      </c>
      <c r="QG45" s="8" t="e">
        <f t="shared" si="17"/>
        <v>#N/A</v>
      </c>
      <c r="QH45" s="8" t="e">
        <f t="shared" si="17"/>
        <v>#N/A</v>
      </c>
      <c r="QI45" s="8" t="e">
        <f t="shared" si="17"/>
        <v>#N/A</v>
      </c>
      <c r="QJ45" s="8" t="e">
        <f t="shared" si="17"/>
        <v>#N/A</v>
      </c>
      <c r="QK45" s="8" t="e">
        <f t="shared" si="17"/>
        <v>#N/A</v>
      </c>
      <c r="QL45" s="8" t="e">
        <f t="shared" si="17"/>
        <v>#N/A</v>
      </c>
      <c r="QM45" s="8" t="e">
        <f t="shared" si="17"/>
        <v>#N/A</v>
      </c>
      <c r="QN45" s="8" t="e">
        <f t="shared" si="17"/>
        <v>#N/A</v>
      </c>
      <c r="QO45" s="8" t="e">
        <f t="shared" si="17"/>
        <v>#N/A</v>
      </c>
      <c r="QP45" s="8" t="e">
        <f t="shared" si="17"/>
        <v>#N/A</v>
      </c>
      <c r="QQ45" s="8" t="e">
        <f t="shared" si="17"/>
        <v>#N/A</v>
      </c>
      <c r="QR45" s="8" t="e">
        <f t="shared" si="17"/>
        <v>#N/A</v>
      </c>
      <c r="QS45" s="8" t="e">
        <f t="shared" si="17"/>
        <v>#N/A</v>
      </c>
      <c r="QT45" s="8" t="e">
        <f t="shared" si="17"/>
        <v>#N/A</v>
      </c>
      <c r="QU45" s="8" t="e">
        <f t="shared" si="17"/>
        <v>#N/A</v>
      </c>
      <c r="QV45" s="8" t="e">
        <f t="shared" si="17"/>
        <v>#N/A</v>
      </c>
      <c r="QW45" s="8" t="e">
        <f t="shared" si="17"/>
        <v>#N/A</v>
      </c>
      <c r="QX45" s="8" t="e">
        <f t="shared" si="17"/>
        <v>#N/A</v>
      </c>
      <c r="QY45" s="8" t="e">
        <f t="shared" si="17"/>
        <v>#N/A</v>
      </c>
      <c r="QZ45" s="8" t="e">
        <f t="shared" si="17"/>
        <v>#N/A</v>
      </c>
      <c r="RA45" s="8" t="e">
        <f t="shared" si="17"/>
        <v>#N/A</v>
      </c>
      <c r="RB45" s="8" t="e">
        <f t="shared" si="17"/>
        <v>#N/A</v>
      </c>
      <c r="RC45" s="8" t="e">
        <f t="shared" si="17"/>
        <v>#N/A</v>
      </c>
      <c r="RD45" s="8" t="e">
        <f t="shared" si="17"/>
        <v>#N/A</v>
      </c>
      <c r="RE45" s="8" t="e">
        <f t="shared" si="17"/>
        <v>#N/A</v>
      </c>
      <c r="RF45" s="8" t="e">
        <f t="shared" si="17"/>
        <v>#N/A</v>
      </c>
      <c r="RG45" s="8" t="e">
        <f t="shared" si="17"/>
        <v>#N/A</v>
      </c>
      <c r="RH45" s="8" t="e">
        <f t="shared" si="17"/>
        <v>#N/A</v>
      </c>
      <c r="RI45" s="8" t="e">
        <f t="shared" si="17"/>
        <v>#N/A</v>
      </c>
      <c r="RJ45" s="8" t="e">
        <f t="shared" si="17"/>
        <v>#N/A</v>
      </c>
      <c r="RK45" s="8" t="e">
        <f t="shared" ref="RK45:TB45" si="18">LOOKUP($HM43,$HM$15:$HM$27,RK$15:RK$27)</f>
        <v>#N/A</v>
      </c>
      <c r="RL45" s="8" t="e">
        <f t="shared" si="18"/>
        <v>#N/A</v>
      </c>
      <c r="RM45" s="8" t="e">
        <f t="shared" si="18"/>
        <v>#N/A</v>
      </c>
      <c r="RN45" s="8" t="e">
        <f t="shared" si="18"/>
        <v>#N/A</v>
      </c>
      <c r="RO45" s="8" t="e">
        <f t="shared" si="18"/>
        <v>#N/A</v>
      </c>
      <c r="RP45" s="8" t="e">
        <f t="shared" si="18"/>
        <v>#N/A</v>
      </c>
      <c r="RQ45" s="8" t="e">
        <f t="shared" si="18"/>
        <v>#N/A</v>
      </c>
      <c r="RR45" s="8" t="e">
        <f t="shared" si="18"/>
        <v>#N/A</v>
      </c>
      <c r="RS45" s="8" t="e">
        <f t="shared" si="18"/>
        <v>#N/A</v>
      </c>
      <c r="RT45" s="8" t="e">
        <f t="shared" si="18"/>
        <v>#N/A</v>
      </c>
      <c r="RU45" s="8" t="e">
        <f t="shared" si="18"/>
        <v>#N/A</v>
      </c>
      <c r="RV45" s="8" t="e">
        <f t="shared" si="18"/>
        <v>#N/A</v>
      </c>
      <c r="RW45" s="8" t="e">
        <f t="shared" si="18"/>
        <v>#N/A</v>
      </c>
      <c r="RX45" s="8" t="e">
        <f t="shared" si="18"/>
        <v>#N/A</v>
      </c>
      <c r="RY45" s="8" t="e">
        <f t="shared" si="18"/>
        <v>#N/A</v>
      </c>
      <c r="RZ45" s="8" t="e">
        <f t="shared" si="18"/>
        <v>#N/A</v>
      </c>
      <c r="SA45" s="8" t="e">
        <f t="shared" si="18"/>
        <v>#N/A</v>
      </c>
      <c r="SB45" s="8" t="e">
        <f t="shared" si="18"/>
        <v>#N/A</v>
      </c>
      <c r="SC45" s="8" t="e">
        <f t="shared" si="18"/>
        <v>#N/A</v>
      </c>
      <c r="SD45" s="8" t="e">
        <f t="shared" si="18"/>
        <v>#N/A</v>
      </c>
      <c r="SE45" s="8" t="e">
        <f t="shared" si="18"/>
        <v>#N/A</v>
      </c>
      <c r="SF45" s="8" t="e">
        <f t="shared" si="18"/>
        <v>#N/A</v>
      </c>
      <c r="SG45" s="8" t="e">
        <f t="shared" si="18"/>
        <v>#N/A</v>
      </c>
      <c r="SH45" s="8" t="e">
        <f t="shared" si="18"/>
        <v>#N/A</v>
      </c>
      <c r="SI45" s="8" t="e">
        <f t="shared" si="18"/>
        <v>#N/A</v>
      </c>
      <c r="SJ45" s="8" t="e">
        <f t="shared" si="18"/>
        <v>#N/A</v>
      </c>
      <c r="SK45" s="8" t="e">
        <f t="shared" si="18"/>
        <v>#N/A</v>
      </c>
      <c r="SL45" s="8" t="e">
        <f t="shared" si="18"/>
        <v>#N/A</v>
      </c>
      <c r="SM45" s="8" t="e">
        <f t="shared" si="18"/>
        <v>#N/A</v>
      </c>
      <c r="SN45" s="8" t="e">
        <f t="shared" si="18"/>
        <v>#N/A</v>
      </c>
      <c r="SO45" s="8" t="e">
        <f t="shared" si="18"/>
        <v>#N/A</v>
      </c>
      <c r="SP45" s="8" t="e">
        <f t="shared" si="18"/>
        <v>#N/A</v>
      </c>
      <c r="SQ45" s="8" t="e">
        <f t="shared" si="18"/>
        <v>#N/A</v>
      </c>
      <c r="SR45" s="8" t="e">
        <f t="shared" si="18"/>
        <v>#N/A</v>
      </c>
      <c r="SS45" s="8" t="e">
        <f t="shared" si="18"/>
        <v>#N/A</v>
      </c>
      <c r="ST45" s="8" t="e">
        <f t="shared" si="18"/>
        <v>#N/A</v>
      </c>
      <c r="SU45" s="8" t="e">
        <f t="shared" si="18"/>
        <v>#N/A</v>
      </c>
      <c r="SV45" s="8" t="e">
        <f t="shared" si="18"/>
        <v>#N/A</v>
      </c>
      <c r="SW45" s="8" t="e">
        <f t="shared" si="18"/>
        <v>#N/A</v>
      </c>
      <c r="SX45" s="8" t="e">
        <f t="shared" si="18"/>
        <v>#N/A</v>
      </c>
      <c r="SY45" s="8" t="e">
        <f t="shared" si="18"/>
        <v>#N/A</v>
      </c>
      <c r="SZ45" s="8" t="e">
        <f t="shared" si="18"/>
        <v>#N/A</v>
      </c>
      <c r="TA45" s="8" t="e">
        <f t="shared" si="18"/>
        <v>#N/A</v>
      </c>
      <c r="TB45" s="8" t="e">
        <f t="shared" si="18"/>
        <v>#N/A</v>
      </c>
      <c r="TD45" t="e">
        <f>LOOKUP($HM43,$HM$15:$HM$27,TD$15:TD$27)</f>
        <v>#N/A</v>
      </c>
      <c r="TE45" t="e">
        <f>TD45</f>
        <v>#N/A</v>
      </c>
    </row>
    <row r="46" spans="19:525" x14ac:dyDescent="0.15">
      <c r="S46">
        <f>IF($S4&gt;=グラフ!$J$43,0,IF($HK4&lt;=グラフ!$J$43,100,INDEX(csv!$L4:$HD4,1,MATCH(グラフ!$J$43,$S4:$HK4,1))))</f>
        <v>0</v>
      </c>
      <c r="T46">
        <f>IF($S17&gt;=グラフ!$R$43,0,IF($HK17&lt;=グラフ!$R$43,100,INDEX(csv!$L17:$HD17,1,MATCH(グラフ!$R$43,$S17:$HK17,1))))</f>
        <v>0</v>
      </c>
      <c r="U46">
        <f>IF($S30&gt;=グラフ!$B$43,0,IF($HK30&lt;=グラフ!$B$43,100,INDEX(csv!$L30:$HD30,1,MATCH(グラフ!$B$43,$S30:$HK30,1))))</f>
        <v>0</v>
      </c>
      <c r="V46">
        <f t="shared" si="11"/>
        <v>100</v>
      </c>
      <c r="W46">
        <f t="shared" si="12"/>
        <v>100</v>
      </c>
      <c r="X46">
        <f t="shared" si="13"/>
        <v>100</v>
      </c>
      <c r="HM46" s="2" t="s">
        <v>195</v>
      </c>
      <c r="HN46" s="8" t="e">
        <f>LOOKUP($HM43,$HM$28:$HM$40,HN$28:HN$40)</f>
        <v>#N/A</v>
      </c>
      <c r="HO46" s="8" t="e">
        <f t="shared" ref="HO46:JZ46" si="19">LOOKUP($HM43,$HM$28:$HM$40,HO$28:HO$40)</f>
        <v>#N/A</v>
      </c>
      <c r="HP46" s="8" t="e">
        <f t="shared" si="19"/>
        <v>#N/A</v>
      </c>
      <c r="HQ46" s="8" t="e">
        <f t="shared" si="19"/>
        <v>#N/A</v>
      </c>
      <c r="HR46" s="8" t="e">
        <f t="shared" si="19"/>
        <v>#N/A</v>
      </c>
      <c r="HS46" s="8" t="e">
        <f t="shared" si="19"/>
        <v>#N/A</v>
      </c>
      <c r="HT46" s="8" t="e">
        <f t="shared" si="19"/>
        <v>#N/A</v>
      </c>
      <c r="HU46" s="8" t="e">
        <f t="shared" si="19"/>
        <v>#N/A</v>
      </c>
      <c r="HV46" s="8" t="e">
        <f t="shared" si="19"/>
        <v>#N/A</v>
      </c>
      <c r="HW46" s="8" t="e">
        <f t="shared" si="19"/>
        <v>#N/A</v>
      </c>
      <c r="HX46" s="8" t="e">
        <f t="shared" si="19"/>
        <v>#N/A</v>
      </c>
      <c r="HY46" s="8" t="e">
        <f t="shared" si="19"/>
        <v>#N/A</v>
      </c>
      <c r="HZ46" s="8" t="e">
        <f t="shared" si="19"/>
        <v>#N/A</v>
      </c>
      <c r="IA46" s="8" t="e">
        <f t="shared" si="19"/>
        <v>#N/A</v>
      </c>
      <c r="IB46" s="8" t="e">
        <f t="shared" si="19"/>
        <v>#N/A</v>
      </c>
      <c r="IC46" s="8" t="e">
        <f t="shared" si="19"/>
        <v>#N/A</v>
      </c>
      <c r="ID46" s="8" t="e">
        <f t="shared" si="19"/>
        <v>#N/A</v>
      </c>
      <c r="IE46" s="8" t="e">
        <f t="shared" si="19"/>
        <v>#N/A</v>
      </c>
      <c r="IF46" s="8" t="e">
        <f t="shared" si="19"/>
        <v>#N/A</v>
      </c>
      <c r="IG46" s="8" t="e">
        <f t="shared" si="19"/>
        <v>#N/A</v>
      </c>
      <c r="IH46" s="8" t="e">
        <f t="shared" si="19"/>
        <v>#N/A</v>
      </c>
      <c r="II46" s="8" t="e">
        <f t="shared" si="19"/>
        <v>#N/A</v>
      </c>
      <c r="IJ46" s="8" t="e">
        <f t="shared" si="19"/>
        <v>#N/A</v>
      </c>
      <c r="IK46" s="8" t="e">
        <f t="shared" si="19"/>
        <v>#N/A</v>
      </c>
      <c r="IL46" s="8" t="e">
        <f t="shared" si="19"/>
        <v>#N/A</v>
      </c>
      <c r="IM46" s="8" t="e">
        <f t="shared" si="19"/>
        <v>#N/A</v>
      </c>
      <c r="IN46" s="8" t="e">
        <f t="shared" si="19"/>
        <v>#N/A</v>
      </c>
      <c r="IO46" s="8" t="e">
        <f t="shared" si="19"/>
        <v>#N/A</v>
      </c>
      <c r="IP46" s="8" t="e">
        <f t="shared" si="19"/>
        <v>#N/A</v>
      </c>
      <c r="IQ46" s="8" t="e">
        <f t="shared" si="19"/>
        <v>#N/A</v>
      </c>
      <c r="IR46" s="8" t="e">
        <f t="shared" si="19"/>
        <v>#N/A</v>
      </c>
      <c r="IS46" s="8" t="e">
        <f t="shared" si="19"/>
        <v>#N/A</v>
      </c>
      <c r="IT46" s="8" t="e">
        <f t="shared" si="19"/>
        <v>#N/A</v>
      </c>
      <c r="IU46" s="8" t="e">
        <f t="shared" si="19"/>
        <v>#N/A</v>
      </c>
      <c r="IV46" s="8" t="e">
        <f t="shared" si="19"/>
        <v>#N/A</v>
      </c>
      <c r="IW46" s="8" t="e">
        <f t="shared" si="19"/>
        <v>#N/A</v>
      </c>
      <c r="IX46" s="8" t="e">
        <f t="shared" si="19"/>
        <v>#N/A</v>
      </c>
      <c r="IY46" s="8" t="e">
        <f t="shared" si="19"/>
        <v>#N/A</v>
      </c>
      <c r="IZ46" s="8" t="e">
        <f t="shared" si="19"/>
        <v>#N/A</v>
      </c>
      <c r="JA46" s="8" t="e">
        <f t="shared" si="19"/>
        <v>#N/A</v>
      </c>
      <c r="JB46" s="8" t="e">
        <f t="shared" si="19"/>
        <v>#N/A</v>
      </c>
      <c r="JC46" s="8" t="e">
        <f t="shared" si="19"/>
        <v>#N/A</v>
      </c>
      <c r="JD46" s="8" t="e">
        <f t="shared" si="19"/>
        <v>#N/A</v>
      </c>
      <c r="JE46" s="8" t="e">
        <f t="shared" si="19"/>
        <v>#N/A</v>
      </c>
      <c r="JF46" s="8" t="e">
        <f t="shared" si="19"/>
        <v>#N/A</v>
      </c>
      <c r="JG46" s="8" t="e">
        <f t="shared" si="19"/>
        <v>#N/A</v>
      </c>
      <c r="JH46" s="8" t="e">
        <f t="shared" si="19"/>
        <v>#N/A</v>
      </c>
      <c r="JI46" s="8" t="e">
        <f t="shared" si="19"/>
        <v>#N/A</v>
      </c>
      <c r="JJ46" s="8" t="e">
        <f t="shared" si="19"/>
        <v>#N/A</v>
      </c>
      <c r="JK46" s="8" t="e">
        <f t="shared" si="19"/>
        <v>#N/A</v>
      </c>
      <c r="JL46" s="8" t="e">
        <f t="shared" si="19"/>
        <v>#N/A</v>
      </c>
      <c r="JM46" s="8" t="e">
        <f t="shared" si="19"/>
        <v>#N/A</v>
      </c>
      <c r="JN46" s="8" t="e">
        <f t="shared" si="19"/>
        <v>#N/A</v>
      </c>
      <c r="JO46" s="8" t="e">
        <f t="shared" si="19"/>
        <v>#N/A</v>
      </c>
      <c r="JP46" s="8" t="e">
        <f t="shared" si="19"/>
        <v>#N/A</v>
      </c>
      <c r="JQ46" s="8" t="e">
        <f t="shared" si="19"/>
        <v>#N/A</v>
      </c>
      <c r="JR46" s="8" t="e">
        <f t="shared" si="19"/>
        <v>#N/A</v>
      </c>
      <c r="JS46" s="8" t="e">
        <f t="shared" si="19"/>
        <v>#N/A</v>
      </c>
      <c r="JT46" s="8" t="e">
        <f t="shared" si="19"/>
        <v>#N/A</v>
      </c>
      <c r="JU46" s="8" t="e">
        <f t="shared" si="19"/>
        <v>#N/A</v>
      </c>
      <c r="JV46" s="8" t="e">
        <f t="shared" si="19"/>
        <v>#N/A</v>
      </c>
      <c r="JW46" s="8" t="e">
        <f t="shared" si="19"/>
        <v>#N/A</v>
      </c>
      <c r="JX46" s="8" t="e">
        <f t="shared" si="19"/>
        <v>#N/A</v>
      </c>
      <c r="JY46" s="8" t="e">
        <f t="shared" si="19"/>
        <v>#N/A</v>
      </c>
      <c r="JZ46" s="8" t="e">
        <f t="shared" si="19"/>
        <v>#N/A</v>
      </c>
      <c r="KA46" s="8" t="e">
        <f t="shared" ref="KA46:ML46" si="20">LOOKUP($HM43,$HM$28:$HM$40,KA$28:KA$40)</f>
        <v>#N/A</v>
      </c>
      <c r="KB46" s="8" t="e">
        <f t="shared" si="20"/>
        <v>#N/A</v>
      </c>
      <c r="KC46" s="8" t="e">
        <f t="shared" si="20"/>
        <v>#N/A</v>
      </c>
      <c r="KD46" s="8" t="e">
        <f t="shared" si="20"/>
        <v>#N/A</v>
      </c>
      <c r="KE46" s="8" t="e">
        <f t="shared" si="20"/>
        <v>#N/A</v>
      </c>
      <c r="KF46" s="8" t="e">
        <f t="shared" si="20"/>
        <v>#N/A</v>
      </c>
      <c r="KG46" s="8" t="e">
        <f t="shared" si="20"/>
        <v>#N/A</v>
      </c>
      <c r="KH46" s="8" t="e">
        <f t="shared" si="20"/>
        <v>#N/A</v>
      </c>
      <c r="KI46" s="8" t="e">
        <f t="shared" si="20"/>
        <v>#N/A</v>
      </c>
      <c r="KJ46" s="8" t="e">
        <f t="shared" si="20"/>
        <v>#N/A</v>
      </c>
      <c r="KK46" s="8" t="e">
        <f t="shared" si="20"/>
        <v>#N/A</v>
      </c>
      <c r="KL46" s="8" t="e">
        <f t="shared" si="20"/>
        <v>#N/A</v>
      </c>
      <c r="KM46" s="8" t="e">
        <f t="shared" si="20"/>
        <v>#N/A</v>
      </c>
      <c r="KN46" s="8" t="e">
        <f t="shared" si="20"/>
        <v>#N/A</v>
      </c>
      <c r="KO46" s="8" t="e">
        <f t="shared" si="20"/>
        <v>#N/A</v>
      </c>
      <c r="KP46" s="8" t="e">
        <f t="shared" si="20"/>
        <v>#N/A</v>
      </c>
      <c r="KQ46" s="8" t="e">
        <f t="shared" si="20"/>
        <v>#N/A</v>
      </c>
      <c r="KR46" s="8" t="e">
        <f t="shared" si="20"/>
        <v>#N/A</v>
      </c>
      <c r="KS46" s="8" t="e">
        <f t="shared" si="20"/>
        <v>#N/A</v>
      </c>
      <c r="KT46" s="8" t="e">
        <f t="shared" si="20"/>
        <v>#N/A</v>
      </c>
      <c r="KU46" s="8" t="e">
        <f t="shared" si="20"/>
        <v>#N/A</v>
      </c>
      <c r="KV46" s="8" t="e">
        <f t="shared" si="20"/>
        <v>#N/A</v>
      </c>
      <c r="KW46" s="8" t="e">
        <f t="shared" si="20"/>
        <v>#N/A</v>
      </c>
      <c r="KX46" s="8" t="e">
        <f t="shared" si="20"/>
        <v>#N/A</v>
      </c>
      <c r="KY46" s="8" t="e">
        <f t="shared" si="20"/>
        <v>#N/A</v>
      </c>
      <c r="KZ46" s="8" t="e">
        <f t="shared" si="20"/>
        <v>#N/A</v>
      </c>
      <c r="LA46" s="8" t="e">
        <f t="shared" si="20"/>
        <v>#N/A</v>
      </c>
      <c r="LB46" s="8" t="e">
        <f t="shared" si="20"/>
        <v>#N/A</v>
      </c>
      <c r="LC46" s="8" t="e">
        <f t="shared" si="20"/>
        <v>#N/A</v>
      </c>
      <c r="LD46" s="8" t="e">
        <f t="shared" si="20"/>
        <v>#N/A</v>
      </c>
      <c r="LE46" s="8" t="e">
        <f t="shared" si="20"/>
        <v>#N/A</v>
      </c>
      <c r="LF46" s="8" t="e">
        <f t="shared" si="20"/>
        <v>#N/A</v>
      </c>
      <c r="LG46" s="8" t="e">
        <f t="shared" si="20"/>
        <v>#N/A</v>
      </c>
      <c r="LH46" s="8" t="e">
        <f t="shared" si="20"/>
        <v>#N/A</v>
      </c>
      <c r="LI46" s="8" t="e">
        <f t="shared" si="20"/>
        <v>#N/A</v>
      </c>
      <c r="LJ46" s="8" t="e">
        <f t="shared" si="20"/>
        <v>#N/A</v>
      </c>
      <c r="LK46" s="8" t="e">
        <f t="shared" si="20"/>
        <v>#N/A</v>
      </c>
      <c r="LL46" s="8" t="e">
        <f t="shared" si="20"/>
        <v>#N/A</v>
      </c>
      <c r="LM46" s="8" t="e">
        <f t="shared" si="20"/>
        <v>#N/A</v>
      </c>
      <c r="LN46" s="8" t="e">
        <f t="shared" si="20"/>
        <v>#N/A</v>
      </c>
      <c r="LO46" s="8" t="e">
        <f t="shared" si="20"/>
        <v>#N/A</v>
      </c>
      <c r="LP46" s="8" t="e">
        <f t="shared" si="20"/>
        <v>#N/A</v>
      </c>
      <c r="LQ46" s="8" t="e">
        <f t="shared" si="20"/>
        <v>#N/A</v>
      </c>
      <c r="LR46" s="8" t="e">
        <f t="shared" si="20"/>
        <v>#N/A</v>
      </c>
      <c r="LS46" s="8" t="e">
        <f t="shared" si="20"/>
        <v>#N/A</v>
      </c>
      <c r="LT46" s="8" t="e">
        <f t="shared" si="20"/>
        <v>#N/A</v>
      </c>
      <c r="LU46" s="8" t="e">
        <f t="shared" si="20"/>
        <v>#N/A</v>
      </c>
      <c r="LV46" s="8" t="e">
        <f t="shared" si="20"/>
        <v>#N/A</v>
      </c>
      <c r="LW46" s="8" t="e">
        <f t="shared" si="20"/>
        <v>#N/A</v>
      </c>
      <c r="LX46" s="8" t="e">
        <f t="shared" si="20"/>
        <v>#N/A</v>
      </c>
      <c r="LY46" s="8" t="e">
        <f t="shared" si="20"/>
        <v>#N/A</v>
      </c>
      <c r="LZ46" s="8" t="e">
        <f t="shared" si="20"/>
        <v>#N/A</v>
      </c>
      <c r="MA46" s="8" t="e">
        <f t="shared" si="20"/>
        <v>#N/A</v>
      </c>
      <c r="MB46" s="8" t="e">
        <f t="shared" si="20"/>
        <v>#N/A</v>
      </c>
      <c r="MC46" s="8" t="e">
        <f t="shared" si="20"/>
        <v>#N/A</v>
      </c>
      <c r="MD46" s="8" t="e">
        <f t="shared" si="20"/>
        <v>#N/A</v>
      </c>
      <c r="ME46" s="8" t="e">
        <f t="shared" si="20"/>
        <v>#N/A</v>
      </c>
      <c r="MF46" s="8" t="e">
        <f t="shared" si="20"/>
        <v>#N/A</v>
      </c>
      <c r="MG46" s="8" t="e">
        <f t="shared" si="20"/>
        <v>#N/A</v>
      </c>
      <c r="MH46" s="8" t="e">
        <f t="shared" si="20"/>
        <v>#N/A</v>
      </c>
      <c r="MI46" s="8" t="e">
        <f t="shared" si="20"/>
        <v>#N/A</v>
      </c>
      <c r="MJ46" s="8" t="e">
        <f t="shared" si="20"/>
        <v>#N/A</v>
      </c>
      <c r="MK46" s="8" t="e">
        <f t="shared" si="20"/>
        <v>#N/A</v>
      </c>
      <c r="ML46" s="8" t="e">
        <f t="shared" si="20"/>
        <v>#N/A</v>
      </c>
      <c r="MM46" s="8" t="e">
        <f t="shared" ref="MM46:OX46" si="21">LOOKUP($HM43,$HM$28:$HM$40,MM$28:MM$40)</f>
        <v>#N/A</v>
      </c>
      <c r="MN46" s="8" t="e">
        <f t="shared" si="21"/>
        <v>#N/A</v>
      </c>
      <c r="MO46" s="8" t="e">
        <f t="shared" si="21"/>
        <v>#N/A</v>
      </c>
      <c r="MP46" s="8" t="e">
        <f t="shared" si="21"/>
        <v>#N/A</v>
      </c>
      <c r="MQ46" s="8" t="e">
        <f t="shared" si="21"/>
        <v>#N/A</v>
      </c>
      <c r="MR46" s="8" t="e">
        <f t="shared" si="21"/>
        <v>#N/A</v>
      </c>
      <c r="MS46" s="8" t="e">
        <f t="shared" si="21"/>
        <v>#N/A</v>
      </c>
      <c r="MT46" s="8" t="e">
        <f t="shared" si="21"/>
        <v>#N/A</v>
      </c>
      <c r="MU46" s="8" t="e">
        <f t="shared" si="21"/>
        <v>#N/A</v>
      </c>
      <c r="MV46" s="8" t="e">
        <f t="shared" si="21"/>
        <v>#N/A</v>
      </c>
      <c r="MW46" s="8" t="e">
        <f t="shared" si="21"/>
        <v>#N/A</v>
      </c>
      <c r="MX46" s="8" t="e">
        <f t="shared" si="21"/>
        <v>#N/A</v>
      </c>
      <c r="MY46" s="8" t="e">
        <f t="shared" si="21"/>
        <v>#N/A</v>
      </c>
      <c r="MZ46" s="8" t="e">
        <f t="shared" si="21"/>
        <v>#N/A</v>
      </c>
      <c r="NA46" s="8" t="e">
        <f t="shared" si="21"/>
        <v>#N/A</v>
      </c>
      <c r="NB46" s="8" t="e">
        <f t="shared" si="21"/>
        <v>#N/A</v>
      </c>
      <c r="NC46" s="8" t="e">
        <f t="shared" si="21"/>
        <v>#N/A</v>
      </c>
      <c r="ND46" s="8" t="e">
        <f t="shared" si="21"/>
        <v>#N/A</v>
      </c>
      <c r="NE46" s="8" t="e">
        <f t="shared" si="21"/>
        <v>#N/A</v>
      </c>
      <c r="NF46" s="8" t="e">
        <f t="shared" si="21"/>
        <v>#N/A</v>
      </c>
      <c r="NG46" s="8" t="e">
        <f t="shared" si="21"/>
        <v>#N/A</v>
      </c>
      <c r="NH46" s="8" t="e">
        <f t="shared" si="21"/>
        <v>#N/A</v>
      </c>
      <c r="NI46" s="8" t="e">
        <f t="shared" si="21"/>
        <v>#N/A</v>
      </c>
      <c r="NJ46" s="8" t="e">
        <f t="shared" si="21"/>
        <v>#N/A</v>
      </c>
      <c r="NK46" s="8" t="e">
        <f t="shared" si="21"/>
        <v>#N/A</v>
      </c>
      <c r="NL46" s="8" t="e">
        <f t="shared" si="21"/>
        <v>#N/A</v>
      </c>
      <c r="NM46" s="8" t="e">
        <f t="shared" si="21"/>
        <v>#N/A</v>
      </c>
      <c r="NN46" s="8" t="e">
        <f t="shared" si="21"/>
        <v>#N/A</v>
      </c>
      <c r="NO46" s="8" t="e">
        <f t="shared" si="21"/>
        <v>#N/A</v>
      </c>
      <c r="NP46" s="8" t="e">
        <f t="shared" si="21"/>
        <v>#N/A</v>
      </c>
      <c r="NQ46" s="8" t="e">
        <f t="shared" si="21"/>
        <v>#N/A</v>
      </c>
      <c r="NR46" s="8" t="e">
        <f t="shared" si="21"/>
        <v>#N/A</v>
      </c>
      <c r="NS46" s="8" t="e">
        <f t="shared" si="21"/>
        <v>#N/A</v>
      </c>
      <c r="NT46" s="8" t="e">
        <f t="shared" si="21"/>
        <v>#N/A</v>
      </c>
      <c r="NU46" s="8" t="e">
        <f t="shared" si="21"/>
        <v>#N/A</v>
      </c>
      <c r="NV46" s="8" t="e">
        <f t="shared" si="21"/>
        <v>#N/A</v>
      </c>
      <c r="NW46" s="8" t="e">
        <f t="shared" si="21"/>
        <v>#N/A</v>
      </c>
      <c r="NX46" s="8" t="e">
        <f t="shared" si="21"/>
        <v>#N/A</v>
      </c>
      <c r="NY46" s="8" t="e">
        <f t="shared" si="21"/>
        <v>#N/A</v>
      </c>
      <c r="NZ46" s="8" t="e">
        <f t="shared" si="21"/>
        <v>#N/A</v>
      </c>
      <c r="OA46" s="8" t="e">
        <f t="shared" si="21"/>
        <v>#N/A</v>
      </c>
      <c r="OB46" s="8" t="e">
        <f t="shared" si="21"/>
        <v>#N/A</v>
      </c>
      <c r="OC46" s="8" t="e">
        <f t="shared" si="21"/>
        <v>#N/A</v>
      </c>
      <c r="OD46" s="8" t="e">
        <f t="shared" si="21"/>
        <v>#N/A</v>
      </c>
      <c r="OE46" s="8" t="e">
        <f t="shared" si="21"/>
        <v>#N/A</v>
      </c>
      <c r="OF46" s="8" t="e">
        <f t="shared" si="21"/>
        <v>#N/A</v>
      </c>
      <c r="OG46" s="8" t="e">
        <f t="shared" si="21"/>
        <v>#N/A</v>
      </c>
      <c r="OH46" s="8" t="e">
        <f t="shared" si="21"/>
        <v>#N/A</v>
      </c>
      <c r="OI46" s="8" t="e">
        <f t="shared" si="21"/>
        <v>#N/A</v>
      </c>
      <c r="OJ46" s="8" t="e">
        <f t="shared" si="21"/>
        <v>#N/A</v>
      </c>
      <c r="OK46" s="8" t="e">
        <f t="shared" si="21"/>
        <v>#N/A</v>
      </c>
      <c r="OL46" s="8" t="e">
        <f t="shared" si="21"/>
        <v>#N/A</v>
      </c>
      <c r="OM46" s="8" t="e">
        <f t="shared" si="21"/>
        <v>#N/A</v>
      </c>
      <c r="ON46" s="8" t="e">
        <f t="shared" si="21"/>
        <v>#N/A</v>
      </c>
      <c r="OO46" s="8" t="e">
        <f t="shared" si="21"/>
        <v>#N/A</v>
      </c>
      <c r="OP46" s="8" t="e">
        <f t="shared" si="21"/>
        <v>#N/A</v>
      </c>
      <c r="OQ46" s="8" t="e">
        <f t="shared" si="21"/>
        <v>#N/A</v>
      </c>
      <c r="OR46" s="8" t="e">
        <f t="shared" si="21"/>
        <v>#N/A</v>
      </c>
      <c r="OS46" s="8" t="e">
        <f t="shared" si="21"/>
        <v>#N/A</v>
      </c>
      <c r="OT46" s="8" t="e">
        <f t="shared" si="21"/>
        <v>#N/A</v>
      </c>
      <c r="OU46" s="8" t="e">
        <f t="shared" si="21"/>
        <v>#N/A</v>
      </c>
      <c r="OV46" s="8" t="e">
        <f t="shared" si="21"/>
        <v>#N/A</v>
      </c>
      <c r="OW46" s="8" t="e">
        <f t="shared" si="21"/>
        <v>#N/A</v>
      </c>
      <c r="OX46" s="8" t="e">
        <f t="shared" si="21"/>
        <v>#N/A</v>
      </c>
      <c r="OY46" s="8" t="e">
        <f t="shared" ref="OY46:RJ46" si="22">LOOKUP($HM43,$HM$28:$HM$40,OY$28:OY$40)</f>
        <v>#N/A</v>
      </c>
      <c r="OZ46" s="8" t="e">
        <f t="shared" si="22"/>
        <v>#N/A</v>
      </c>
      <c r="PA46" s="8" t="e">
        <f t="shared" si="22"/>
        <v>#N/A</v>
      </c>
      <c r="PB46" s="8" t="e">
        <f t="shared" si="22"/>
        <v>#N/A</v>
      </c>
      <c r="PC46" s="8" t="e">
        <f t="shared" si="22"/>
        <v>#N/A</v>
      </c>
      <c r="PD46" s="8" t="e">
        <f t="shared" si="22"/>
        <v>#N/A</v>
      </c>
      <c r="PE46" s="8" t="e">
        <f t="shared" si="22"/>
        <v>#N/A</v>
      </c>
      <c r="PF46" s="8" t="e">
        <f t="shared" si="22"/>
        <v>#N/A</v>
      </c>
      <c r="PG46" s="8" t="e">
        <f t="shared" si="22"/>
        <v>#N/A</v>
      </c>
      <c r="PH46" s="8" t="e">
        <f t="shared" si="22"/>
        <v>#N/A</v>
      </c>
      <c r="PI46" s="8" t="e">
        <f t="shared" si="22"/>
        <v>#N/A</v>
      </c>
      <c r="PJ46" s="8" t="e">
        <f t="shared" si="22"/>
        <v>#N/A</v>
      </c>
      <c r="PK46" s="8" t="e">
        <f t="shared" si="22"/>
        <v>#N/A</v>
      </c>
      <c r="PL46" s="8" t="e">
        <f t="shared" si="22"/>
        <v>#N/A</v>
      </c>
      <c r="PM46" s="8" t="e">
        <f t="shared" si="22"/>
        <v>#N/A</v>
      </c>
      <c r="PN46" s="8" t="e">
        <f t="shared" si="22"/>
        <v>#N/A</v>
      </c>
      <c r="PO46" s="8" t="e">
        <f t="shared" si="22"/>
        <v>#N/A</v>
      </c>
      <c r="PP46" s="8" t="e">
        <f t="shared" si="22"/>
        <v>#N/A</v>
      </c>
      <c r="PQ46" s="8" t="e">
        <f t="shared" si="22"/>
        <v>#N/A</v>
      </c>
      <c r="PR46" s="8" t="e">
        <f t="shared" si="22"/>
        <v>#N/A</v>
      </c>
      <c r="PS46" s="8" t="e">
        <f t="shared" si="22"/>
        <v>#N/A</v>
      </c>
      <c r="PT46" s="8" t="e">
        <f t="shared" si="22"/>
        <v>#N/A</v>
      </c>
      <c r="PU46" s="8" t="e">
        <f t="shared" si="22"/>
        <v>#N/A</v>
      </c>
      <c r="PV46" s="8" t="e">
        <f t="shared" si="22"/>
        <v>#N/A</v>
      </c>
      <c r="PW46" s="8" t="e">
        <f t="shared" si="22"/>
        <v>#N/A</v>
      </c>
      <c r="PX46" s="8" t="e">
        <f t="shared" si="22"/>
        <v>#N/A</v>
      </c>
      <c r="PY46" s="8" t="e">
        <f t="shared" si="22"/>
        <v>#N/A</v>
      </c>
      <c r="PZ46" s="8" t="e">
        <f t="shared" si="22"/>
        <v>#N/A</v>
      </c>
      <c r="QA46" s="8" t="e">
        <f t="shared" si="22"/>
        <v>#N/A</v>
      </c>
      <c r="QB46" s="8" t="e">
        <f t="shared" si="22"/>
        <v>#N/A</v>
      </c>
      <c r="QC46" s="8" t="e">
        <f t="shared" si="22"/>
        <v>#N/A</v>
      </c>
      <c r="QD46" s="8" t="e">
        <f t="shared" si="22"/>
        <v>#N/A</v>
      </c>
      <c r="QE46" s="8" t="e">
        <f t="shared" si="22"/>
        <v>#N/A</v>
      </c>
      <c r="QF46" s="8" t="e">
        <f t="shared" si="22"/>
        <v>#N/A</v>
      </c>
      <c r="QG46" s="8" t="e">
        <f t="shared" si="22"/>
        <v>#N/A</v>
      </c>
      <c r="QH46" s="8" t="e">
        <f t="shared" si="22"/>
        <v>#N/A</v>
      </c>
      <c r="QI46" s="8" t="e">
        <f t="shared" si="22"/>
        <v>#N/A</v>
      </c>
      <c r="QJ46" s="8" t="e">
        <f t="shared" si="22"/>
        <v>#N/A</v>
      </c>
      <c r="QK46" s="8" t="e">
        <f t="shared" si="22"/>
        <v>#N/A</v>
      </c>
      <c r="QL46" s="8" t="e">
        <f t="shared" si="22"/>
        <v>#N/A</v>
      </c>
      <c r="QM46" s="8" t="e">
        <f t="shared" si="22"/>
        <v>#N/A</v>
      </c>
      <c r="QN46" s="8" t="e">
        <f t="shared" si="22"/>
        <v>#N/A</v>
      </c>
      <c r="QO46" s="8" t="e">
        <f t="shared" si="22"/>
        <v>#N/A</v>
      </c>
      <c r="QP46" s="8" t="e">
        <f t="shared" si="22"/>
        <v>#N/A</v>
      </c>
      <c r="QQ46" s="8" t="e">
        <f t="shared" si="22"/>
        <v>#N/A</v>
      </c>
      <c r="QR46" s="8" t="e">
        <f t="shared" si="22"/>
        <v>#N/A</v>
      </c>
      <c r="QS46" s="8" t="e">
        <f t="shared" si="22"/>
        <v>#N/A</v>
      </c>
      <c r="QT46" s="8" t="e">
        <f t="shared" si="22"/>
        <v>#N/A</v>
      </c>
      <c r="QU46" s="8" t="e">
        <f t="shared" si="22"/>
        <v>#N/A</v>
      </c>
      <c r="QV46" s="8" t="e">
        <f t="shared" si="22"/>
        <v>#N/A</v>
      </c>
      <c r="QW46" s="8" t="e">
        <f t="shared" si="22"/>
        <v>#N/A</v>
      </c>
      <c r="QX46" s="8" t="e">
        <f t="shared" si="22"/>
        <v>#N/A</v>
      </c>
      <c r="QY46" s="8" t="e">
        <f t="shared" si="22"/>
        <v>#N/A</v>
      </c>
      <c r="QZ46" s="8" t="e">
        <f t="shared" si="22"/>
        <v>#N/A</v>
      </c>
      <c r="RA46" s="8" t="e">
        <f t="shared" si="22"/>
        <v>#N/A</v>
      </c>
      <c r="RB46" s="8" t="e">
        <f t="shared" si="22"/>
        <v>#N/A</v>
      </c>
      <c r="RC46" s="8" t="e">
        <f t="shared" si="22"/>
        <v>#N/A</v>
      </c>
      <c r="RD46" s="8" t="e">
        <f t="shared" si="22"/>
        <v>#N/A</v>
      </c>
      <c r="RE46" s="8" t="e">
        <f t="shared" si="22"/>
        <v>#N/A</v>
      </c>
      <c r="RF46" s="8" t="e">
        <f t="shared" si="22"/>
        <v>#N/A</v>
      </c>
      <c r="RG46" s="8" t="e">
        <f t="shared" si="22"/>
        <v>#N/A</v>
      </c>
      <c r="RH46" s="8" t="e">
        <f t="shared" si="22"/>
        <v>#N/A</v>
      </c>
      <c r="RI46" s="8" t="e">
        <f t="shared" si="22"/>
        <v>#N/A</v>
      </c>
      <c r="RJ46" s="8" t="e">
        <f t="shared" si="22"/>
        <v>#N/A</v>
      </c>
      <c r="RK46" s="8" t="e">
        <f t="shared" ref="RK46:TB46" si="23">LOOKUP($HM43,$HM$28:$HM$40,RK$28:RK$40)</f>
        <v>#N/A</v>
      </c>
      <c r="RL46" s="8" t="e">
        <f t="shared" si="23"/>
        <v>#N/A</v>
      </c>
      <c r="RM46" s="8" t="e">
        <f t="shared" si="23"/>
        <v>#N/A</v>
      </c>
      <c r="RN46" s="8" t="e">
        <f t="shared" si="23"/>
        <v>#N/A</v>
      </c>
      <c r="RO46" s="8" t="e">
        <f t="shared" si="23"/>
        <v>#N/A</v>
      </c>
      <c r="RP46" s="8" t="e">
        <f t="shared" si="23"/>
        <v>#N/A</v>
      </c>
      <c r="RQ46" s="8" t="e">
        <f t="shared" si="23"/>
        <v>#N/A</v>
      </c>
      <c r="RR46" s="8" t="e">
        <f t="shared" si="23"/>
        <v>#N/A</v>
      </c>
      <c r="RS46" s="8" t="e">
        <f t="shared" si="23"/>
        <v>#N/A</v>
      </c>
      <c r="RT46" s="8" t="e">
        <f t="shared" si="23"/>
        <v>#N/A</v>
      </c>
      <c r="RU46" s="8" t="e">
        <f t="shared" si="23"/>
        <v>#N/A</v>
      </c>
      <c r="RV46" s="8" t="e">
        <f t="shared" si="23"/>
        <v>#N/A</v>
      </c>
      <c r="RW46" s="8" t="e">
        <f t="shared" si="23"/>
        <v>#N/A</v>
      </c>
      <c r="RX46" s="8" t="e">
        <f t="shared" si="23"/>
        <v>#N/A</v>
      </c>
      <c r="RY46" s="8" t="e">
        <f t="shared" si="23"/>
        <v>#N/A</v>
      </c>
      <c r="RZ46" s="8" t="e">
        <f t="shared" si="23"/>
        <v>#N/A</v>
      </c>
      <c r="SA46" s="8" t="e">
        <f t="shared" si="23"/>
        <v>#N/A</v>
      </c>
      <c r="SB46" s="8" t="e">
        <f t="shared" si="23"/>
        <v>#N/A</v>
      </c>
      <c r="SC46" s="8" t="e">
        <f t="shared" si="23"/>
        <v>#N/A</v>
      </c>
      <c r="SD46" s="8" t="e">
        <f t="shared" si="23"/>
        <v>#N/A</v>
      </c>
      <c r="SE46" s="8" t="e">
        <f t="shared" si="23"/>
        <v>#N/A</v>
      </c>
      <c r="SF46" s="8" t="e">
        <f t="shared" si="23"/>
        <v>#N/A</v>
      </c>
      <c r="SG46" s="8" t="e">
        <f t="shared" si="23"/>
        <v>#N/A</v>
      </c>
      <c r="SH46" s="8" t="e">
        <f t="shared" si="23"/>
        <v>#N/A</v>
      </c>
      <c r="SI46" s="8" t="e">
        <f t="shared" si="23"/>
        <v>#N/A</v>
      </c>
      <c r="SJ46" s="8" t="e">
        <f t="shared" si="23"/>
        <v>#N/A</v>
      </c>
      <c r="SK46" s="8" t="e">
        <f t="shared" si="23"/>
        <v>#N/A</v>
      </c>
      <c r="SL46" s="8" t="e">
        <f t="shared" si="23"/>
        <v>#N/A</v>
      </c>
      <c r="SM46" s="8" t="e">
        <f t="shared" si="23"/>
        <v>#N/A</v>
      </c>
      <c r="SN46" s="8" t="e">
        <f t="shared" si="23"/>
        <v>#N/A</v>
      </c>
      <c r="SO46" s="8" t="e">
        <f t="shared" si="23"/>
        <v>#N/A</v>
      </c>
      <c r="SP46" s="8" t="e">
        <f t="shared" si="23"/>
        <v>#N/A</v>
      </c>
      <c r="SQ46" s="8" t="e">
        <f t="shared" si="23"/>
        <v>#N/A</v>
      </c>
      <c r="SR46" s="8" t="e">
        <f t="shared" si="23"/>
        <v>#N/A</v>
      </c>
      <c r="SS46" s="8" t="e">
        <f t="shared" si="23"/>
        <v>#N/A</v>
      </c>
      <c r="ST46" s="8" t="e">
        <f t="shared" si="23"/>
        <v>#N/A</v>
      </c>
      <c r="SU46" s="8" t="e">
        <f t="shared" si="23"/>
        <v>#N/A</v>
      </c>
      <c r="SV46" s="8" t="e">
        <f t="shared" si="23"/>
        <v>#N/A</v>
      </c>
      <c r="SW46" s="8" t="e">
        <f t="shared" si="23"/>
        <v>#N/A</v>
      </c>
      <c r="SX46" s="8" t="e">
        <f t="shared" si="23"/>
        <v>#N/A</v>
      </c>
      <c r="SY46" s="8" t="e">
        <f t="shared" si="23"/>
        <v>#N/A</v>
      </c>
      <c r="SZ46" s="8" t="e">
        <f t="shared" si="23"/>
        <v>#N/A</v>
      </c>
      <c r="TA46" s="8" t="e">
        <f t="shared" si="23"/>
        <v>#N/A</v>
      </c>
      <c r="TB46" s="8" t="e">
        <f t="shared" si="23"/>
        <v>#N/A</v>
      </c>
      <c r="TD46" t="e">
        <f>LOOKUP($HM43,$HM$28:$HM$40,TD$28:TD$40)</f>
        <v>#N/A</v>
      </c>
      <c r="TE46" t="e">
        <f>TD46</f>
        <v>#N/A</v>
      </c>
    </row>
    <row r="47" spans="19:525" x14ac:dyDescent="0.15">
      <c r="S47">
        <f>IF($S5&gt;=グラフ!$J$43,0,IF($HK5&lt;=グラフ!$J$43,100,INDEX(csv!$L5:$HD5,1,MATCH(グラフ!$J$43,$S5:$HK5,1))))</f>
        <v>0</v>
      </c>
      <c r="T47">
        <f>IF($S18&gt;=グラフ!$R$43,0,IF($HK18&lt;=グラフ!$R$43,100,INDEX(csv!$L18:$HD18,1,MATCH(グラフ!$R$43,$S18:$HK18,1))))</f>
        <v>0</v>
      </c>
      <c r="U47">
        <f>IF($S31&gt;=グラフ!$B$43,0,IF($HK31&lt;=グラフ!$B$43,100,INDEX(csv!$L31:$HD31,1,MATCH(グラフ!$B$43,$S31:$HK31,1))))</f>
        <v>0</v>
      </c>
      <c r="V47">
        <f t="shared" si="11"/>
        <v>100</v>
      </c>
      <c r="W47">
        <f t="shared" si="12"/>
        <v>100</v>
      </c>
      <c r="X47">
        <f t="shared" si="13"/>
        <v>100</v>
      </c>
      <c r="HM47" s="2" t="s">
        <v>196</v>
      </c>
      <c r="HO47" t="e">
        <f t="shared" ref="HO47:IT47" si="24">IF(ISERROR((HP44-HN44)/0.2),NA(),(HP44-HN44)/0.2)</f>
        <v>#N/A</v>
      </c>
      <c r="HP47" t="e">
        <f t="shared" si="24"/>
        <v>#N/A</v>
      </c>
      <c r="HQ47" t="e">
        <f t="shared" si="24"/>
        <v>#N/A</v>
      </c>
      <c r="HR47" t="e">
        <f t="shared" si="24"/>
        <v>#N/A</v>
      </c>
      <c r="HS47" t="e">
        <f t="shared" si="24"/>
        <v>#N/A</v>
      </c>
      <c r="HT47" t="e">
        <f t="shared" si="24"/>
        <v>#N/A</v>
      </c>
      <c r="HU47" t="e">
        <f t="shared" si="24"/>
        <v>#N/A</v>
      </c>
      <c r="HV47" t="e">
        <f t="shared" si="24"/>
        <v>#N/A</v>
      </c>
      <c r="HW47" t="e">
        <f t="shared" si="24"/>
        <v>#N/A</v>
      </c>
      <c r="HX47" t="e">
        <f t="shared" si="24"/>
        <v>#N/A</v>
      </c>
      <c r="HY47" t="e">
        <f t="shared" si="24"/>
        <v>#N/A</v>
      </c>
      <c r="HZ47" t="e">
        <f t="shared" si="24"/>
        <v>#N/A</v>
      </c>
      <c r="IA47" t="e">
        <f t="shared" si="24"/>
        <v>#N/A</v>
      </c>
      <c r="IB47" t="e">
        <f t="shared" si="24"/>
        <v>#N/A</v>
      </c>
      <c r="IC47" t="e">
        <f t="shared" si="24"/>
        <v>#N/A</v>
      </c>
      <c r="ID47" t="e">
        <f t="shared" si="24"/>
        <v>#N/A</v>
      </c>
      <c r="IE47" t="e">
        <f t="shared" si="24"/>
        <v>#N/A</v>
      </c>
      <c r="IF47" t="e">
        <f t="shared" si="24"/>
        <v>#N/A</v>
      </c>
      <c r="IG47" t="e">
        <f t="shared" si="24"/>
        <v>#N/A</v>
      </c>
      <c r="IH47" t="e">
        <f t="shared" si="24"/>
        <v>#N/A</v>
      </c>
      <c r="II47" t="e">
        <f t="shared" si="24"/>
        <v>#N/A</v>
      </c>
      <c r="IJ47" t="e">
        <f t="shared" si="24"/>
        <v>#N/A</v>
      </c>
      <c r="IK47" t="e">
        <f t="shared" si="24"/>
        <v>#N/A</v>
      </c>
      <c r="IL47" t="e">
        <f t="shared" si="24"/>
        <v>#N/A</v>
      </c>
      <c r="IM47" t="e">
        <f t="shared" si="24"/>
        <v>#N/A</v>
      </c>
      <c r="IN47" t="e">
        <f t="shared" si="24"/>
        <v>#N/A</v>
      </c>
      <c r="IO47" t="e">
        <f t="shared" si="24"/>
        <v>#N/A</v>
      </c>
      <c r="IP47" t="e">
        <f t="shared" si="24"/>
        <v>#N/A</v>
      </c>
      <c r="IQ47" t="e">
        <f t="shared" si="24"/>
        <v>#N/A</v>
      </c>
      <c r="IR47" t="e">
        <f t="shared" si="24"/>
        <v>#N/A</v>
      </c>
      <c r="IS47" t="e">
        <f t="shared" si="24"/>
        <v>#N/A</v>
      </c>
      <c r="IT47" t="e">
        <f t="shared" si="24"/>
        <v>#N/A</v>
      </c>
      <c r="IU47" t="e">
        <f t="shared" ref="IU47:JZ47" si="25">IF(ISERROR((IV44-IT44)/0.2),NA(),(IV44-IT44)/0.2)</f>
        <v>#N/A</v>
      </c>
      <c r="IV47" t="e">
        <f t="shared" si="25"/>
        <v>#N/A</v>
      </c>
      <c r="IW47" t="e">
        <f t="shared" si="25"/>
        <v>#N/A</v>
      </c>
      <c r="IX47" t="e">
        <f t="shared" si="25"/>
        <v>#N/A</v>
      </c>
      <c r="IY47" t="e">
        <f t="shared" si="25"/>
        <v>#N/A</v>
      </c>
      <c r="IZ47" t="e">
        <f t="shared" si="25"/>
        <v>#N/A</v>
      </c>
      <c r="JA47" t="e">
        <f t="shared" si="25"/>
        <v>#N/A</v>
      </c>
      <c r="JB47" t="e">
        <f t="shared" si="25"/>
        <v>#N/A</v>
      </c>
      <c r="JC47" t="e">
        <f t="shared" si="25"/>
        <v>#N/A</v>
      </c>
      <c r="JD47" t="e">
        <f t="shared" si="25"/>
        <v>#N/A</v>
      </c>
      <c r="JE47" t="e">
        <f t="shared" si="25"/>
        <v>#N/A</v>
      </c>
      <c r="JF47" t="e">
        <f t="shared" si="25"/>
        <v>#N/A</v>
      </c>
      <c r="JG47" t="e">
        <f t="shared" si="25"/>
        <v>#N/A</v>
      </c>
      <c r="JH47" t="e">
        <f t="shared" si="25"/>
        <v>#N/A</v>
      </c>
      <c r="JI47" t="e">
        <f t="shared" si="25"/>
        <v>#N/A</v>
      </c>
      <c r="JJ47" t="e">
        <f t="shared" si="25"/>
        <v>#N/A</v>
      </c>
      <c r="JK47" t="e">
        <f t="shared" si="25"/>
        <v>#N/A</v>
      </c>
      <c r="JL47" t="e">
        <f t="shared" si="25"/>
        <v>#N/A</v>
      </c>
      <c r="JM47" t="e">
        <f t="shared" si="25"/>
        <v>#N/A</v>
      </c>
      <c r="JN47" t="e">
        <f t="shared" si="25"/>
        <v>#N/A</v>
      </c>
      <c r="JO47" t="e">
        <f t="shared" si="25"/>
        <v>#N/A</v>
      </c>
      <c r="JP47" t="e">
        <f t="shared" si="25"/>
        <v>#N/A</v>
      </c>
      <c r="JQ47" t="e">
        <f t="shared" si="25"/>
        <v>#N/A</v>
      </c>
      <c r="JR47" t="e">
        <f t="shared" si="25"/>
        <v>#N/A</v>
      </c>
      <c r="JS47" t="e">
        <f t="shared" si="25"/>
        <v>#N/A</v>
      </c>
      <c r="JT47" t="e">
        <f t="shared" si="25"/>
        <v>#N/A</v>
      </c>
      <c r="JU47" t="e">
        <f t="shared" si="25"/>
        <v>#N/A</v>
      </c>
      <c r="JV47" t="e">
        <f t="shared" si="25"/>
        <v>#N/A</v>
      </c>
      <c r="JW47" t="e">
        <f t="shared" si="25"/>
        <v>#N/A</v>
      </c>
      <c r="JX47" t="e">
        <f t="shared" si="25"/>
        <v>#N/A</v>
      </c>
      <c r="JY47" t="e">
        <f t="shared" si="25"/>
        <v>#N/A</v>
      </c>
      <c r="JZ47" t="e">
        <f t="shared" si="25"/>
        <v>#N/A</v>
      </c>
      <c r="KA47" t="e">
        <f t="shared" ref="KA47:LF47" si="26">IF(ISERROR((KB44-JZ44)/0.2),NA(),(KB44-JZ44)/0.2)</f>
        <v>#N/A</v>
      </c>
      <c r="KB47" t="e">
        <f t="shared" si="26"/>
        <v>#N/A</v>
      </c>
      <c r="KC47" t="e">
        <f t="shared" si="26"/>
        <v>#N/A</v>
      </c>
      <c r="KD47" t="e">
        <f t="shared" si="26"/>
        <v>#N/A</v>
      </c>
      <c r="KE47" t="e">
        <f t="shared" si="26"/>
        <v>#N/A</v>
      </c>
      <c r="KF47" t="e">
        <f t="shared" si="26"/>
        <v>#N/A</v>
      </c>
      <c r="KG47" t="e">
        <f t="shared" si="26"/>
        <v>#N/A</v>
      </c>
      <c r="KH47" t="e">
        <f t="shared" si="26"/>
        <v>#N/A</v>
      </c>
      <c r="KI47" t="e">
        <f t="shared" si="26"/>
        <v>#N/A</v>
      </c>
      <c r="KJ47" t="e">
        <f t="shared" si="26"/>
        <v>#N/A</v>
      </c>
      <c r="KK47" t="e">
        <f t="shared" si="26"/>
        <v>#N/A</v>
      </c>
      <c r="KL47" t="e">
        <f t="shared" si="26"/>
        <v>#N/A</v>
      </c>
      <c r="KM47" t="e">
        <f t="shared" si="26"/>
        <v>#N/A</v>
      </c>
      <c r="KN47" t="e">
        <f t="shared" si="26"/>
        <v>#N/A</v>
      </c>
      <c r="KO47" t="e">
        <f t="shared" si="26"/>
        <v>#N/A</v>
      </c>
      <c r="KP47" t="e">
        <f t="shared" si="26"/>
        <v>#N/A</v>
      </c>
      <c r="KQ47" t="e">
        <f t="shared" si="26"/>
        <v>#N/A</v>
      </c>
      <c r="KR47" t="e">
        <f t="shared" si="26"/>
        <v>#N/A</v>
      </c>
      <c r="KS47" t="e">
        <f t="shared" si="26"/>
        <v>#N/A</v>
      </c>
      <c r="KT47" t="e">
        <f t="shared" si="26"/>
        <v>#N/A</v>
      </c>
      <c r="KU47" t="e">
        <f t="shared" si="26"/>
        <v>#N/A</v>
      </c>
      <c r="KV47" t="e">
        <f t="shared" si="26"/>
        <v>#N/A</v>
      </c>
      <c r="KW47" t="e">
        <f t="shared" si="26"/>
        <v>#N/A</v>
      </c>
      <c r="KX47" t="e">
        <f t="shared" si="26"/>
        <v>#N/A</v>
      </c>
      <c r="KY47" t="e">
        <f t="shared" si="26"/>
        <v>#N/A</v>
      </c>
      <c r="KZ47" t="e">
        <f t="shared" si="26"/>
        <v>#N/A</v>
      </c>
      <c r="LA47" t="e">
        <f t="shared" si="26"/>
        <v>#N/A</v>
      </c>
      <c r="LB47" t="e">
        <f t="shared" si="26"/>
        <v>#N/A</v>
      </c>
      <c r="LC47" t="e">
        <f t="shared" si="26"/>
        <v>#N/A</v>
      </c>
      <c r="LD47" t="e">
        <f t="shared" si="26"/>
        <v>#N/A</v>
      </c>
      <c r="LE47" t="e">
        <f t="shared" si="26"/>
        <v>#N/A</v>
      </c>
      <c r="LF47" t="e">
        <f t="shared" si="26"/>
        <v>#N/A</v>
      </c>
      <c r="LG47" t="e">
        <f t="shared" ref="LG47:ML47" si="27">IF(ISERROR((LH44-LF44)/0.2),NA(),(LH44-LF44)/0.2)</f>
        <v>#N/A</v>
      </c>
      <c r="LH47" t="e">
        <f t="shared" si="27"/>
        <v>#N/A</v>
      </c>
      <c r="LI47" t="e">
        <f t="shared" si="27"/>
        <v>#N/A</v>
      </c>
      <c r="LJ47" t="e">
        <f t="shared" si="27"/>
        <v>#N/A</v>
      </c>
      <c r="LK47" t="e">
        <f t="shared" si="27"/>
        <v>#N/A</v>
      </c>
      <c r="LL47" t="e">
        <f t="shared" si="27"/>
        <v>#N/A</v>
      </c>
      <c r="LM47" t="e">
        <f t="shared" si="27"/>
        <v>#N/A</v>
      </c>
      <c r="LN47" t="e">
        <f t="shared" si="27"/>
        <v>#N/A</v>
      </c>
      <c r="LO47" t="e">
        <f t="shared" si="27"/>
        <v>#N/A</v>
      </c>
      <c r="LP47" t="e">
        <f t="shared" si="27"/>
        <v>#N/A</v>
      </c>
      <c r="LQ47" t="e">
        <f t="shared" si="27"/>
        <v>#N/A</v>
      </c>
      <c r="LR47" t="e">
        <f t="shared" si="27"/>
        <v>#N/A</v>
      </c>
      <c r="LS47" t="e">
        <f t="shared" si="27"/>
        <v>#N/A</v>
      </c>
      <c r="LT47" t="e">
        <f t="shared" si="27"/>
        <v>#N/A</v>
      </c>
      <c r="LU47" t="e">
        <f t="shared" si="27"/>
        <v>#N/A</v>
      </c>
      <c r="LV47" t="e">
        <f t="shared" si="27"/>
        <v>#N/A</v>
      </c>
      <c r="LW47" t="e">
        <f t="shared" si="27"/>
        <v>#N/A</v>
      </c>
      <c r="LX47" t="e">
        <f t="shared" si="27"/>
        <v>#N/A</v>
      </c>
      <c r="LY47" t="e">
        <f t="shared" si="27"/>
        <v>#N/A</v>
      </c>
      <c r="LZ47" t="e">
        <f t="shared" si="27"/>
        <v>#N/A</v>
      </c>
      <c r="MA47" t="e">
        <f t="shared" si="27"/>
        <v>#N/A</v>
      </c>
      <c r="MB47" t="e">
        <f t="shared" si="27"/>
        <v>#N/A</v>
      </c>
      <c r="MC47" t="e">
        <f t="shared" si="27"/>
        <v>#N/A</v>
      </c>
      <c r="MD47" t="e">
        <f t="shared" si="27"/>
        <v>#N/A</v>
      </c>
      <c r="ME47" t="e">
        <f t="shared" si="27"/>
        <v>#N/A</v>
      </c>
      <c r="MF47" t="e">
        <f t="shared" si="27"/>
        <v>#N/A</v>
      </c>
      <c r="MG47" t="e">
        <f t="shared" si="27"/>
        <v>#N/A</v>
      </c>
      <c r="MH47" t="e">
        <f t="shared" si="27"/>
        <v>#N/A</v>
      </c>
      <c r="MI47" t="e">
        <f t="shared" si="27"/>
        <v>#N/A</v>
      </c>
      <c r="MJ47" t="e">
        <f t="shared" si="27"/>
        <v>#N/A</v>
      </c>
      <c r="MK47" t="e">
        <f t="shared" si="27"/>
        <v>#N/A</v>
      </c>
      <c r="ML47" t="e">
        <f t="shared" si="27"/>
        <v>#N/A</v>
      </c>
      <c r="MM47" t="e">
        <f t="shared" ref="MM47:NR47" si="28">IF(ISERROR((MN44-ML44)/0.2),NA(),(MN44-ML44)/0.2)</f>
        <v>#N/A</v>
      </c>
      <c r="MN47" t="e">
        <f t="shared" si="28"/>
        <v>#N/A</v>
      </c>
      <c r="MO47" t="e">
        <f t="shared" si="28"/>
        <v>#N/A</v>
      </c>
      <c r="MP47" t="e">
        <f t="shared" si="28"/>
        <v>#N/A</v>
      </c>
      <c r="MQ47" t="e">
        <f t="shared" si="28"/>
        <v>#N/A</v>
      </c>
      <c r="MR47" t="e">
        <f t="shared" si="28"/>
        <v>#N/A</v>
      </c>
      <c r="MS47" t="e">
        <f t="shared" si="28"/>
        <v>#N/A</v>
      </c>
      <c r="MT47" t="e">
        <f t="shared" si="28"/>
        <v>#N/A</v>
      </c>
      <c r="MU47" t="e">
        <f t="shared" si="28"/>
        <v>#N/A</v>
      </c>
      <c r="MV47" t="e">
        <f t="shared" si="28"/>
        <v>#N/A</v>
      </c>
      <c r="MW47" t="e">
        <f t="shared" si="28"/>
        <v>#N/A</v>
      </c>
      <c r="MX47" t="e">
        <f t="shared" si="28"/>
        <v>#N/A</v>
      </c>
      <c r="MY47" t="e">
        <f t="shared" si="28"/>
        <v>#N/A</v>
      </c>
      <c r="MZ47" t="e">
        <f t="shared" si="28"/>
        <v>#N/A</v>
      </c>
      <c r="NA47" t="e">
        <f t="shared" si="28"/>
        <v>#N/A</v>
      </c>
      <c r="NB47" t="e">
        <f t="shared" si="28"/>
        <v>#N/A</v>
      </c>
      <c r="NC47" t="e">
        <f t="shared" si="28"/>
        <v>#N/A</v>
      </c>
      <c r="ND47" t="e">
        <f t="shared" si="28"/>
        <v>#N/A</v>
      </c>
      <c r="NE47" t="e">
        <f t="shared" si="28"/>
        <v>#N/A</v>
      </c>
      <c r="NF47" t="e">
        <f t="shared" si="28"/>
        <v>#N/A</v>
      </c>
      <c r="NG47" t="e">
        <f t="shared" si="28"/>
        <v>#N/A</v>
      </c>
      <c r="NH47" t="e">
        <f t="shared" si="28"/>
        <v>#N/A</v>
      </c>
      <c r="NI47" t="e">
        <f t="shared" si="28"/>
        <v>#N/A</v>
      </c>
      <c r="NJ47" t="e">
        <f t="shared" si="28"/>
        <v>#N/A</v>
      </c>
      <c r="NK47" t="e">
        <f t="shared" si="28"/>
        <v>#N/A</v>
      </c>
      <c r="NL47" t="e">
        <f t="shared" si="28"/>
        <v>#N/A</v>
      </c>
      <c r="NM47" t="e">
        <f t="shared" si="28"/>
        <v>#N/A</v>
      </c>
      <c r="NN47" t="e">
        <f t="shared" si="28"/>
        <v>#N/A</v>
      </c>
      <c r="NO47" t="e">
        <f t="shared" si="28"/>
        <v>#N/A</v>
      </c>
      <c r="NP47" t="e">
        <f t="shared" si="28"/>
        <v>#N/A</v>
      </c>
      <c r="NQ47" t="e">
        <f t="shared" si="28"/>
        <v>#N/A</v>
      </c>
      <c r="NR47" t="e">
        <f t="shared" si="28"/>
        <v>#N/A</v>
      </c>
      <c r="NS47" t="e">
        <f t="shared" ref="NS47:OX47" si="29">IF(ISERROR((NT44-NR44)/0.2),NA(),(NT44-NR44)/0.2)</f>
        <v>#N/A</v>
      </c>
      <c r="NT47" t="e">
        <f t="shared" si="29"/>
        <v>#N/A</v>
      </c>
      <c r="NU47" t="e">
        <f t="shared" si="29"/>
        <v>#N/A</v>
      </c>
      <c r="NV47" t="e">
        <f t="shared" si="29"/>
        <v>#N/A</v>
      </c>
      <c r="NW47" t="e">
        <f t="shared" si="29"/>
        <v>#N/A</v>
      </c>
      <c r="NX47" t="e">
        <f t="shared" si="29"/>
        <v>#N/A</v>
      </c>
      <c r="NY47" t="e">
        <f t="shared" si="29"/>
        <v>#N/A</v>
      </c>
      <c r="NZ47" t="e">
        <f t="shared" si="29"/>
        <v>#N/A</v>
      </c>
      <c r="OA47" t="e">
        <f t="shared" si="29"/>
        <v>#N/A</v>
      </c>
      <c r="OB47" t="e">
        <f t="shared" si="29"/>
        <v>#N/A</v>
      </c>
      <c r="OC47" t="e">
        <f t="shared" si="29"/>
        <v>#N/A</v>
      </c>
      <c r="OD47" t="e">
        <f t="shared" si="29"/>
        <v>#N/A</v>
      </c>
      <c r="OE47" t="e">
        <f t="shared" si="29"/>
        <v>#N/A</v>
      </c>
      <c r="OF47" t="e">
        <f t="shared" si="29"/>
        <v>#N/A</v>
      </c>
      <c r="OG47" t="e">
        <f t="shared" si="29"/>
        <v>#N/A</v>
      </c>
      <c r="OH47" t="e">
        <f t="shared" si="29"/>
        <v>#N/A</v>
      </c>
      <c r="OI47" t="e">
        <f t="shared" si="29"/>
        <v>#N/A</v>
      </c>
      <c r="OJ47" t="e">
        <f t="shared" si="29"/>
        <v>#N/A</v>
      </c>
      <c r="OK47" t="e">
        <f t="shared" si="29"/>
        <v>#N/A</v>
      </c>
      <c r="OL47" t="e">
        <f t="shared" si="29"/>
        <v>#N/A</v>
      </c>
      <c r="OM47" t="e">
        <f t="shared" si="29"/>
        <v>#N/A</v>
      </c>
      <c r="ON47" t="e">
        <f t="shared" si="29"/>
        <v>#N/A</v>
      </c>
      <c r="OO47" t="e">
        <f t="shared" si="29"/>
        <v>#N/A</v>
      </c>
      <c r="OP47" t="e">
        <f t="shared" si="29"/>
        <v>#N/A</v>
      </c>
      <c r="OQ47" t="e">
        <f t="shared" si="29"/>
        <v>#N/A</v>
      </c>
      <c r="OR47" t="e">
        <f t="shared" si="29"/>
        <v>#N/A</v>
      </c>
      <c r="OS47" t="e">
        <f t="shared" si="29"/>
        <v>#N/A</v>
      </c>
      <c r="OT47" t="e">
        <f t="shared" si="29"/>
        <v>#N/A</v>
      </c>
      <c r="OU47" t="e">
        <f t="shared" si="29"/>
        <v>#N/A</v>
      </c>
      <c r="OV47" t="e">
        <f t="shared" si="29"/>
        <v>#N/A</v>
      </c>
      <c r="OW47" t="e">
        <f t="shared" si="29"/>
        <v>#N/A</v>
      </c>
      <c r="OX47" t="e">
        <f t="shared" si="29"/>
        <v>#N/A</v>
      </c>
      <c r="OY47" t="e">
        <f t="shared" ref="OY47:PD47" si="30">IF(ISERROR((OZ44-OX44)/0.2),NA(),(OZ44-OX44)/0.2)</f>
        <v>#N/A</v>
      </c>
      <c r="OZ47" t="e">
        <f t="shared" si="30"/>
        <v>#N/A</v>
      </c>
      <c r="PA47" t="e">
        <f t="shared" si="30"/>
        <v>#N/A</v>
      </c>
      <c r="PB47" t="e">
        <f t="shared" si="30"/>
        <v>#N/A</v>
      </c>
      <c r="PC47" t="e">
        <f t="shared" si="30"/>
        <v>#N/A</v>
      </c>
      <c r="PD47" t="e">
        <f t="shared" si="30"/>
        <v>#N/A</v>
      </c>
      <c r="PE47" t="e">
        <f>IF(ISERROR((PF44-PD44)/0.2),NA(),(PF44-PD44)/0.2)</f>
        <v>#N/A</v>
      </c>
      <c r="PF47" t="e">
        <f t="shared" ref="PF47:RQ49" si="31">IF(ISERROR((PG44-PE44)/0.2),NA(),(PG44-PE44)/0.2)</f>
        <v>#N/A</v>
      </c>
      <c r="PG47" t="e">
        <f t="shared" si="31"/>
        <v>#N/A</v>
      </c>
      <c r="PH47" t="e">
        <f t="shared" si="31"/>
        <v>#N/A</v>
      </c>
      <c r="PI47" t="e">
        <f t="shared" si="31"/>
        <v>#N/A</v>
      </c>
      <c r="PJ47" t="e">
        <f t="shared" si="31"/>
        <v>#N/A</v>
      </c>
      <c r="PK47" t="e">
        <f t="shared" si="31"/>
        <v>#N/A</v>
      </c>
      <c r="PL47" t="e">
        <f t="shared" si="31"/>
        <v>#N/A</v>
      </c>
      <c r="PM47" t="e">
        <f t="shared" si="31"/>
        <v>#N/A</v>
      </c>
      <c r="PN47" t="e">
        <f t="shared" si="31"/>
        <v>#N/A</v>
      </c>
      <c r="PO47" t="e">
        <f t="shared" si="31"/>
        <v>#N/A</v>
      </c>
      <c r="PP47" t="e">
        <f t="shared" si="31"/>
        <v>#N/A</v>
      </c>
      <c r="PQ47" t="e">
        <f t="shared" si="31"/>
        <v>#N/A</v>
      </c>
      <c r="PR47" t="e">
        <f t="shared" si="31"/>
        <v>#N/A</v>
      </c>
      <c r="PS47" t="e">
        <f t="shared" si="31"/>
        <v>#N/A</v>
      </c>
      <c r="PT47" t="e">
        <f t="shared" si="31"/>
        <v>#N/A</v>
      </c>
      <c r="PU47" t="e">
        <f t="shared" si="31"/>
        <v>#N/A</v>
      </c>
      <c r="PV47" t="e">
        <f t="shared" si="31"/>
        <v>#N/A</v>
      </c>
      <c r="PW47" t="e">
        <f t="shared" si="31"/>
        <v>#N/A</v>
      </c>
      <c r="PX47" t="e">
        <f t="shared" si="31"/>
        <v>#N/A</v>
      </c>
      <c r="PY47" t="e">
        <f t="shared" si="31"/>
        <v>#N/A</v>
      </c>
      <c r="PZ47" t="e">
        <f t="shared" si="31"/>
        <v>#N/A</v>
      </c>
      <c r="QA47" t="e">
        <f t="shared" si="31"/>
        <v>#N/A</v>
      </c>
      <c r="QB47" t="e">
        <f t="shared" si="31"/>
        <v>#N/A</v>
      </c>
      <c r="QC47" t="e">
        <f t="shared" si="31"/>
        <v>#N/A</v>
      </c>
      <c r="QD47" t="e">
        <f t="shared" si="31"/>
        <v>#N/A</v>
      </c>
      <c r="QE47" t="e">
        <f t="shared" si="31"/>
        <v>#N/A</v>
      </c>
      <c r="QF47" t="e">
        <f t="shared" si="31"/>
        <v>#N/A</v>
      </c>
      <c r="QG47" t="e">
        <f t="shared" si="31"/>
        <v>#N/A</v>
      </c>
      <c r="QH47" t="e">
        <f t="shared" si="31"/>
        <v>#N/A</v>
      </c>
      <c r="QI47" t="e">
        <f t="shared" si="31"/>
        <v>#N/A</v>
      </c>
      <c r="QJ47" t="e">
        <f t="shared" si="31"/>
        <v>#N/A</v>
      </c>
      <c r="QK47" t="e">
        <f t="shared" si="31"/>
        <v>#N/A</v>
      </c>
      <c r="QL47" t="e">
        <f t="shared" si="31"/>
        <v>#N/A</v>
      </c>
      <c r="QM47" t="e">
        <f t="shared" si="31"/>
        <v>#N/A</v>
      </c>
      <c r="QN47" t="e">
        <f t="shared" si="31"/>
        <v>#N/A</v>
      </c>
      <c r="QO47" t="e">
        <f t="shared" si="31"/>
        <v>#N/A</v>
      </c>
      <c r="QP47" t="e">
        <f t="shared" si="31"/>
        <v>#N/A</v>
      </c>
      <c r="QQ47" t="e">
        <f t="shared" si="31"/>
        <v>#N/A</v>
      </c>
      <c r="QR47" t="e">
        <f t="shared" si="31"/>
        <v>#N/A</v>
      </c>
      <c r="QS47" t="e">
        <f t="shared" si="31"/>
        <v>#N/A</v>
      </c>
      <c r="QT47" t="e">
        <f t="shared" si="31"/>
        <v>#N/A</v>
      </c>
      <c r="QU47" t="e">
        <f t="shared" si="31"/>
        <v>#N/A</v>
      </c>
      <c r="QV47" t="e">
        <f t="shared" si="31"/>
        <v>#N/A</v>
      </c>
      <c r="QW47" t="e">
        <f t="shared" si="31"/>
        <v>#N/A</v>
      </c>
      <c r="QX47" t="e">
        <f t="shared" si="31"/>
        <v>#N/A</v>
      </c>
      <c r="QY47" t="e">
        <f t="shared" si="31"/>
        <v>#N/A</v>
      </c>
      <c r="QZ47" t="e">
        <f t="shared" si="31"/>
        <v>#N/A</v>
      </c>
      <c r="RA47" t="e">
        <f t="shared" si="31"/>
        <v>#N/A</v>
      </c>
      <c r="RB47" t="e">
        <f t="shared" si="31"/>
        <v>#N/A</v>
      </c>
      <c r="RC47" t="e">
        <f t="shared" si="31"/>
        <v>#N/A</v>
      </c>
      <c r="RD47" t="e">
        <f t="shared" si="31"/>
        <v>#N/A</v>
      </c>
      <c r="RE47" t="e">
        <f t="shared" si="31"/>
        <v>#N/A</v>
      </c>
      <c r="RF47" t="e">
        <f t="shared" si="31"/>
        <v>#N/A</v>
      </c>
      <c r="RG47" t="e">
        <f t="shared" si="31"/>
        <v>#N/A</v>
      </c>
      <c r="RH47" t="e">
        <f t="shared" si="31"/>
        <v>#N/A</v>
      </c>
      <c r="RI47" t="e">
        <f t="shared" si="31"/>
        <v>#N/A</v>
      </c>
      <c r="RJ47" t="e">
        <f t="shared" si="31"/>
        <v>#N/A</v>
      </c>
      <c r="RK47" t="e">
        <f t="shared" si="31"/>
        <v>#N/A</v>
      </c>
      <c r="RL47" t="e">
        <f t="shared" si="31"/>
        <v>#N/A</v>
      </c>
      <c r="RM47" t="e">
        <f t="shared" si="31"/>
        <v>#N/A</v>
      </c>
      <c r="RN47" t="e">
        <f t="shared" si="31"/>
        <v>#N/A</v>
      </c>
      <c r="RO47" t="e">
        <f t="shared" si="31"/>
        <v>#N/A</v>
      </c>
      <c r="RP47" t="e">
        <f t="shared" si="31"/>
        <v>#N/A</v>
      </c>
      <c r="RQ47" t="e">
        <f t="shared" si="31"/>
        <v>#N/A</v>
      </c>
      <c r="RR47" t="e">
        <f t="shared" ref="RR47:TA49" si="32">IF(ISERROR((RS44-RQ44)/0.2),NA(),(RS44-RQ44)/0.2)</f>
        <v>#N/A</v>
      </c>
      <c r="RS47" t="e">
        <f t="shared" si="32"/>
        <v>#N/A</v>
      </c>
      <c r="RT47" t="e">
        <f t="shared" si="32"/>
        <v>#N/A</v>
      </c>
      <c r="RU47" t="e">
        <f t="shared" si="32"/>
        <v>#N/A</v>
      </c>
      <c r="RV47" t="e">
        <f t="shared" si="32"/>
        <v>#N/A</v>
      </c>
      <c r="RW47" t="e">
        <f t="shared" si="32"/>
        <v>#N/A</v>
      </c>
      <c r="RX47" t="e">
        <f t="shared" si="32"/>
        <v>#N/A</v>
      </c>
      <c r="RY47" t="e">
        <f t="shared" si="32"/>
        <v>#N/A</v>
      </c>
      <c r="RZ47" t="e">
        <f t="shared" si="32"/>
        <v>#N/A</v>
      </c>
      <c r="SA47" t="e">
        <f t="shared" si="32"/>
        <v>#N/A</v>
      </c>
      <c r="SB47" t="e">
        <f t="shared" si="32"/>
        <v>#N/A</v>
      </c>
      <c r="SC47" t="e">
        <f t="shared" si="32"/>
        <v>#N/A</v>
      </c>
      <c r="SD47" t="e">
        <f t="shared" si="32"/>
        <v>#N/A</v>
      </c>
      <c r="SE47" t="e">
        <f t="shared" si="32"/>
        <v>#N/A</v>
      </c>
      <c r="SF47" t="e">
        <f t="shared" si="32"/>
        <v>#N/A</v>
      </c>
      <c r="SG47" t="e">
        <f t="shared" si="32"/>
        <v>#N/A</v>
      </c>
      <c r="SH47" t="e">
        <f t="shared" si="32"/>
        <v>#N/A</v>
      </c>
      <c r="SI47" t="e">
        <f t="shared" si="32"/>
        <v>#N/A</v>
      </c>
      <c r="SJ47" t="e">
        <f t="shared" si="32"/>
        <v>#N/A</v>
      </c>
      <c r="SK47" t="e">
        <f t="shared" si="32"/>
        <v>#N/A</v>
      </c>
      <c r="SL47" t="e">
        <f t="shared" si="32"/>
        <v>#N/A</v>
      </c>
      <c r="SM47" t="e">
        <f t="shared" si="32"/>
        <v>#N/A</v>
      </c>
      <c r="SN47" t="e">
        <f t="shared" si="32"/>
        <v>#N/A</v>
      </c>
      <c r="SO47" t="e">
        <f t="shared" si="32"/>
        <v>#N/A</v>
      </c>
      <c r="SP47" t="e">
        <f t="shared" si="32"/>
        <v>#N/A</v>
      </c>
      <c r="SQ47" t="e">
        <f t="shared" si="32"/>
        <v>#N/A</v>
      </c>
      <c r="SR47" t="e">
        <f t="shared" si="32"/>
        <v>#N/A</v>
      </c>
      <c r="SS47" t="e">
        <f t="shared" si="32"/>
        <v>#N/A</v>
      </c>
      <c r="ST47" t="e">
        <f t="shared" si="32"/>
        <v>#N/A</v>
      </c>
      <c r="SU47" t="e">
        <f t="shared" si="32"/>
        <v>#N/A</v>
      </c>
      <c r="SV47" t="e">
        <f t="shared" si="32"/>
        <v>#N/A</v>
      </c>
      <c r="SW47" t="e">
        <f t="shared" si="32"/>
        <v>#N/A</v>
      </c>
      <c r="SX47" t="e">
        <f t="shared" si="32"/>
        <v>#N/A</v>
      </c>
      <c r="SY47" t="e">
        <f t="shared" si="32"/>
        <v>#N/A</v>
      </c>
      <c r="SZ47" t="e">
        <f t="shared" si="32"/>
        <v>#N/A</v>
      </c>
      <c r="TA47" t="e">
        <f t="shared" si="32"/>
        <v>#N/A</v>
      </c>
    </row>
    <row r="48" spans="19:525" x14ac:dyDescent="0.15">
      <c r="S48">
        <f>IF($S6&gt;=グラフ!$J$43,0,IF($HK6&lt;=グラフ!$J$43,100,INDEX(csv!$L6:$HD6,1,MATCH(グラフ!$J$43,$S6:$HK6,1))))</f>
        <v>0</v>
      </c>
      <c r="T48">
        <f>IF($S19&gt;=グラフ!$R$43,0,IF($HK19&lt;=グラフ!$R$43,100,INDEX(csv!$L19:$HD19,1,MATCH(グラフ!$R$43,$S19:$HK19,1))))</f>
        <v>0</v>
      </c>
      <c r="U48">
        <f>IF($S32&gt;=グラフ!$B$43,0,IF($HK32&lt;=グラフ!$B$43,100,INDEX(csv!$L32:$HD32,1,MATCH(グラフ!$B$43,$S32:$HK32,1))))</f>
        <v>0</v>
      </c>
      <c r="V48">
        <f t="shared" si="11"/>
        <v>100</v>
      </c>
      <c r="W48">
        <f t="shared" si="12"/>
        <v>100</v>
      </c>
      <c r="X48">
        <f t="shared" si="13"/>
        <v>100</v>
      </c>
      <c r="HO48" t="e">
        <f t="shared" ref="HO48:IT48" si="33">IF(ISERROR((HP45-HN45)/0.2),NA(),(HP45-HN45)/0.2)</f>
        <v>#N/A</v>
      </c>
      <c r="HP48" t="e">
        <f t="shared" si="33"/>
        <v>#N/A</v>
      </c>
      <c r="HQ48" t="e">
        <f t="shared" si="33"/>
        <v>#N/A</v>
      </c>
      <c r="HR48" t="e">
        <f t="shared" si="33"/>
        <v>#N/A</v>
      </c>
      <c r="HS48" t="e">
        <f t="shared" si="33"/>
        <v>#N/A</v>
      </c>
      <c r="HT48" t="e">
        <f t="shared" si="33"/>
        <v>#N/A</v>
      </c>
      <c r="HU48" t="e">
        <f t="shared" si="33"/>
        <v>#N/A</v>
      </c>
      <c r="HV48" t="e">
        <f t="shared" si="33"/>
        <v>#N/A</v>
      </c>
      <c r="HW48" t="e">
        <f t="shared" si="33"/>
        <v>#N/A</v>
      </c>
      <c r="HX48" t="e">
        <f t="shared" si="33"/>
        <v>#N/A</v>
      </c>
      <c r="HY48" t="e">
        <f t="shared" si="33"/>
        <v>#N/A</v>
      </c>
      <c r="HZ48" t="e">
        <f t="shared" si="33"/>
        <v>#N/A</v>
      </c>
      <c r="IA48" t="e">
        <f t="shared" si="33"/>
        <v>#N/A</v>
      </c>
      <c r="IB48" t="e">
        <f t="shared" si="33"/>
        <v>#N/A</v>
      </c>
      <c r="IC48" t="e">
        <f t="shared" si="33"/>
        <v>#N/A</v>
      </c>
      <c r="ID48" t="e">
        <f t="shared" si="33"/>
        <v>#N/A</v>
      </c>
      <c r="IE48" t="e">
        <f t="shared" si="33"/>
        <v>#N/A</v>
      </c>
      <c r="IF48" t="e">
        <f t="shared" si="33"/>
        <v>#N/A</v>
      </c>
      <c r="IG48" t="e">
        <f t="shared" si="33"/>
        <v>#N/A</v>
      </c>
      <c r="IH48" t="e">
        <f t="shared" si="33"/>
        <v>#N/A</v>
      </c>
      <c r="II48" t="e">
        <f t="shared" si="33"/>
        <v>#N/A</v>
      </c>
      <c r="IJ48" t="e">
        <f t="shared" si="33"/>
        <v>#N/A</v>
      </c>
      <c r="IK48" t="e">
        <f t="shared" si="33"/>
        <v>#N/A</v>
      </c>
      <c r="IL48" t="e">
        <f t="shared" si="33"/>
        <v>#N/A</v>
      </c>
      <c r="IM48" t="e">
        <f t="shared" si="33"/>
        <v>#N/A</v>
      </c>
      <c r="IN48" t="e">
        <f t="shared" si="33"/>
        <v>#N/A</v>
      </c>
      <c r="IO48" t="e">
        <f t="shared" si="33"/>
        <v>#N/A</v>
      </c>
      <c r="IP48" t="e">
        <f t="shared" si="33"/>
        <v>#N/A</v>
      </c>
      <c r="IQ48" t="e">
        <f t="shared" si="33"/>
        <v>#N/A</v>
      </c>
      <c r="IR48" t="e">
        <f t="shared" si="33"/>
        <v>#N/A</v>
      </c>
      <c r="IS48" t="e">
        <f t="shared" si="33"/>
        <v>#N/A</v>
      </c>
      <c r="IT48" t="e">
        <f t="shared" si="33"/>
        <v>#N/A</v>
      </c>
      <c r="IU48" t="e">
        <f t="shared" ref="IU48:JZ48" si="34">IF(ISERROR((IV45-IT45)/0.2),NA(),(IV45-IT45)/0.2)</f>
        <v>#N/A</v>
      </c>
      <c r="IV48" t="e">
        <f t="shared" si="34"/>
        <v>#N/A</v>
      </c>
      <c r="IW48" t="e">
        <f t="shared" si="34"/>
        <v>#N/A</v>
      </c>
      <c r="IX48" t="e">
        <f t="shared" si="34"/>
        <v>#N/A</v>
      </c>
      <c r="IY48" t="e">
        <f t="shared" si="34"/>
        <v>#N/A</v>
      </c>
      <c r="IZ48" t="e">
        <f t="shared" si="34"/>
        <v>#N/A</v>
      </c>
      <c r="JA48" t="e">
        <f t="shared" si="34"/>
        <v>#N/A</v>
      </c>
      <c r="JB48" t="e">
        <f t="shared" si="34"/>
        <v>#N/A</v>
      </c>
      <c r="JC48" t="e">
        <f t="shared" si="34"/>
        <v>#N/A</v>
      </c>
      <c r="JD48" t="e">
        <f t="shared" si="34"/>
        <v>#N/A</v>
      </c>
      <c r="JE48" t="e">
        <f t="shared" si="34"/>
        <v>#N/A</v>
      </c>
      <c r="JF48" t="e">
        <f t="shared" si="34"/>
        <v>#N/A</v>
      </c>
      <c r="JG48" t="e">
        <f t="shared" si="34"/>
        <v>#N/A</v>
      </c>
      <c r="JH48" t="e">
        <f t="shared" si="34"/>
        <v>#N/A</v>
      </c>
      <c r="JI48" t="e">
        <f t="shared" si="34"/>
        <v>#N/A</v>
      </c>
      <c r="JJ48" t="e">
        <f t="shared" si="34"/>
        <v>#N/A</v>
      </c>
      <c r="JK48" t="e">
        <f t="shared" si="34"/>
        <v>#N/A</v>
      </c>
      <c r="JL48" t="e">
        <f t="shared" si="34"/>
        <v>#N/A</v>
      </c>
      <c r="JM48" t="e">
        <f t="shared" si="34"/>
        <v>#N/A</v>
      </c>
      <c r="JN48" t="e">
        <f t="shared" si="34"/>
        <v>#N/A</v>
      </c>
      <c r="JO48" t="e">
        <f t="shared" si="34"/>
        <v>#N/A</v>
      </c>
      <c r="JP48" t="e">
        <f t="shared" si="34"/>
        <v>#N/A</v>
      </c>
      <c r="JQ48" t="e">
        <f t="shared" si="34"/>
        <v>#N/A</v>
      </c>
      <c r="JR48" t="e">
        <f t="shared" si="34"/>
        <v>#N/A</v>
      </c>
      <c r="JS48" t="e">
        <f t="shared" si="34"/>
        <v>#N/A</v>
      </c>
      <c r="JT48" t="e">
        <f t="shared" si="34"/>
        <v>#N/A</v>
      </c>
      <c r="JU48" t="e">
        <f t="shared" si="34"/>
        <v>#N/A</v>
      </c>
      <c r="JV48" t="e">
        <f t="shared" si="34"/>
        <v>#N/A</v>
      </c>
      <c r="JW48" t="e">
        <f t="shared" si="34"/>
        <v>#N/A</v>
      </c>
      <c r="JX48" t="e">
        <f t="shared" si="34"/>
        <v>#N/A</v>
      </c>
      <c r="JY48" t="e">
        <f t="shared" si="34"/>
        <v>#N/A</v>
      </c>
      <c r="JZ48" t="e">
        <f t="shared" si="34"/>
        <v>#N/A</v>
      </c>
      <c r="KA48" t="e">
        <f t="shared" ref="KA48:LF48" si="35">IF(ISERROR((KB45-JZ45)/0.2),NA(),(KB45-JZ45)/0.2)</f>
        <v>#N/A</v>
      </c>
      <c r="KB48" t="e">
        <f t="shared" si="35"/>
        <v>#N/A</v>
      </c>
      <c r="KC48" t="e">
        <f t="shared" si="35"/>
        <v>#N/A</v>
      </c>
      <c r="KD48" t="e">
        <f t="shared" si="35"/>
        <v>#N/A</v>
      </c>
      <c r="KE48" t="e">
        <f t="shared" si="35"/>
        <v>#N/A</v>
      </c>
      <c r="KF48" t="e">
        <f t="shared" si="35"/>
        <v>#N/A</v>
      </c>
      <c r="KG48" t="e">
        <f t="shared" si="35"/>
        <v>#N/A</v>
      </c>
      <c r="KH48" t="e">
        <f t="shared" si="35"/>
        <v>#N/A</v>
      </c>
      <c r="KI48" t="e">
        <f t="shared" si="35"/>
        <v>#N/A</v>
      </c>
      <c r="KJ48" t="e">
        <f t="shared" si="35"/>
        <v>#N/A</v>
      </c>
      <c r="KK48" t="e">
        <f t="shared" si="35"/>
        <v>#N/A</v>
      </c>
      <c r="KL48" t="e">
        <f t="shared" si="35"/>
        <v>#N/A</v>
      </c>
      <c r="KM48" t="e">
        <f t="shared" si="35"/>
        <v>#N/A</v>
      </c>
      <c r="KN48" t="e">
        <f t="shared" si="35"/>
        <v>#N/A</v>
      </c>
      <c r="KO48" t="e">
        <f t="shared" si="35"/>
        <v>#N/A</v>
      </c>
      <c r="KP48" t="e">
        <f t="shared" si="35"/>
        <v>#N/A</v>
      </c>
      <c r="KQ48" t="e">
        <f t="shared" si="35"/>
        <v>#N/A</v>
      </c>
      <c r="KR48" t="e">
        <f t="shared" si="35"/>
        <v>#N/A</v>
      </c>
      <c r="KS48" t="e">
        <f t="shared" si="35"/>
        <v>#N/A</v>
      </c>
      <c r="KT48" t="e">
        <f t="shared" si="35"/>
        <v>#N/A</v>
      </c>
      <c r="KU48" t="e">
        <f t="shared" si="35"/>
        <v>#N/A</v>
      </c>
      <c r="KV48" t="e">
        <f t="shared" si="35"/>
        <v>#N/A</v>
      </c>
      <c r="KW48" t="e">
        <f t="shared" si="35"/>
        <v>#N/A</v>
      </c>
      <c r="KX48" t="e">
        <f t="shared" si="35"/>
        <v>#N/A</v>
      </c>
      <c r="KY48" t="e">
        <f t="shared" si="35"/>
        <v>#N/A</v>
      </c>
      <c r="KZ48" t="e">
        <f t="shared" si="35"/>
        <v>#N/A</v>
      </c>
      <c r="LA48" t="e">
        <f t="shared" si="35"/>
        <v>#N/A</v>
      </c>
      <c r="LB48" t="e">
        <f t="shared" si="35"/>
        <v>#N/A</v>
      </c>
      <c r="LC48" t="e">
        <f t="shared" si="35"/>
        <v>#N/A</v>
      </c>
      <c r="LD48" t="e">
        <f t="shared" si="35"/>
        <v>#N/A</v>
      </c>
      <c r="LE48" t="e">
        <f t="shared" si="35"/>
        <v>#N/A</v>
      </c>
      <c r="LF48" t="e">
        <f t="shared" si="35"/>
        <v>#N/A</v>
      </c>
      <c r="LG48" t="e">
        <f t="shared" ref="LG48:ML48" si="36">IF(ISERROR((LH45-LF45)/0.2),NA(),(LH45-LF45)/0.2)</f>
        <v>#N/A</v>
      </c>
      <c r="LH48" t="e">
        <f t="shared" si="36"/>
        <v>#N/A</v>
      </c>
      <c r="LI48" t="e">
        <f t="shared" si="36"/>
        <v>#N/A</v>
      </c>
      <c r="LJ48" t="e">
        <f t="shared" si="36"/>
        <v>#N/A</v>
      </c>
      <c r="LK48" t="e">
        <f t="shared" si="36"/>
        <v>#N/A</v>
      </c>
      <c r="LL48" t="e">
        <f t="shared" si="36"/>
        <v>#N/A</v>
      </c>
      <c r="LM48" t="e">
        <f t="shared" si="36"/>
        <v>#N/A</v>
      </c>
      <c r="LN48" t="e">
        <f t="shared" si="36"/>
        <v>#N/A</v>
      </c>
      <c r="LO48" t="e">
        <f t="shared" si="36"/>
        <v>#N/A</v>
      </c>
      <c r="LP48" t="e">
        <f t="shared" si="36"/>
        <v>#N/A</v>
      </c>
      <c r="LQ48" t="e">
        <f t="shared" si="36"/>
        <v>#N/A</v>
      </c>
      <c r="LR48" t="e">
        <f t="shared" si="36"/>
        <v>#N/A</v>
      </c>
      <c r="LS48" t="e">
        <f t="shared" si="36"/>
        <v>#N/A</v>
      </c>
      <c r="LT48" t="e">
        <f t="shared" si="36"/>
        <v>#N/A</v>
      </c>
      <c r="LU48" t="e">
        <f t="shared" si="36"/>
        <v>#N/A</v>
      </c>
      <c r="LV48" t="e">
        <f t="shared" si="36"/>
        <v>#N/A</v>
      </c>
      <c r="LW48" t="e">
        <f t="shared" si="36"/>
        <v>#N/A</v>
      </c>
      <c r="LX48" t="e">
        <f t="shared" si="36"/>
        <v>#N/A</v>
      </c>
      <c r="LY48" t="e">
        <f t="shared" si="36"/>
        <v>#N/A</v>
      </c>
      <c r="LZ48" t="e">
        <f t="shared" si="36"/>
        <v>#N/A</v>
      </c>
      <c r="MA48" t="e">
        <f t="shared" si="36"/>
        <v>#N/A</v>
      </c>
      <c r="MB48" t="e">
        <f t="shared" si="36"/>
        <v>#N/A</v>
      </c>
      <c r="MC48" t="e">
        <f t="shared" si="36"/>
        <v>#N/A</v>
      </c>
      <c r="MD48" t="e">
        <f t="shared" si="36"/>
        <v>#N/A</v>
      </c>
      <c r="ME48" t="e">
        <f t="shared" si="36"/>
        <v>#N/A</v>
      </c>
      <c r="MF48" t="e">
        <f t="shared" si="36"/>
        <v>#N/A</v>
      </c>
      <c r="MG48" t="e">
        <f t="shared" si="36"/>
        <v>#N/A</v>
      </c>
      <c r="MH48" t="e">
        <f t="shared" si="36"/>
        <v>#N/A</v>
      </c>
      <c r="MI48" t="e">
        <f t="shared" si="36"/>
        <v>#N/A</v>
      </c>
      <c r="MJ48" t="e">
        <f t="shared" si="36"/>
        <v>#N/A</v>
      </c>
      <c r="MK48" t="e">
        <f t="shared" si="36"/>
        <v>#N/A</v>
      </c>
      <c r="ML48" t="e">
        <f t="shared" si="36"/>
        <v>#N/A</v>
      </c>
      <c r="MM48" t="e">
        <f t="shared" ref="MM48:NR48" si="37">IF(ISERROR((MN45-ML45)/0.2),NA(),(MN45-ML45)/0.2)</f>
        <v>#N/A</v>
      </c>
      <c r="MN48" t="e">
        <f t="shared" si="37"/>
        <v>#N/A</v>
      </c>
      <c r="MO48" t="e">
        <f t="shared" si="37"/>
        <v>#N/A</v>
      </c>
      <c r="MP48" t="e">
        <f t="shared" si="37"/>
        <v>#N/A</v>
      </c>
      <c r="MQ48" t="e">
        <f t="shared" si="37"/>
        <v>#N/A</v>
      </c>
      <c r="MR48" t="e">
        <f t="shared" si="37"/>
        <v>#N/A</v>
      </c>
      <c r="MS48" t="e">
        <f t="shared" si="37"/>
        <v>#N/A</v>
      </c>
      <c r="MT48" t="e">
        <f t="shared" si="37"/>
        <v>#N/A</v>
      </c>
      <c r="MU48" t="e">
        <f t="shared" si="37"/>
        <v>#N/A</v>
      </c>
      <c r="MV48" t="e">
        <f t="shared" si="37"/>
        <v>#N/A</v>
      </c>
      <c r="MW48" t="e">
        <f t="shared" si="37"/>
        <v>#N/A</v>
      </c>
      <c r="MX48" t="e">
        <f t="shared" si="37"/>
        <v>#N/A</v>
      </c>
      <c r="MY48" t="e">
        <f t="shared" si="37"/>
        <v>#N/A</v>
      </c>
      <c r="MZ48" t="e">
        <f t="shared" si="37"/>
        <v>#N/A</v>
      </c>
      <c r="NA48" t="e">
        <f t="shared" si="37"/>
        <v>#N/A</v>
      </c>
      <c r="NB48" t="e">
        <f t="shared" si="37"/>
        <v>#N/A</v>
      </c>
      <c r="NC48" t="e">
        <f t="shared" si="37"/>
        <v>#N/A</v>
      </c>
      <c r="ND48" t="e">
        <f t="shared" si="37"/>
        <v>#N/A</v>
      </c>
      <c r="NE48" t="e">
        <f t="shared" si="37"/>
        <v>#N/A</v>
      </c>
      <c r="NF48" t="e">
        <f t="shared" si="37"/>
        <v>#N/A</v>
      </c>
      <c r="NG48" t="e">
        <f t="shared" si="37"/>
        <v>#N/A</v>
      </c>
      <c r="NH48" t="e">
        <f t="shared" si="37"/>
        <v>#N/A</v>
      </c>
      <c r="NI48" t="e">
        <f t="shared" si="37"/>
        <v>#N/A</v>
      </c>
      <c r="NJ48" t="e">
        <f t="shared" si="37"/>
        <v>#N/A</v>
      </c>
      <c r="NK48" t="e">
        <f t="shared" si="37"/>
        <v>#N/A</v>
      </c>
      <c r="NL48" t="e">
        <f t="shared" si="37"/>
        <v>#N/A</v>
      </c>
      <c r="NM48" t="e">
        <f t="shared" si="37"/>
        <v>#N/A</v>
      </c>
      <c r="NN48" t="e">
        <f t="shared" si="37"/>
        <v>#N/A</v>
      </c>
      <c r="NO48" t="e">
        <f t="shared" si="37"/>
        <v>#N/A</v>
      </c>
      <c r="NP48" t="e">
        <f t="shared" si="37"/>
        <v>#N/A</v>
      </c>
      <c r="NQ48" t="e">
        <f t="shared" si="37"/>
        <v>#N/A</v>
      </c>
      <c r="NR48" t="e">
        <f t="shared" si="37"/>
        <v>#N/A</v>
      </c>
      <c r="NS48" t="e">
        <f t="shared" ref="NS48:OX48" si="38">IF(ISERROR((NT45-NR45)/0.2),NA(),(NT45-NR45)/0.2)</f>
        <v>#N/A</v>
      </c>
      <c r="NT48" t="e">
        <f t="shared" si="38"/>
        <v>#N/A</v>
      </c>
      <c r="NU48" t="e">
        <f t="shared" si="38"/>
        <v>#N/A</v>
      </c>
      <c r="NV48" t="e">
        <f t="shared" si="38"/>
        <v>#N/A</v>
      </c>
      <c r="NW48" t="e">
        <f t="shared" si="38"/>
        <v>#N/A</v>
      </c>
      <c r="NX48" t="e">
        <f t="shared" si="38"/>
        <v>#N/A</v>
      </c>
      <c r="NY48" t="e">
        <f t="shared" si="38"/>
        <v>#N/A</v>
      </c>
      <c r="NZ48" t="e">
        <f t="shared" si="38"/>
        <v>#N/A</v>
      </c>
      <c r="OA48" t="e">
        <f t="shared" si="38"/>
        <v>#N/A</v>
      </c>
      <c r="OB48" t="e">
        <f t="shared" si="38"/>
        <v>#N/A</v>
      </c>
      <c r="OC48" t="e">
        <f t="shared" si="38"/>
        <v>#N/A</v>
      </c>
      <c r="OD48" t="e">
        <f t="shared" si="38"/>
        <v>#N/A</v>
      </c>
      <c r="OE48" t="e">
        <f t="shared" si="38"/>
        <v>#N/A</v>
      </c>
      <c r="OF48" t="e">
        <f t="shared" si="38"/>
        <v>#N/A</v>
      </c>
      <c r="OG48" t="e">
        <f t="shared" si="38"/>
        <v>#N/A</v>
      </c>
      <c r="OH48" t="e">
        <f t="shared" si="38"/>
        <v>#N/A</v>
      </c>
      <c r="OI48" t="e">
        <f t="shared" si="38"/>
        <v>#N/A</v>
      </c>
      <c r="OJ48" t="e">
        <f t="shared" si="38"/>
        <v>#N/A</v>
      </c>
      <c r="OK48" t="e">
        <f t="shared" si="38"/>
        <v>#N/A</v>
      </c>
      <c r="OL48" t="e">
        <f t="shared" si="38"/>
        <v>#N/A</v>
      </c>
      <c r="OM48" t="e">
        <f t="shared" si="38"/>
        <v>#N/A</v>
      </c>
      <c r="ON48" t="e">
        <f t="shared" si="38"/>
        <v>#N/A</v>
      </c>
      <c r="OO48" t="e">
        <f t="shared" si="38"/>
        <v>#N/A</v>
      </c>
      <c r="OP48" t="e">
        <f t="shared" si="38"/>
        <v>#N/A</v>
      </c>
      <c r="OQ48" t="e">
        <f t="shared" si="38"/>
        <v>#N/A</v>
      </c>
      <c r="OR48" t="e">
        <f t="shared" si="38"/>
        <v>#N/A</v>
      </c>
      <c r="OS48" t="e">
        <f t="shared" si="38"/>
        <v>#N/A</v>
      </c>
      <c r="OT48" t="e">
        <f t="shared" si="38"/>
        <v>#N/A</v>
      </c>
      <c r="OU48" t="e">
        <f t="shared" si="38"/>
        <v>#N/A</v>
      </c>
      <c r="OV48" t="e">
        <f t="shared" si="38"/>
        <v>#N/A</v>
      </c>
      <c r="OW48" t="e">
        <f t="shared" si="38"/>
        <v>#N/A</v>
      </c>
      <c r="OX48" t="e">
        <f t="shared" si="38"/>
        <v>#N/A</v>
      </c>
      <c r="OY48" t="e">
        <f t="shared" ref="OY48:PE48" si="39">IF(ISERROR((OZ45-OX45)/0.2),NA(),(OZ45-OX45)/0.2)</f>
        <v>#N/A</v>
      </c>
      <c r="OZ48" t="e">
        <f t="shared" si="39"/>
        <v>#N/A</v>
      </c>
      <c r="PA48" t="e">
        <f t="shared" si="39"/>
        <v>#N/A</v>
      </c>
      <c r="PB48" t="e">
        <f t="shared" si="39"/>
        <v>#N/A</v>
      </c>
      <c r="PC48" t="e">
        <f t="shared" si="39"/>
        <v>#N/A</v>
      </c>
      <c r="PD48" t="e">
        <f t="shared" si="39"/>
        <v>#N/A</v>
      </c>
      <c r="PE48" t="e">
        <f t="shared" si="39"/>
        <v>#N/A</v>
      </c>
      <c r="PF48" t="e">
        <f t="shared" si="31"/>
        <v>#N/A</v>
      </c>
      <c r="PG48" t="e">
        <f t="shared" si="31"/>
        <v>#N/A</v>
      </c>
      <c r="PH48" t="e">
        <f t="shared" si="31"/>
        <v>#N/A</v>
      </c>
      <c r="PI48" t="e">
        <f t="shared" si="31"/>
        <v>#N/A</v>
      </c>
      <c r="PJ48" t="e">
        <f t="shared" si="31"/>
        <v>#N/A</v>
      </c>
      <c r="PK48" t="e">
        <f t="shared" si="31"/>
        <v>#N/A</v>
      </c>
      <c r="PL48" t="e">
        <f t="shared" si="31"/>
        <v>#N/A</v>
      </c>
      <c r="PM48" t="e">
        <f t="shared" si="31"/>
        <v>#N/A</v>
      </c>
      <c r="PN48" t="e">
        <f t="shared" si="31"/>
        <v>#N/A</v>
      </c>
      <c r="PO48" t="e">
        <f t="shared" si="31"/>
        <v>#N/A</v>
      </c>
      <c r="PP48" t="e">
        <f t="shared" si="31"/>
        <v>#N/A</v>
      </c>
      <c r="PQ48" t="e">
        <f t="shared" si="31"/>
        <v>#N/A</v>
      </c>
      <c r="PR48" t="e">
        <f t="shared" si="31"/>
        <v>#N/A</v>
      </c>
      <c r="PS48" t="e">
        <f t="shared" si="31"/>
        <v>#N/A</v>
      </c>
      <c r="PT48" t="e">
        <f t="shared" si="31"/>
        <v>#N/A</v>
      </c>
      <c r="PU48" t="e">
        <f t="shared" si="31"/>
        <v>#N/A</v>
      </c>
      <c r="PV48" t="e">
        <f t="shared" si="31"/>
        <v>#N/A</v>
      </c>
      <c r="PW48" t="e">
        <f t="shared" si="31"/>
        <v>#N/A</v>
      </c>
      <c r="PX48" t="e">
        <f t="shared" si="31"/>
        <v>#N/A</v>
      </c>
      <c r="PY48" t="e">
        <f t="shared" si="31"/>
        <v>#N/A</v>
      </c>
      <c r="PZ48" t="e">
        <f t="shared" si="31"/>
        <v>#N/A</v>
      </c>
      <c r="QA48" t="e">
        <f t="shared" si="31"/>
        <v>#N/A</v>
      </c>
      <c r="QB48" t="e">
        <f t="shared" si="31"/>
        <v>#N/A</v>
      </c>
      <c r="QC48" t="e">
        <f t="shared" si="31"/>
        <v>#N/A</v>
      </c>
      <c r="QD48" t="e">
        <f t="shared" si="31"/>
        <v>#N/A</v>
      </c>
      <c r="QE48" t="e">
        <f t="shared" si="31"/>
        <v>#N/A</v>
      </c>
      <c r="QF48" t="e">
        <f t="shared" si="31"/>
        <v>#N/A</v>
      </c>
      <c r="QG48" t="e">
        <f t="shared" si="31"/>
        <v>#N/A</v>
      </c>
      <c r="QH48" t="e">
        <f t="shared" si="31"/>
        <v>#N/A</v>
      </c>
      <c r="QI48" t="e">
        <f t="shared" si="31"/>
        <v>#N/A</v>
      </c>
      <c r="QJ48" t="e">
        <f t="shared" si="31"/>
        <v>#N/A</v>
      </c>
      <c r="QK48" t="e">
        <f t="shared" si="31"/>
        <v>#N/A</v>
      </c>
      <c r="QL48" t="e">
        <f t="shared" si="31"/>
        <v>#N/A</v>
      </c>
      <c r="QM48" t="e">
        <f t="shared" si="31"/>
        <v>#N/A</v>
      </c>
      <c r="QN48" t="e">
        <f t="shared" si="31"/>
        <v>#N/A</v>
      </c>
      <c r="QO48" t="e">
        <f t="shared" si="31"/>
        <v>#N/A</v>
      </c>
      <c r="QP48" t="e">
        <f t="shared" si="31"/>
        <v>#N/A</v>
      </c>
      <c r="QQ48" t="e">
        <f t="shared" si="31"/>
        <v>#N/A</v>
      </c>
      <c r="QR48" t="e">
        <f t="shared" si="31"/>
        <v>#N/A</v>
      </c>
      <c r="QS48" t="e">
        <f t="shared" si="31"/>
        <v>#N/A</v>
      </c>
      <c r="QT48" t="e">
        <f t="shared" si="31"/>
        <v>#N/A</v>
      </c>
      <c r="QU48" t="e">
        <f t="shared" si="31"/>
        <v>#N/A</v>
      </c>
      <c r="QV48" t="e">
        <f t="shared" si="31"/>
        <v>#N/A</v>
      </c>
      <c r="QW48" t="e">
        <f t="shared" si="31"/>
        <v>#N/A</v>
      </c>
      <c r="QX48" t="e">
        <f t="shared" si="31"/>
        <v>#N/A</v>
      </c>
      <c r="QY48" t="e">
        <f t="shared" si="31"/>
        <v>#N/A</v>
      </c>
      <c r="QZ48" t="e">
        <f t="shared" si="31"/>
        <v>#N/A</v>
      </c>
      <c r="RA48" t="e">
        <f t="shared" si="31"/>
        <v>#N/A</v>
      </c>
      <c r="RB48" t="e">
        <f t="shared" si="31"/>
        <v>#N/A</v>
      </c>
      <c r="RC48" t="e">
        <f t="shared" si="31"/>
        <v>#N/A</v>
      </c>
      <c r="RD48" t="e">
        <f t="shared" si="31"/>
        <v>#N/A</v>
      </c>
      <c r="RE48" t="e">
        <f t="shared" si="31"/>
        <v>#N/A</v>
      </c>
      <c r="RF48" t="e">
        <f t="shared" si="31"/>
        <v>#N/A</v>
      </c>
      <c r="RG48" t="e">
        <f t="shared" si="31"/>
        <v>#N/A</v>
      </c>
      <c r="RH48" t="e">
        <f t="shared" si="31"/>
        <v>#N/A</v>
      </c>
      <c r="RI48" t="e">
        <f t="shared" si="31"/>
        <v>#N/A</v>
      </c>
      <c r="RJ48" t="e">
        <f t="shared" si="31"/>
        <v>#N/A</v>
      </c>
      <c r="RK48" t="e">
        <f t="shared" si="31"/>
        <v>#N/A</v>
      </c>
      <c r="RL48" t="e">
        <f t="shared" si="31"/>
        <v>#N/A</v>
      </c>
      <c r="RM48" t="e">
        <f t="shared" si="31"/>
        <v>#N/A</v>
      </c>
      <c r="RN48" t="e">
        <f t="shared" si="31"/>
        <v>#N/A</v>
      </c>
      <c r="RO48" t="e">
        <f t="shared" si="31"/>
        <v>#N/A</v>
      </c>
      <c r="RP48" t="e">
        <f t="shared" si="31"/>
        <v>#N/A</v>
      </c>
      <c r="RQ48" t="e">
        <f t="shared" si="31"/>
        <v>#N/A</v>
      </c>
      <c r="RR48" t="e">
        <f t="shared" si="32"/>
        <v>#N/A</v>
      </c>
      <c r="RS48" t="e">
        <f t="shared" si="32"/>
        <v>#N/A</v>
      </c>
      <c r="RT48" t="e">
        <f t="shared" si="32"/>
        <v>#N/A</v>
      </c>
      <c r="RU48" t="e">
        <f t="shared" si="32"/>
        <v>#N/A</v>
      </c>
      <c r="RV48" t="e">
        <f t="shared" si="32"/>
        <v>#N/A</v>
      </c>
      <c r="RW48" t="e">
        <f t="shared" si="32"/>
        <v>#N/A</v>
      </c>
      <c r="RX48" t="e">
        <f t="shared" si="32"/>
        <v>#N/A</v>
      </c>
      <c r="RY48" t="e">
        <f t="shared" si="32"/>
        <v>#N/A</v>
      </c>
      <c r="RZ48" t="e">
        <f t="shared" si="32"/>
        <v>#N/A</v>
      </c>
      <c r="SA48" t="e">
        <f t="shared" si="32"/>
        <v>#N/A</v>
      </c>
      <c r="SB48" t="e">
        <f t="shared" si="32"/>
        <v>#N/A</v>
      </c>
      <c r="SC48" t="e">
        <f t="shared" si="32"/>
        <v>#N/A</v>
      </c>
      <c r="SD48" t="e">
        <f t="shared" si="32"/>
        <v>#N/A</v>
      </c>
      <c r="SE48" t="e">
        <f t="shared" si="32"/>
        <v>#N/A</v>
      </c>
      <c r="SF48" t="e">
        <f t="shared" si="32"/>
        <v>#N/A</v>
      </c>
      <c r="SG48" t="e">
        <f t="shared" si="32"/>
        <v>#N/A</v>
      </c>
      <c r="SH48" t="e">
        <f t="shared" si="32"/>
        <v>#N/A</v>
      </c>
      <c r="SI48" t="e">
        <f t="shared" si="32"/>
        <v>#N/A</v>
      </c>
      <c r="SJ48" t="e">
        <f t="shared" si="32"/>
        <v>#N/A</v>
      </c>
      <c r="SK48" t="e">
        <f t="shared" si="32"/>
        <v>#N/A</v>
      </c>
      <c r="SL48" t="e">
        <f t="shared" si="32"/>
        <v>#N/A</v>
      </c>
      <c r="SM48" t="e">
        <f t="shared" si="32"/>
        <v>#N/A</v>
      </c>
      <c r="SN48" t="e">
        <f t="shared" si="32"/>
        <v>#N/A</v>
      </c>
      <c r="SO48" t="e">
        <f t="shared" si="32"/>
        <v>#N/A</v>
      </c>
      <c r="SP48" t="e">
        <f t="shared" si="32"/>
        <v>#N/A</v>
      </c>
      <c r="SQ48" t="e">
        <f t="shared" si="32"/>
        <v>#N/A</v>
      </c>
      <c r="SR48" t="e">
        <f t="shared" si="32"/>
        <v>#N/A</v>
      </c>
      <c r="SS48" t="e">
        <f t="shared" si="32"/>
        <v>#N/A</v>
      </c>
      <c r="ST48" t="e">
        <f t="shared" si="32"/>
        <v>#N/A</v>
      </c>
      <c r="SU48" t="e">
        <f t="shared" si="32"/>
        <v>#N/A</v>
      </c>
      <c r="SV48" t="e">
        <f t="shared" si="32"/>
        <v>#N/A</v>
      </c>
      <c r="SW48" t="e">
        <f t="shared" si="32"/>
        <v>#N/A</v>
      </c>
      <c r="SX48" t="e">
        <f t="shared" si="32"/>
        <v>#N/A</v>
      </c>
      <c r="SY48" t="e">
        <f t="shared" si="32"/>
        <v>#N/A</v>
      </c>
      <c r="SZ48" t="e">
        <f t="shared" si="32"/>
        <v>#N/A</v>
      </c>
      <c r="TA48" t="e">
        <f t="shared" si="32"/>
        <v>#N/A</v>
      </c>
    </row>
    <row r="49" spans="19:522" x14ac:dyDescent="0.15">
      <c r="S49">
        <f>IF($S7&gt;=グラフ!$J$43,0,IF($HK7&lt;=グラフ!$J$43,100,INDEX(csv!$L7:$HD7,1,MATCH(グラフ!$J$43,$S7:$HK7,1))))</f>
        <v>0</v>
      </c>
      <c r="T49">
        <f>IF($S20&gt;=グラフ!$R$43,0,IF($HK20&lt;=グラフ!$R$43,100,INDEX(csv!$L20:$HD20,1,MATCH(グラフ!$R$43,$S20:$HK20,1))))</f>
        <v>0</v>
      </c>
      <c r="U49">
        <f>IF($S33&gt;=グラフ!$B$43,0,IF($HK33&lt;=グラフ!$B$43,100,INDEX(csv!$L33:$HD33,1,MATCH(グラフ!$B$43,$S33:$HK33,1))))</f>
        <v>0</v>
      </c>
      <c r="V49">
        <f t="shared" si="11"/>
        <v>100</v>
      </c>
      <c r="W49">
        <f t="shared" si="12"/>
        <v>100</v>
      </c>
      <c r="X49">
        <f t="shared" si="13"/>
        <v>100</v>
      </c>
      <c r="HO49" t="e">
        <f t="shared" ref="HO49:IT49" si="40">IF(ISERROR((HP46-HN46)/0.2),NA(),(HP46-HN46)/0.2)</f>
        <v>#N/A</v>
      </c>
      <c r="HP49" t="e">
        <f t="shared" si="40"/>
        <v>#N/A</v>
      </c>
      <c r="HQ49" t="e">
        <f t="shared" si="40"/>
        <v>#N/A</v>
      </c>
      <c r="HR49" t="e">
        <f t="shared" si="40"/>
        <v>#N/A</v>
      </c>
      <c r="HS49" t="e">
        <f t="shared" si="40"/>
        <v>#N/A</v>
      </c>
      <c r="HT49" t="e">
        <f t="shared" si="40"/>
        <v>#N/A</v>
      </c>
      <c r="HU49" t="e">
        <f t="shared" si="40"/>
        <v>#N/A</v>
      </c>
      <c r="HV49" t="e">
        <f t="shared" si="40"/>
        <v>#N/A</v>
      </c>
      <c r="HW49" t="e">
        <f t="shared" si="40"/>
        <v>#N/A</v>
      </c>
      <c r="HX49" t="e">
        <f t="shared" si="40"/>
        <v>#N/A</v>
      </c>
      <c r="HY49" t="e">
        <f t="shared" si="40"/>
        <v>#N/A</v>
      </c>
      <c r="HZ49" t="e">
        <f t="shared" si="40"/>
        <v>#N/A</v>
      </c>
      <c r="IA49" t="e">
        <f t="shared" si="40"/>
        <v>#N/A</v>
      </c>
      <c r="IB49" t="e">
        <f t="shared" si="40"/>
        <v>#N/A</v>
      </c>
      <c r="IC49" t="e">
        <f t="shared" si="40"/>
        <v>#N/A</v>
      </c>
      <c r="ID49" t="e">
        <f t="shared" si="40"/>
        <v>#N/A</v>
      </c>
      <c r="IE49" t="e">
        <f t="shared" si="40"/>
        <v>#N/A</v>
      </c>
      <c r="IF49" t="e">
        <f t="shared" si="40"/>
        <v>#N/A</v>
      </c>
      <c r="IG49" t="e">
        <f t="shared" si="40"/>
        <v>#N/A</v>
      </c>
      <c r="IH49" t="e">
        <f t="shared" si="40"/>
        <v>#N/A</v>
      </c>
      <c r="II49" t="e">
        <f t="shared" si="40"/>
        <v>#N/A</v>
      </c>
      <c r="IJ49" t="e">
        <f t="shared" si="40"/>
        <v>#N/A</v>
      </c>
      <c r="IK49" t="e">
        <f t="shared" si="40"/>
        <v>#N/A</v>
      </c>
      <c r="IL49" t="e">
        <f t="shared" si="40"/>
        <v>#N/A</v>
      </c>
      <c r="IM49" t="e">
        <f t="shared" si="40"/>
        <v>#N/A</v>
      </c>
      <c r="IN49" t="e">
        <f t="shared" si="40"/>
        <v>#N/A</v>
      </c>
      <c r="IO49" t="e">
        <f t="shared" si="40"/>
        <v>#N/A</v>
      </c>
      <c r="IP49" t="e">
        <f t="shared" si="40"/>
        <v>#N/A</v>
      </c>
      <c r="IQ49" t="e">
        <f t="shared" si="40"/>
        <v>#N/A</v>
      </c>
      <c r="IR49" t="e">
        <f t="shared" si="40"/>
        <v>#N/A</v>
      </c>
      <c r="IS49" t="e">
        <f t="shared" si="40"/>
        <v>#N/A</v>
      </c>
      <c r="IT49" t="e">
        <f t="shared" si="40"/>
        <v>#N/A</v>
      </c>
      <c r="IU49" t="e">
        <f t="shared" ref="IU49:JZ49" si="41">IF(ISERROR((IV46-IT46)/0.2),NA(),(IV46-IT46)/0.2)</f>
        <v>#N/A</v>
      </c>
      <c r="IV49" t="e">
        <f t="shared" si="41"/>
        <v>#N/A</v>
      </c>
      <c r="IW49" t="e">
        <f t="shared" si="41"/>
        <v>#N/A</v>
      </c>
      <c r="IX49" t="e">
        <f t="shared" si="41"/>
        <v>#N/A</v>
      </c>
      <c r="IY49" t="e">
        <f t="shared" si="41"/>
        <v>#N/A</v>
      </c>
      <c r="IZ49" t="e">
        <f t="shared" si="41"/>
        <v>#N/A</v>
      </c>
      <c r="JA49" t="e">
        <f t="shared" si="41"/>
        <v>#N/A</v>
      </c>
      <c r="JB49" t="e">
        <f t="shared" si="41"/>
        <v>#N/A</v>
      </c>
      <c r="JC49" t="e">
        <f t="shared" si="41"/>
        <v>#N/A</v>
      </c>
      <c r="JD49" t="e">
        <f t="shared" si="41"/>
        <v>#N/A</v>
      </c>
      <c r="JE49" t="e">
        <f t="shared" si="41"/>
        <v>#N/A</v>
      </c>
      <c r="JF49" t="e">
        <f t="shared" si="41"/>
        <v>#N/A</v>
      </c>
      <c r="JG49" t="e">
        <f t="shared" si="41"/>
        <v>#N/A</v>
      </c>
      <c r="JH49" t="e">
        <f t="shared" si="41"/>
        <v>#N/A</v>
      </c>
      <c r="JI49" t="e">
        <f t="shared" si="41"/>
        <v>#N/A</v>
      </c>
      <c r="JJ49" t="e">
        <f t="shared" si="41"/>
        <v>#N/A</v>
      </c>
      <c r="JK49" t="e">
        <f t="shared" si="41"/>
        <v>#N/A</v>
      </c>
      <c r="JL49" t="e">
        <f t="shared" si="41"/>
        <v>#N/A</v>
      </c>
      <c r="JM49" t="e">
        <f t="shared" si="41"/>
        <v>#N/A</v>
      </c>
      <c r="JN49" t="e">
        <f t="shared" si="41"/>
        <v>#N/A</v>
      </c>
      <c r="JO49" t="e">
        <f t="shared" si="41"/>
        <v>#N/A</v>
      </c>
      <c r="JP49" t="e">
        <f t="shared" si="41"/>
        <v>#N/A</v>
      </c>
      <c r="JQ49" t="e">
        <f t="shared" si="41"/>
        <v>#N/A</v>
      </c>
      <c r="JR49" t="e">
        <f t="shared" si="41"/>
        <v>#N/A</v>
      </c>
      <c r="JS49" t="e">
        <f t="shared" si="41"/>
        <v>#N/A</v>
      </c>
      <c r="JT49" t="e">
        <f t="shared" si="41"/>
        <v>#N/A</v>
      </c>
      <c r="JU49" t="e">
        <f t="shared" si="41"/>
        <v>#N/A</v>
      </c>
      <c r="JV49" t="e">
        <f t="shared" si="41"/>
        <v>#N/A</v>
      </c>
      <c r="JW49" t="e">
        <f t="shared" si="41"/>
        <v>#N/A</v>
      </c>
      <c r="JX49" t="e">
        <f t="shared" si="41"/>
        <v>#N/A</v>
      </c>
      <c r="JY49" t="e">
        <f t="shared" si="41"/>
        <v>#N/A</v>
      </c>
      <c r="JZ49" t="e">
        <f t="shared" si="41"/>
        <v>#N/A</v>
      </c>
      <c r="KA49" t="e">
        <f t="shared" ref="KA49:LF49" si="42">IF(ISERROR((KB46-JZ46)/0.2),NA(),(KB46-JZ46)/0.2)</f>
        <v>#N/A</v>
      </c>
      <c r="KB49" t="e">
        <f t="shared" si="42"/>
        <v>#N/A</v>
      </c>
      <c r="KC49" t="e">
        <f t="shared" si="42"/>
        <v>#N/A</v>
      </c>
      <c r="KD49" t="e">
        <f t="shared" si="42"/>
        <v>#N/A</v>
      </c>
      <c r="KE49" t="e">
        <f t="shared" si="42"/>
        <v>#N/A</v>
      </c>
      <c r="KF49" t="e">
        <f t="shared" si="42"/>
        <v>#N/A</v>
      </c>
      <c r="KG49" t="e">
        <f t="shared" si="42"/>
        <v>#N/A</v>
      </c>
      <c r="KH49" t="e">
        <f t="shared" si="42"/>
        <v>#N/A</v>
      </c>
      <c r="KI49" t="e">
        <f t="shared" si="42"/>
        <v>#N/A</v>
      </c>
      <c r="KJ49" t="e">
        <f t="shared" si="42"/>
        <v>#N/A</v>
      </c>
      <c r="KK49" t="e">
        <f t="shared" si="42"/>
        <v>#N/A</v>
      </c>
      <c r="KL49" t="e">
        <f t="shared" si="42"/>
        <v>#N/A</v>
      </c>
      <c r="KM49" t="e">
        <f t="shared" si="42"/>
        <v>#N/A</v>
      </c>
      <c r="KN49" t="e">
        <f t="shared" si="42"/>
        <v>#N/A</v>
      </c>
      <c r="KO49" t="e">
        <f t="shared" si="42"/>
        <v>#N/A</v>
      </c>
      <c r="KP49" t="e">
        <f t="shared" si="42"/>
        <v>#N/A</v>
      </c>
      <c r="KQ49" t="e">
        <f t="shared" si="42"/>
        <v>#N/A</v>
      </c>
      <c r="KR49" t="e">
        <f t="shared" si="42"/>
        <v>#N/A</v>
      </c>
      <c r="KS49" t="e">
        <f t="shared" si="42"/>
        <v>#N/A</v>
      </c>
      <c r="KT49" t="e">
        <f t="shared" si="42"/>
        <v>#N/A</v>
      </c>
      <c r="KU49" t="e">
        <f t="shared" si="42"/>
        <v>#N/A</v>
      </c>
      <c r="KV49" t="e">
        <f t="shared" si="42"/>
        <v>#N/A</v>
      </c>
      <c r="KW49" t="e">
        <f t="shared" si="42"/>
        <v>#N/A</v>
      </c>
      <c r="KX49" t="e">
        <f t="shared" si="42"/>
        <v>#N/A</v>
      </c>
      <c r="KY49" t="e">
        <f t="shared" si="42"/>
        <v>#N/A</v>
      </c>
      <c r="KZ49" t="e">
        <f t="shared" si="42"/>
        <v>#N/A</v>
      </c>
      <c r="LA49" t="e">
        <f t="shared" si="42"/>
        <v>#N/A</v>
      </c>
      <c r="LB49" t="e">
        <f t="shared" si="42"/>
        <v>#N/A</v>
      </c>
      <c r="LC49" t="e">
        <f t="shared" si="42"/>
        <v>#N/A</v>
      </c>
      <c r="LD49" t="e">
        <f t="shared" si="42"/>
        <v>#N/A</v>
      </c>
      <c r="LE49" t="e">
        <f t="shared" si="42"/>
        <v>#N/A</v>
      </c>
      <c r="LF49" t="e">
        <f t="shared" si="42"/>
        <v>#N/A</v>
      </c>
      <c r="LG49" t="e">
        <f t="shared" ref="LG49:ML49" si="43">IF(ISERROR((LH46-LF46)/0.2),NA(),(LH46-LF46)/0.2)</f>
        <v>#N/A</v>
      </c>
      <c r="LH49" t="e">
        <f t="shared" si="43"/>
        <v>#N/A</v>
      </c>
      <c r="LI49" t="e">
        <f t="shared" si="43"/>
        <v>#N/A</v>
      </c>
      <c r="LJ49" t="e">
        <f t="shared" si="43"/>
        <v>#N/A</v>
      </c>
      <c r="LK49" t="e">
        <f t="shared" si="43"/>
        <v>#N/A</v>
      </c>
      <c r="LL49" t="e">
        <f t="shared" si="43"/>
        <v>#N/A</v>
      </c>
      <c r="LM49" t="e">
        <f t="shared" si="43"/>
        <v>#N/A</v>
      </c>
      <c r="LN49" t="e">
        <f t="shared" si="43"/>
        <v>#N/A</v>
      </c>
      <c r="LO49" t="e">
        <f t="shared" si="43"/>
        <v>#N/A</v>
      </c>
      <c r="LP49" t="e">
        <f t="shared" si="43"/>
        <v>#N/A</v>
      </c>
      <c r="LQ49" t="e">
        <f t="shared" si="43"/>
        <v>#N/A</v>
      </c>
      <c r="LR49" t="e">
        <f t="shared" si="43"/>
        <v>#N/A</v>
      </c>
      <c r="LS49" t="e">
        <f t="shared" si="43"/>
        <v>#N/A</v>
      </c>
      <c r="LT49" t="e">
        <f t="shared" si="43"/>
        <v>#N/A</v>
      </c>
      <c r="LU49" t="e">
        <f t="shared" si="43"/>
        <v>#N/A</v>
      </c>
      <c r="LV49" t="e">
        <f t="shared" si="43"/>
        <v>#N/A</v>
      </c>
      <c r="LW49" t="e">
        <f t="shared" si="43"/>
        <v>#N/A</v>
      </c>
      <c r="LX49" t="e">
        <f t="shared" si="43"/>
        <v>#N/A</v>
      </c>
      <c r="LY49" t="e">
        <f t="shared" si="43"/>
        <v>#N/A</v>
      </c>
      <c r="LZ49" t="e">
        <f t="shared" si="43"/>
        <v>#N/A</v>
      </c>
      <c r="MA49" t="e">
        <f t="shared" si="43"/>
        <v>#N/A</v>
      </c>
      <c r="MB49" t="e">
        <f t="shared" si="43"/>
        <v>#N/A</v>
      </c>
      <c r="MC49" t="e">
        <f t="shared" si="43"/>
        <v>#N/A</v>
      </c>
      <c r="MD49" t="e">
        <f t="shared" si="43"/>
        <v>#N/A</v>
      </c>
      <c r="ME49" t="e">
        <f t="shared" si="43"/>
        <v>#N/A</v>
      </c>
      <c r="MF49" t="e">
        <f t="shared" si="43"/>
        <v>#N/A</v>
      </c>
      <c r="MG49" t="e">
        <f t="shared" si="43"/>
        <v>#N/A</v>
      </c>
      <c r="MH49" t="e">
        <f t="shared" si="43"/>
        <v>#N/A</v>
      </c>
      <c r="MI49" t="e">
        <f t="shared" si="43"/>
        <v>#N/A</v>
      </c>
      <c r="MJ49" t="e">
        <f t="shared" si="43"/>
        <v>#N/A</v>
      </c>
      <c r="MK49" t="e">
        <f t="shared" si="43"/>
        <v>#N/A</v>
      </c>
      <c r="ML49" t="e">
        <f t="shared" si="43"/>
        <v>#N/A</v>
      </c>
      <c r="MM49" t="e">
        <f t="shared" ref="MM49:NR49" si="44">IF(ISERROR((MN46-ML46)/0.2),NA(),(MN46-ML46)/0.2)</f>
        <v>#N/A</v>
      </c>
      <c r="MN49" t="e">
        <f t="shared" si="44"/>
        <v>#N/A</v>
      </c>
      <c r="MO49" t="e">
        <f t="shared" si="44"/>
        <v>#N/A</v>
      </c>
      <c r="MP49" t="e">
        <f t="shared" si="44"/>
        <v>#N/A</v>
      </c>
      <c r="MQ49" t="e">
        <f t="shared" si="44"/>
        <v>#N/A</v>
      </c>
      <c r="MR49" t="e">
        <f t="shared" si="44"/>
        <v>#N/A</v>
      </c>
      <c r="MS49" t="e">
        <f t="shared" si="44"/>
        <v>#N/A</v>
      </c>
      <c r="MT49" t="e">
        <f t="shared" si="44"/>
        <v>#N/A</v>
      </c>
      <c r="MU49" t="e">
        <f t="shared" si="44"/>
        <v>#N/A</v>
      </c>
      <c r="MV49" t="e">
        <f t="shared" si="44"/>
        <v>#N/A</v>
      </c>
      <c r="MW49" t="e">
        <f t="shared" si="44"/>
        <v>#N/A</v>
      </c>
      <c r="MX49" t="e">
        <f t="shared" si="44"/>
        <v>#N/A</v>
      </c>
      <c r="MY49" t="e">
        <f t="shared" si="44"/>
        <v>#N/A</v>
      </c>
      <c r="MZ49" t="e">
        <f t="shared" si="44"/>
        <v>#N/A</v>
      </c>
      <c r="NA49" t="e">
        <f t="shared" si="44"/>
        <v>#N/A</v>
      </c>
      <c r="NB49" t="e">
        <f t="shared" si="44"/>
        <v>#N/A</v>
      </c>
      <c r="NC49" t="e">
        <f t="shared" si="44"/>
        <v>#N/A</v>
      </c>
      <c r="ND49" t="e">
        <f t="shared" si="44"/>
        <v>#N/A</v>
      </c>
      <c r="NE49" t="e">
        <f t="shared" si="44"/>
        <v>#N/A</v>
      </c>
      <c r="NF49" t="e">
        <f t="shared" si="44"/>
        <v>#N/A</v>
      </c>
      <c r="NG49" t="e">
        <f t="shared" si="44"/>
        <v>#N/A</v>
      </c>
      <c r="NH49" t="e">
        <f t="shared" si="44"/>
        <v>#N/A</v>
      </c>
      <c r="NI49" t="e">
        <f t="shared" si="44"/>
        <v>#N/A</v>
      </c>
      <c r="NJ49" t="e">
        <f t="shared" si="44"/>
        <v>#N/A</v>
      </c>
      <c r="NK49" t="e">
        <f t="shared" si="44"/>
        <v>#N/A</v>
      </c>
      <c r="NL49" t="e">
        <f t="shared" si="44"/>
        <v>#N/A</v>
      </c>
      <c r="NM49" t="e">
        <f t="shared" si="44"/>
        <v>#N/A</v>
      </c>
      <c r="NN49" t="e">
        <f t="shared" si="44"/>
        <v>#N/A</v>
      </c>
      <c r="NO49" t="e">
        <f t="shared" si="44"/>
        <v>#N/A</v>
      </c>
      <c r="NP49" t="e">
        <f t="shared" si="44"/>
        <v>#N/A</v>
      </c>
      <c r="NQ49" t="e">
        <f t="shared" si="44"/>
        <v>#N/A</v>
      </c>
      <c r="NR49" t="e">
        <f t="shared" si="44"/>
        <v>#N/A</v>
      </c>
      <c r="NS49" t="e">
        <f t="shared" ref="NS49:OX49" si="45">IF(ISERROR((NT46-NR46)/0.2),NA(),(NT46-NR46)/0.2)</f>
        <v>#N/A</v>
      </c>
      <c r="NT49" t="e">
        <f t="shared" si="45"/>
        <v>#N/A</v>
      </c>
      <c r="NU49" t="e">
        <f t="shared" si="45"/>
        <v>#N/A</v>
      </c>
      <c r="NV49" t="e">
        <f t="shared" si="45"/>
        <v>#N/A</v>
      </c>
      <c r="NW49" t="e">
        <f t="shared" si="45"/>
        <v>#N/A</v>
      </c>
      <c r="NX49" t="e">
        <f t="shared" si="45"/>
        <v>#N/A</v>
      </c>
      <c r="NY49" t="e">
        <f t="shared" si="45"/>
        <v>#N/A</v>
      </c>
      <c r="NZ49" t="e">
        <f t="shared" si="45"/>
        <v>#N/A</v>
      </c>
      <c r="OA49" t="e">
        <f t="shared" si="45"/>
        <v>#N/A</v>
      </c>
      <c r="OB49" t="e">
        <f t="shared" si="45"/>
        <v>#N/A</v>
      </c>
      <c r="OC49" t="e">
        <f t="shared" si="45"/>
        <v>#N/A</v>
      </c>
      <c r="OD49" t="e">
        <f t="shared" si="45"/>
        <v>#N/A</v>
      </c>
      <c r="OE49" t="e">
        <f t="shared" si="45"/>
        <v>#N/A</v>
      </c>
      <c r="OF49" t="e">
        <f t="shared" si="45"/>
        <v>#N/A</v>
      </c>
      <c r="OG49" t="e">
        <f t="shared" si="45"/>
        <v>#N/A</v>
      </c>
      <c r="OH49" t="e">
        <f t="shared" si="45"/>
        <v>#N/A</v>
      </c>
      <c r="OI49" t="e">
        <f t="shared" si="45"/>
        <v>#N/A</v>
      </c>
      <c r="OJ49" t="e">
        <f t="shared" si="45"/>
        <v>#N/A</v>
      </c>
      <c r="OK49" t="e">
        <f t="shared" si="45"/>
        <v>#N/A</v>
      </c>
      <c r="OL49" t="e">
        <f t="shared" si="45"/>
        <v>#N/A</v>
      </c>
      <c r="OM49" t="e">
        <f t="shared" si="45"/>
        <v>#N/A</v>
      </c>
      <c r="ON49" t="e">
        <f t="shared" si="45"/>
        <v>#N/A</v>
      </c>
      <c r="OO49" t="e">
        <f t="shared" si="45"/>
        <v>#N/A</v>
      </c>
      <c r="OP49" t="e">
        <f t="shared" si="45"/>
        <v>#N/A</v>
      </c>
      <c r="OQ49" t="e">
        <f t="shared" si="45"/>
        <v>#N/A</v>
      </c>
      <c r="OR49" t="e">
        <f t="shared" si="45"/>
        <v>#N/A</v>
      </c>
      <c r="OS49" t="e">
        <f t="shared" si="45"/>
        <v>#N/A</v>
      </c>
      <c r="OT49" t="e">
        <f t="shared" si="45"/>
        <v>#N/A</v>
      </c>
      <c r="OU49" t="e">
        <f t="shared" si="45"/>
        <v>#N/A</v>
      </c>
      <c r="OV49" t="e">
        <f t="shared" si="45"/>
        <v>#N/A</v>
      </c>
      <c r="OW49" t="e">
        <f t="shared" si="45"/>
        <v>#N/A</v>
      </c>
      <c r="OX49" t="e">
        <f t="shared" si="45"/>
        <v>#N/A</v>
      </c>
      <c r="OY49" t="e">
        <f t="shared" ref="OY49:PE49" si="46">IF(ISERROR((OZ46-OX46)/0.2),NA(),(OZ46-OX46)/0.2)</f>
        <v>#N/A</v>
      </c>
      <c r="OZ49" t="e">
        <f t="shared" si="46"/>
        <v>#N/A</v>
      </c>
      <c r="PA49" t="e">
        <f t="shared" si="46"/>
        <v>#N/A</v>
      </c>
      <c r="PB49" t="e">
        <f t="shared" si="46"/>
        <v>#N/A</v>
      </c>
      <c r="PC49" t="e">
        <f t="shared" si="46"/>
        <v>#N/A</v>
      </c>
      <c r="PD49" t="e">
        <f t="shared" si="46"/>
        <v>#N/A</v>
      </c>
      <c r="PE49" t="e">
        <f t="shared" si="46"/>
        <v>#N/A</v>
      </c>
      <c r="PF49" t="e">
        <f t="shared" si="31"/>
        <v>#N/A</v>
      </c>
      <c r="PG49" t="e">
        <f t="shared" si="31"/>
        <v>#N/A</v>
      </c>
      <c r="PH49" t="e">
        <f t="shared" si="31"/>
        <v>#N/A</v>
      </c>
      <c r="PI49" t="e">
        <f t="shared" si="31"/>
        <v>#N/A</v>
      </c>
      <c r="PJ49" t="e">
        <f t="shared" si="31"/>
        <v>#N/A</v>
      </c>
      <c r="PK49" t="e">
        <f t="shared" si="31"/>
        <v>#N/A</v>
      </c>
      <c r="PL49" t="e">
        <f t="shared" si="31"/>
        <v>#N/A</v>
      </c>
      <c r="PM49" t="e">
        <f t="shared" si="31"/>
        <v>#N/A</v>
      </c>
      <c r="PN49" t="e">
        <f t="shared" si="31"/>
        <v>#N/A</v>
      </c>
      <c r="PO49" t="e">
        <f t="shared" si="31"/>
        <v>#N/A</v>
      </c>
      <c r="PP49" t="e">
        <f t="shared" si="31"/>
        <v>#N/A</v>
      </c>
      <c r="PQ49" t="e">
        <f t="shared" si="31"/>
        <v>#N/A</v>
      </c>
      <c r="PR49" t="e">
        <f t="shared" si="31"/>
        <v>#N/A</v>
      </c>
      <c r="PS49" t="e">
        <f t="shared" si="31"/>
        <v>#N/A</v>
      </c>
      <c r="PT49" t="e">
        <f t="shared" si="31"/>
        <v>#N/A</v>
      </c>
      <c r="PU49" t="e">
        <f t="shared" si="31"/>
        <v>#N/A</v>
      </c>
      <c r="PV49" t="e">
        <f t="shared" si="31"/>
        <v>#N/A</v>
      </c>
      <c r="PW49" t="e">
        <f t="shared" si="31"/>
        <v>#N/A</v>
      </c>
      <c r="PX49" t="e">
        <f t="shared" si="31"/>
        <v>#N/A</v>
      </c>
      <c r="PY49" t="e">
        <f t="shared" si="31"/>
        <v>#N/A</v>
      </c>
      <c r="PZ49" t="e">
        <f t="shared" si="31"/>
        <v>#N/A</v>
      </c>
      <c r="QA49" t="e">
        <f t="shared" si="31"/>
        <v>#N/A</v>
      </c>
      <c r="QB49" t="e">
        <f t="shared" si="31"/>
        <v>#N/A</v>
      </c>
      <c r="QC49" t="e">
        <f t="shared" si="31"/>
        <v>#N/A</v>
      </c>
      <c r="QD49" t="e">
        <f t="shared" si="31"/>
        <v>#N/A</v>
      </c>
      <c r="QE49" t="e">
        <f t="shared" si="31"/>
        <v>#N/A</v>
      </c>
      <c r="QF49" t="e">
        <f t="shared" si="31"/>
        <v>#N/A</v>
      </c>
      <c r="QG49" t="e">
        <f t="shared" si="31"/>
        <v>#N/A</v>
      </c>
      <c r="QH49" t="e">
        <f t="shared" si="31"/>
        <v>#N/A</v>
      </c>
      <c r="QI49" t="e">
        <f t="shared" si="31"/>
        <v>#N/A</v>
      </c>
      <c r="QJ49" t="e">
        <f t="shared" si="31"/>
        <v>#N/A</v>
      </c>
      <c r="QK49" t="e">
        <f t="shared" si="31"/>
        <v>#N/A</v>
      </c>
      <c r="QL49" t="e">
        <f t="shared" si="31"/>
        <v>#N/A</v>
      </c>
      <c r="QM49" t="e">
        <f t="shared" si="31"/>
        <v>#N/A</v>
      </c>
      <c r="QN49" t="e">
        <f t="shared" si="31"/>
        <v>#N/A</v>
      </c>
      <c r="QO49" t="e">
        <f t="shared" si="31"/>
        <v>#N/A</v>
      </c>
      <c r="QP49" t="e">
        <f t="shared" si="31"/>
        <v>#N/A</v>
      </c>
      <c r="QQ49" t="e">
        <f t="shared" si="31"/>
        <v>#N/A</v>
      </c>
      <c r="QR49" t="e">
        <f t="shared" si="31"/>
        <v>#N/A</v>
      </c>
      <c r="QS49" t="e">
        <f t="shared" si="31"/>
        <v>#N/A</v>
      </c>
      <c r="QT49" t="e">
        <f t="shared" si="31"/>
        <v>#N/A</v>
      </c>
      <c r="QU49" t="e">
        <f t="shared" si="31"/>
        <v>#N/A</v>
      </c>
      <c r="QV49" t="e">
        <f t="shared" si="31"/>
        <v>#N/A</v>
      </c>
      <c r="QW49" t="e">
        <f t="shared" si="31"/>
        <v>#N/A</v>
      </c>
      <c r="QX49" t="e">
        <f t="shared" si="31"/>
        <v>#N/A</v>
      </c>
      <c r="QY49" t="e">
        <f t="shared" si="31"/>
        <v>#N/A</v>
      </c>
      <c r="QZ49" t="e">
        <f t="shared" si="31"/>
        <v>#N/A</v>
      </c>
      <c r="RA49" t="e">
        <f t="shared" si="31"/>
        <v>#N/A</v>
      </c>
      <c r="RB49" t="e">
        <f t="shared" si="31"/>
        <v>#N/A</v>
      </c>
      <c r="RC49" t="e">
        <f t="shared" si="31"/>
        <v>#N/A</v>
      </c>
      <c r="RD49" t="e">
        <f t="shared" si="31"/>
        <v>#N/A</v>
      </c>
      <c r="RE49" t="e">
        <f t="shared" si="31"/>
        <v>#N/A</v>
      </c>
      <c r="RF49" t="e">
        <f t="shared" si="31"/>
        <v>#N/A</v>
      </c>
      <c r="RG49" t="e">
        <f t="shared" si="31"/>
        <v>#N/A</v>
      </c>
      <c r="RH49" t="e">
        <f t="shared" si="31"/>
        <v>#N/A</v>
      </c>
      <c r="RI49" t="e">
        <f t="shared" si="31"/>
        <v>#N/A</v>
      </c>
      <c r="RJ49" t="e">
        <f t="shared" si="31"/>
        <v>#N/A</v>
      </c>
      <c r="RK49" t="e">
        <f t="shared" si="31"/>
        <v>#N/A</v>
      </c>
      <c r="RL49" t="e">
        <f t="shared" si="31"/>
        <v>#N/A</v>
      </c>
      <c r="RM49" t="e">
        <f t="shared" si="31"/>
        <v>#N/A</v>
      </c>
      <c r="RN49" t="e">
        <f t="shared" si="31"/>
        <v>#N/A</v>
      </c>
      <c r="RO49" t="e">
        <f t="shared" si="31"/>
        <v>#N/A</v>
      </c>
      <c r="RP49" t="e">
        <f t="shared" si="31"/>
        <v>#N/A</v>
      </c>
      <c r="RQ49" t="e">
        <f t="shared" si="31"/>
        <v>#N/A</v>
      </c>
      <c r="RR49" t="e">
        <f t="shared" si="32"/>
        <v>#N/A</v>
      </c>
      <c r="RS49" t="e">
        <f t="shared" si="32"/>
        <v>#N/A</v>
      </c>
      <c r="RT49" t="e">
        <f t="shared" si="32"/>
        <v>#N/A</v>
      </c>
      <c r="RU49" t="e">
        <f t="shared" si="32"/>
        <v>#N/A</v>
      </c>
      <c r="RV49" t="e">
        <f t="shared" si="32"/>
        <v>#N/A</v>
      </c>
      <c r="RW49" t="e">
        <f t="shared" si="32"/>
        <v>#N/A</v>
      </c>
      <c r="RX49" t="e">
        <f t="shared" si="32"/>
        <v>#N/A</v>
      </c>
      <c r="RY49" t="e">
        <f t="shared" si="32"/>
        <v>#N/A</v>
      </c>
      <c r="RZ49" t="e">
        <f t="shared" si="32"/>
        <v>#N/A</v>
      </c>
      <c r="SA49" t="e">
        <f t="shared" si="32"/>
        <v>#N/A</v>
      </c>
      <c r="SB49" t="e">
        <f t="shared" si="32"/>
        <v>#N/A</v>
      </c>
      <c r="SC49" t="e">
        <f t="shared" si="32"/>
        <v>#N/A</v>
      </c>
      <c r="SD49" t="e">
        <f t="shared" si="32"/>
        <v>#N/A</v>
      </c>
      <c r="SE49" t="e">
        <f t="shared" si="32"/>
        <v>#N/A</v>
      </c>
      <c r="SF49" t="e">
        <f t="shared" si="32"/>
        <v>#N/A</v>
      </c>
      <c r="SG49" t="e">
        <f t="shared" si="32"/>
        <v>#N/A</v>
      </c>
      <c r="SH49" t="e">
        <f t="shared" si="32"/>
        <v>#N/A</v>
      </c>
      <c r="SI49" t="e">
        <f t="shared" si="32"/>
        <v>#N/A</v>
      </c>
      <c r="SJ49" t="e">
        <f t="shared" si="32"/>
        <v>#N/A</v>
      </c>
      <c r="SK49" t="e">
        <f t="shared" si="32"/>
        <v>#N/A</v>
      </c>
      <c r="SL49" t="e">
        <f t="shared" si="32"/>
        <v>#N/A</v>
      </c>
      <c r="SM49" t="e">
        <f t="shared" si="32"/>
        <v>#N/A</v>
      </c>
      <c r="SN49" t="e">
        <f t="shared" si="32"/>
        <v>#N/A</v>
      </c>
      <c r="SO49" t="e">
        <f t="shared" si="32"/>
        <v>#N/A</v>
      </c>
      <c r="SP49" t="e">
        <f t="shared" si="32"/>
        <v>#N/A</v>
      </c>
      <c r="SQ49" t="e">
        <f t="shared" si="32"/>
        <v>#N/A</v>
      </c>
      <c r="SR49" t="e">
        <f t="shared" si="32"/>
        <v>#N/A</v>
      </c>
      <c r="SS49" t="e">
        <f t="shared" si="32"/>
        <v>#N/A</v>
      </c>
      <c r="ST49" t="e">
        <f t="shared" si="32"/>
        <v>#N/A</v>
      </c>
      <c r="SU49" t="e">
        <f t="shared" si="32"/>
        <v>#N/A</v>
      </c>
      <c r="SV49" t="e">
        <f t="shared" si="32"/>
        <v>#N/A</v>
      </c>
      <c r="SW49" t="e">
        <f t="shared" si="32"/>
        <v>#N/A</v>
      </c>
      <c r="SX49" t="e">
        <f t="shared" si="32"/>
        <v>#N/A</v>
      </c>
      <c r="SY49" t="e">
        <f t="shared" si="32"/>
        <v>#N/A</v>
      </c>
      <c r="SZ49" t="e">
        <f t="shared" si="32"/>
        <v>#N/A</v>
      </c>
      <c r="TA49" t="e">
        <f t="shared" si="32"/>
        <v>#N/A</v>
      </c>
    </row>
    <row r="50" spans="19:522" x14ac:dyDescent="0.15">
      <c r="S50">
        <f>IF($S8&gt;=グラフ!$J$43,0,IF($HK8&lt;=グラフ!$J$43,100,INDEX(csv!$L8:$HD8,1,MATCH(グラフ!$J$43,$S8:$HK8,1))))</f>
        <v>0</v>
      </c>
      <c r="T50">
        <f>IF($S21&gt;=グラフ!$R$43,0,IF($HK21&lt;=グラフ!$R$43,100,INDEX(csv!$L21:$HD21,1,MATCH(グラフ!$R$43,$S21:$HK21,1))))</f>
        <v>0</v>
      </c>
      <c r="U50">
        <f>IF($S34&gt;=グラフ!$B$43,0,IF($HK34&lt;=グラフ!$B$43,100,INDEX(csv!$L34:$HD34,1,MATCH(グラフ!$B$43,$S34:$HK34,1))))</f>
        <v>0</v>
      </c>
      <c r="V50">
        <f t="shared" si="11"/>
        <v>100</v>
      </c>
      <c r="W50">
        <f t="shared" si="12"/>
        <v>100</v>
      </c>
      <c r="X50">
        <f t="shared" si="13"/>
        <v>100</v>
      </c>
      <c r="HM50" s="2" t="s">
        <v>197</v>
      </c>
      <c r="HQ50" t="e">
        <f t="shared" ref="HQ50:HQ58" si="47">IF(ISERROR(AVERAGE(HN47:HT47)),NA(),AVERAGE(HN47:HT47))</f>
        <v>#N/A</v>
      </c>
      <c r="HR50" t="e">
        <f t="shared" ref="HR50:HR58" si="48">IF(ISERROR(AVERAGE(HO47:HU47)),NA(),AVERAGE(HO47:HU47))</f>
        <v>#N/A</v>
      </c>
      <c r="HS50" t="e">
        <f t="shared" ref="HS50:HS58" si="49">IF(ISERROR(AVERAGE(HP47:HV47)),NA(),AVERAGE(HP47:HV47))</f>
        <v>#N/A</v>
      </c>
      <c r="HT50" t="e">
        <f t="shared" ref="HT50:HT58" si="50">IF(ISERROR(AVERAGE(HQ47:HW47)),NA(),AVERAGE(HQ47:HW47))</f>
        <v>#N/A</v>
      </c>
      <c r="HU50" t="e">
        <f t="shared" ref="HU50:HU58" si="51">IF(ISERROR(AVERAGE(HR47:HX47)),NA(),AVERAGE(HR47:HX47))</f>
        <v>#N/A</v>
      </c>
      <c r="HV50" t="e">
        <f t="shared" ref="HV50:HV58" si="52">IF(ISERROR(AVERAGE(HS47:HY47)),NA(),AVERAGE(HS47:HY47))</f>
        <v>#N/A</v>
      </c>
      <c r="HW50" t="e">
        <f t="shared" ref="HW50:HW58" si="53">IF(ISERROR(AVERAGE(HT47:HZ47)),NA(),AVERAGE(HT47:HZ47))</f>
        <v>#N/A</v>
      </c>
      <c r="HX50" t="e">
        <f t="shared" ref="HX50:HX58" si="54">IF(ISERROR(AVERAGE(HU47:IA47)),NA(),AVERAGE(HU47:IA47))</f>
        <v>#N/A</v>
      </c>
      <c r="HY50" t="e">
        <f t="shared" ref="HY50:HY58" si="55">IF(ISERROR(AVERAGE(HV47:IB47)),NA(),AVERAGE(HV47:IB47))</f>
        <v>#N/A</v>
      </c>
      <c r="HZ50" t="e">
        <f t="shared" ref="HZ50:HZ58" si="56">IF(ISERROR(AVERAGE(HW47:IC47)),NA(),AVERAGE(HW47:IC47))</f>
        <v>#N/A</v>
      </c>
      <c r="IA50" t="e">
        <f t="shared" ref="IA50:IA58" si="57">IF(ISERROR(AVERAGE(HX47:ID47)),NA(),AVERAGE(HX47:ID47))</f>
        <v>#N/A</v>
      </c>
      <c r="IB50" t="e">
        <f t="shared" ref="IB50:IB58" si="58">IF(ISERROR(AVERAGE(HY47:IE47)),NA(),AVERAGE(HY47:IE47))</f>
        <v>#N/A</v>
      </c>
      <c r="IC50" t="e">
        <f t="shared" ref="IC50:IC58" si="59">IF(ISERROR(AVERAGE(HZ47:IF47)),NA(),AVERAGE(HZ47:IF47))</f>
        <v>#N/A</v>
      </c>
      <c r="ID50" t="e">
        <f t="shared" ref="ID50:ID58" si="60">IF(ISERROR(AVERAGE(IA47:IG47)),NA(),AVERAGE(IA47:IG47))</f>
        <v>#N/A</v>
      </c>
      <c r="IE50" t="e">
        <f t="shared" ref="IE50:IE58" si="61">IF(ISERROR(AVERAGE(IB47:IH47)),NA(),AVERAGE(IB47:IH47))</f>
        <v>#N/A</v>
      </c>
      <c r="IF50" t="e">
        <f t="shared" ref="IF50:IF58" si="62">IF(ISERROR(AVERAGE(IC47:II47)),NA(),AVERAGE(IC47:II47))</f>
        <v>#N/A</v>
      </c>
      <c r="IG50" t="e">
        <f t="shared" ref="IG50:IG58" si="63">IF(ISERROR(AVERAGE(ID47:IJ47)),NA(),AVERAGE(ID47:IJ47))</f>
        <v>#N/A</v>
      </c>
      <c r="IH50" t="e">
        <f t="shared" ref="IH50:IH58" si="64">IF(ISERROR(AVERAGE(IE47:IK47)),NA(),AVERAGE(IE47:IK47))</f>
        <v>#N/A</v>
      </c>
      <c r="II50" t="e">
        <f t="shared" ref="II50:II58" si="65">IF(ISERROR(AVERAGE(IF47:IL47)),NA(),AVERAGE(IF47:IL47))</f>
        <v>#N/A</v>
      </c>
      <c r="IJ50" t="e">
        <f t="shared" ref="IJ50:IJ58" si="66">IF(ISERROR(AVERAGE(IG47:IM47)),NA(),AVERAGE(IG47:IM47))</f>
        <v>#N/A</v>
      </c>
      <c r="IK50" t="e">
        <f t="shared" ref="IK50:IK58" si="67">IF(ISERROR(AVERAGE(IH47:IN47)),NA(),AVERAGE(IH47:IN47))</f>
        <v>#N/A</v>
      </c>
      <c r="IL50" t="e">
        <f t="shared" ref="IL50:IL58" si="68">IF(ISERROR(AVERAGE(II47:IO47)),NA(),AVERAGE(II47:IO47))</f>
        <v>#N/A</v>
      </c>
      <c r="IM50" t="e">
        <f t="shared" ref="IM50:IM58" si="69">IF(ISERROR(AVERAGE(IJ47:IP47)),NA(),AVERAGE(IJ47:IP47))</f>
        <v>#N/A</v>
      </c>
      <c r="IN50" t="e">
        <f t="shared" ref="IN50:IN58" si="70">IF(ISERROR(AVERAGE(IK47:IQ47)),NA(),AVERAGE(IK47:IQ47))</f>
        <v>#N/A</v>
      </c>
      <c r="IO50" t="e">
        <f t="shared" ref="IO50:IO58" si="71">IF(ISERROR(AVERAGE(IL47:IR47)),NA(),AVERAGE(IL47:IR47))</f>
        <v>#N/A</v>
      </c>
      <c r="IP50" t="e">
        <f t="shared" ref="IP50:IP58" si="72">IF(ISERROR(AVERAGE(IM47:IS47)),NA(),AVERAGE(IM47:IS47))</f>
        <v>#N/A</v>
      </c>
      <c r="IQ50" t="e">
        <f t="shared" ref="IQ50:IQ58" si="73">IF(ISERROR(AVERAGE(IN47:IT47)),NA(),AVERAGE(IN47:IT47))</f>
        <v>#N/A</v>
      </c>
      <c r="IR50" t="e">
        <f t="shared" ref="IR50:IR58" si="74">IF(ISERROR(AVERAGE(IO47:IU47)),NA(),AVERAGE(IO47:IU47))</f>
        <v>#N/A</v>
      </c>
      <c r="IS50" t="e">
        <f t="shared" ref="IS50:IS58" si="75">IF(ISERROR(AVERAGE(IP47:IV47)),NA(),AVERAGE(IP47:IV47))</f>
        <v>#N/A</v>
      </c>
      <c r="IT50" t="e">
        <f t="shared" ref="IT50:IT58" si="76">IF(ISERROR(AVERAGE(IQ47:IW47)),NA(),AVERAGE(IQ47:IW47))</f>
        <v>#N/A</v>
      </c>
      <c r="IU50" t="e">
        <f t="shared" ref="IU50:IU58" si="77">IF(ISERROR(AVERAGE(IR47:IX47)),NA(),AVERAGE(IR47:IX47))</f>
        <v>#N/A</v>
      </c>
      <c r="IV50" t="e">
        <f t="shared" ref="IV50:IV58" si="78">IF(ISERROR(AVERAGE(IS47:IY47)),NA(),AVERAGE(IS47:IY47))</f>
        <v>#N/A</v>
      </c>
      <c r="IW50" t="e">
        <f t="shared" ref="IW50:IW58" si="79">IF(ISERROR(AVERAGE(IT47:IZ47)),NA(),AVERAGE(IT47:IZ47))</f>
        <v>#N/A</v>
      </c>
      <c r="IX50" t="e">
        <f t="shared" ref="IX50:IX58" si="80">IF(ISERROR(AVERAGE(IU47:JA47)),NA(),AVERAGE(IU47:JA47))</f>
        <v>#N/A</v>
      </c>
      <c r="IY50" t="e">
        <f t="shared" ref="IY50:IY58" si="81">IF(ISERROR(AVERAGE(IV47:JB47)),NA(),AVERAGE(IV47:JB47))</f>
        <v>#N/A</v>
      </c>
      <c r="IZ50" t="e">
        <f t="shared" ref="IZ50:IZ58" si="82">IF(ISERROR(AVERAGE(IW47:JC47)),NA(),AVERAGE(IW47:JC47))</f>
        <v>#N/A</v>
      </c>
      <c r="JA50" t="e">
        <f t="shared" ref="JA50:JA58" si="83">IF(ISERROR(AVERAGE(IX47:JD47)),NA(),AVERAGE(IX47:JD47))</f>
        <v>#N/A</v>
      </c>
      <c r="JB50" t="e">
        <f t="shared" ref="JB50:JB58" si="84">IF(ISERROR(AVERAGE(IY47:JE47)),NA(),AVERAGE(IY47:JE47))</f>
        <v>#N/A</v>
      </c>
      <c r="JC50" t="e">
        <f t="shared" ref="JC50:JC58" si="85">IF(ISERROR(AVERAGE(IZ47:JF47)),NA(),AVERAGE(IZ47:JF47))</f>
        <v>#N/A</v>
      </c>
      <c r="JD50" t="e">
        <f t="shared" ref="JD50:JD58" si="86">IF(ISERROR(AVERAGE(JA47:JG47)),NA(),AVERAGE(JA47:JG47))</f>
        <v>#N/A</v>
      </c>
      <c r="JE50" t="e">
        <f t="shared" ref="JE50:JE58" si="87">IF(ISERROR(AVERAGE(JB47:JH47)),NA(),AVERAGE(JB47:JH47))</f>
        <v>#N/A</v>
      </c>
      <c r="JF50" t="e">
        <f t="shared" ref="JF50:JF58" si="88">IF(ISERROR(AVERAGE(JC47:JI47)),NA(),AVERAGE(JC47:JI47))</f>
        <v>#N/A</v>
      </c>
      <c r="JG50" t="e">
        <f t="shared" ref="JG50:JG58" si="89">IF(ISERROR(AVERAGE(JD47:JJ47)),NA(),AVERAGE(JD47:JJ47))</f>
        <v>#N/A</v>
      </c>
      <c r="JH50" t="e">
        <f t="shared" ref="JH50:JH58" si="90">IF(ISERROR(AVERAGE(JE47:JK47)),NA(),AVERAGE(JE47:JK47))</f>
        <v>#N/A</v>
      </c>
      <c r="JI50" t="e">
        <f t="shared" ref="JI50:JI58" si="91">IF(ISERROR(AVERAGE(JF47:JL47)),NA(),AVERAGE(JF47:JL47))</f>
        <v>#N/A</v>
      </c>
      <c r="JJ50" t="e">
        <f t="shared" ref="JJ50:JJ58" si="92">IF(ISERROR(AVERAGE(JG47:JM47)),NA(),AVERAGE(JG47:JM47))</f>
        <v>#N/A</v>
      </c>
      <c r="JK50" t="e">
        <f t="shared" ref="JK50:JK58" si="93">IF(ISERROR(AVERAGE(JH47:JN47)),NA(),AVERAGE(JH47:JN47))</f>
        <v>#N/A</v>
      </c>
      <c r="JL50" t="e">
        <f t="shared" ref="JL50:JL58" si="94">IF(ISERROR(AVERAGE(JI47:JO47)),NA(),AVERAGE(JI47:JO47))</f>
        <v>#N/A</v>
      </c>
      <c r="JM50" t="e">
        <f t="shared" ref="JM50:JM58" si="95">IF(ISERROR(AVERAGE(JJ47:JP47)),NA(),AVERAGE(JJ47:JP47))</f>
        <v>#N/A</v>
      </c>
      <c r="JN50" t="e">
        <f t="shared" ref="JN50:JN58" si="96">IF(ISERROR(AVERAGE(JK47:JQ47)),NA(),AVERAGE(JK47:JQ47))</f>
        <v>#N/A</v>
      </c>
      <c r="JO50" t="e">
        <f t="shared" ref="JO50:JO58" si="97">IF(ISERROR(AVERAGE(JL47:JR47)),NA(),AVERAGE(JL47:JR47))</f>
        <v>#N/A</v>
      </c>
      <c r="JP50" t="e">
        <f t="shared" ref="JP50:JP58" si="98">IF(ISERROR(AVERAGE(JM47:JS47)),NA(),AVERAGE(JM47:JS47))</f>
        <v>#N/A</v>
      </c>
      <c r="JQ50" t="e">
        <f t="shared" ref="JQ50:JQ58" si="99">IF(ISERROR(AVERAGE(JN47:JT47)),NA(),AVERAGE(JN47:JT47))</f>
        <v>#N/A</v>
      </c>
      <c r="JR50" t="e">
        <f t="shared" ref="JR50:JR58" si="100">IF(ISERROR(AVERAGE(JO47:JU47)),NA(),AVERAGE(JO47:JU47))</f>
        <v>#N/A</v>
      </c>
      <c r="JS50" t="e">
        <f t="shared" ref="JS50:JS58" si="101">IF(ISERROR(AVERAGE(JP47:JV47)),NA(),AVERAGE(JP47:JV47))</f>
        <v>#N/A</v>
      </c>
      <c r="JT50" t="e">
        <f t="shared" ref="JT50:JT58" si="102">IF(ISERROR(AVERAGE(JQ47:JW47)),NA(),AVERAGE(JQ47:JW47))</f>
        <v>#N/A</v>
      </c>
      <c r="JU50" t="e">
        <f t="shared" ref="JU50:JU58" si="103">IF(ISERROR(AVERAGE(JR47:JX47)),NA(),AVERAGE(JR47:JX47))</f>
        <v>#N/A</v>
      </c>
      <c r="JV50" t="e">
        <f t="shared" ref="JV50:JV58" si="104">IF(ISERROR(AVERAGE(JS47:JY47)),NA(),AVERAGE(JS47:JY47))</f>
        <v>#N/A</v>
      </c>
      <c r="JW50" t="e">
        <f t="shared" ref="JW50:JW58" si="105">IF(ISERROR(AVERAGE(JT47:JZ47)),NA(),AVERAGE(JT47:JZ47))</f>
        <v>#N/A</v>
      </c>
      <c r="JX50" t="e">
        <f t="shared" ref="JX50:JX58" si="106">IF(ISERROR(AVERAGE(JU47:KA47)),NA(),AVERAGE(JU47:KA47))</f>
        <v>#N/A</v>
      </c>
      <c r="JY50" t="e">
        <f t="shared" ref="JY50:JY58" si="107">IF(ISERROR(AVERAGE(JV47:KB47)),NA(),AVERAGE(JV47:KB47))</f>
        <v>#N/A</v>
      </c>
      <c r="JZ50" t="e">
        <f t="shared" ref="JZ50:JZ58" si="108">IF(ISERROR(AVERAGE(JW47:KC47)),NA(),AVERAGE(JW47:KC47))</f>
        <v>#N/A</v>
      </c>
      <c r="KA50" t="e">
        <f t="shared" ref="KA50:KA58" si="109">IF(ISERROR(AVERAGE(JX47:KD47)),NA(),AVERAGE(JX47:KD47))</f>
        <v>#N/A</v>
      </c>
      <c r="KB50" t="e">
        <f t="shared" ref="KB50:KB58" si="110">IF(ISERROR(AVERAGE(JY47:KE47)),NA(),AVERAGE(JY47:KE47))</f>
        <v>#N/A</v>
      </c>
      <c r="KC50" t="e">
        <f t="shared" ref="KC50:KC58" si="111">IF(ISERROR(AVERAGE(JZ47:KF47)),NA(),AVERAGE(JZ47:KF47))</f>
        <v>#N/A</v>
      </c>
      <c r="KD50" t="e">
        <f t="shared" ref="KD50:KD58" si="112">IF(ISERROR(AVERAGE(KA47:KG47)),NA(),AVERAGE(KA47:KG47))</f>
        <v>#N/A</v>
      </c>
      <c r="KE50" t="e">
        <f t="shared" ref="KE50:KE58" si="113">IF(ISERROR(AVERAGE(KB47:KH47)),NA(),AVERAGE(KB47:KH47))</f>
        <v>#N/A</v>
      </c>
      <c r="KF50" t="e">
        <f t="shared" ref="KF50:KF58" si="114">IF(ISERROR(AVERAGE(KC47:KI47)),NA(),AVERAGE(KC47:KI47))</f>
        <v>#N/A</v>
      </c>
      <c r="KG50" t="e">
        <f t="shared" ref="KG50:KG58" si="115">IF(ISERROR(AVERAGE(KD47:KJ47)),NA(),AVERAGE(KD47:KJ47))</f>
        <v>#N/A</v>
      </c>
      <c r="KH50" t="e">
        <f t="shared" ref="KH50:KH58" si="116">IF(ISERROR(AVERAGE(KE47:KK47)),NA(),AVERAGE(KE47:KK47))</f>
        <v>#N/A</v>
      </c>
      <c r="KI50" t="e">
        <f t="shared" ref="KI50:KI58" si="117">IF(ISERROR(AVERAGE(KF47:KL47)),NA(),AVERAGE(KF47:KL47))</f>
        <v>#N/A</v>
      </c>
      <c r="KJ50" t="e">
        <f t="shared" ref="KJ50:KJ58" si="118">IF(ISERROR(AVERAGE(KG47:KM47)),NA(),AVERAGE(KG47:KM47))</f>
        <v>#N/A</v>
      </c>
      <c r="KK50" t="e">
        <f t="shared" ref="KK50:KK58" si="119">IF(ISERROR(AVERAGE(KH47:KN47)),NA(),AVERAGE(KH47:KN47))</f>
        <v>#N/A</v>
      </c>
      <c r="KL50" t="e">
        <f t="shared" ref="KL50:KL58" si="120">IF(ISERROR(AVERAGE(KI47:KO47)),NA(),AVERAGE(KI47:KO47))</f>
        <v>#N/A</v>
      </c>
      <c r="KM50" t="e">
        <f t="shared" ref="KM50:KM58" si="121">IF(ISERROR(AVERAGE(KJ47:KP47)),NA(),AVERAGE(KJ47:KP47))</f>
        <v>#N/A</v>
      </c>
      <c r="KN50" t="e">
        <f t="shared" ref="KN50:KN58" si="122">IF(ISERROR(AVERAGE(KK47:KQ47)),NA(),AVERAGE(KK47:KQ47))</f>
        <v>#N/A</v>
      </c>
      <c r="KO50" t="e">
        <f t="shared" ref="KO50:KO58" si="123">IF(ISERROR(AVERAGE(KL47:KR47)),NA(),AVERAGE(KL47:KR47))</f>
        <v>#N/A</v>
      </c>
      <c r="KP50" t="e">
        <f t="shared" ref="KP50:KP58" si="124">IF(ISERROR(AVERAGE(KM47:KS47)),NA(),AVERAGE(KM47:KS47))</f>
        <v>#N/A</v>
      </c>
      <c r="KQ50" t="e">
        <f t="shared" ref="KQ50:KQ58" si="125">IF(ISERROR(AVERAGE(KN47:KT47)),NA(),AVERAGE(KN47:KT47))</f>
        <v>#N/A</v>
      </c>
      <c r="KR50" t="e">
        <f t="shared" ref="KR50:KR58" si="126">IF(ISERROR(AVERAGE(KO47:KU47)),NA(),AVERAGE(KO47:KU47))</f>
        <v>#N/A</v>
      </c>
      <c r="KS50" t="e">
        <f t="shared" ref="KS50:KS58" si="127">IF(ISERROR(AVERAGE(KP47:KV47)),NA(),AVERAGE(KP47:KV47))</f>
        <v>#N/A</v>
      </c>
      <c r="KT50" t="e">
        <f t="shared" ref="KT50:KT58" si="128">IF(ISERROR(AVERAGE(KQ47:KW47)),NA(),AVERAGE(KQ47:KW47))</f>
        <v>#N/A</v>
      </c>
      <c r="KU50" t="e">
        <f t="shared" ref="KU50:KU58" si="129">IF(ISERROR(AVERAGE(KR47:KX47)),NA(),AVERAGE(KR47:KX47))</f>
        <v>#N/A</v>
      </c>
      <c r="KV50" t="e">
        <f t="shared" ref="KV50:KV58" si="130">IF(ISERROR(AVERAGE(KS47:KY47)),NA(),AVERAGE(KS47:KY47))</f>
        <v>#N/A</v>
      </c>
      <c r="KW50" t="e">
        <f t="shared" ref="KW50:KW58" si="131">IF(ISERROR(AVERAGE(KT47:KZ47)),NA(),AVERAGE(KT47:KZ47))</f>
        <v>#N/A</v>
      </c>
      <c r="KX50" t="e">
        <f t="shared" ref="KX50:KX58" si="132">IF(ISERROR(AVERAGE(KU47:LA47)),NA(),AVERAGE(KU47:LA47))</f>
        <v>#N/A</v>
      </c>
      <c r="KY50" t="e">
        <f t="shared" ref="KY50:KY58" si="133">IF(ISERROR(AVERAGE(KV47:LB47)),NA(),AVERAGE(KV47:LB47))</f>
        <v>#N/A</v>
      </c>
      <c r="KZ50" t="e">
        <f t="shared" ref="KZ50:KZ58" si="134">IF(ISERROR(AVERAGE(KW47:LC47)),NA(),AVERAGE(KW47:LC47))</f>
        <v>#N/A</v>
      </c>
      <c r="LA50" t="e">
        <f t="shared" ref="LA50:LA58" si="135">IF(ISERROR(AVERAGE(KX47:LD47)),NA(),AVERAGE(KX47:LD47))</f>
        <v>#N/A</v>
      </c>
      <c r="LB50" t="e">
        <f t="shared" ref="LB50:LB58" si="136">IF(ISERROR(AVERAGE(KY47:LE47)),NA(),AVERAGE(KY47:LE47))</f>
        <v>#N/A</v>
      </c>
      <c r="LC50" t="e">
        <f t="shared" ref="LC50:LC58" si="137">IF(ISERROR(AVERAGE(KZ47:LF47)),NA(),AVERAGE(KZ47:LF47))</f>
        <v>#N/A</v>
      </c>
      <c r="LD50" t="e">
        <f t="shared" ref="LD50:LD58" si="138">IF(ISERROR(AVERAGE(LA47:LG47)),NA(),AVERAGE(LA47:LG47))</f>
        <v>#N/A</v>
      </c>
      <c r="LE50" t="e">
        <f t="shared" ref="LE50:LE58" si="139">IF(ISERROR(AVERAGE(LB47:LH47)),NA(),AVERAGE(LB47:LH47))</f>
        <v>#N/A</v>
      </c>
      <c r="LF50" t="e">
        <f t="shared" ref="LF50:LF58" si="140">IF(ISERROR(AVERAGE(LC47:LI47)),NA(),AVERAGE(LC47:LI47))</f>
        <v>#N/A</v>
      </c>
      <c r="LG50" t="e">
        <f t="shared" ref="LG50:LG58" si="141">IF(ISERROR(AVERAGE(LD47:LJ47)),NA(),AVERAGE(LD47:LJ47))</f>
        <v>#N/A</v>
      </c>
      <c r="LH50" t="e">
        <f t="shared" ref="LH50:LH58" si="142">IF(ISERROR(AVERAGE(LE47:LK47)),NA(),AVERAGE(LE47:LK47))</f>
        <v>#N/A</v>
      </c>
      <c r="LI50" t="e">
        <f t="shared" ref="LI50:LI58" si="143">IF(ISERROR(AVERAGE(LF47:LL47)),NA(),AVERAGE(LF47:LL47))</f>
        <v>#N/A</v>
      </c>
      <c r="LJ50" t="e">
        <f t="shared" ref="LJ50:LJ58" si="144">IF(ISERROR(AVERAGE(LG47:LM47)),NA(),AVERAGE(LG47:LM47))</f>
        <v>#N/A</v>
      </c>
      <c r="LK50" t="e">
        <f t="shared" ref="LK50:LK58" si="145">IF(ISERROR(AVERAGE(LH47:LN47)),NA(),AVERAGE(LH47:LN47))</f>
        <v>#N/A</v>
      </c>
      <c r="LL50" t="e">
        <f t="shared" ref="LL50:LL58" si="146">IF(ISERROR(AVERAGE(LI47:LO47)),NA(),AVERAGE(LI47:LO47))</f>
        <v>#N/A</v>
      </c>
      <c r="LM50" t="e">
        <f t="shared" ref="LM50:LM58" si="147">IF(ISERROR(AVERAGE(LJ47:LP47)),NA(),AVERAGE(LJ47:LP47))</f>
        <v>#N/A</v>
      </c>
      <c r="LN50" t="e">
        <f t="shared" ref="LN50:LN58" si="148">IF(ISERROR(AVERAGE(LK47:LQ47)),NA(),AVERAGE(LK47:LQ47))</f>
        <v>#N/A</v>
      </c>
      <c r="LO50" t="e">
        <f t="shared" ref="LO50:LO58" si="149">IF(ISERROR(AVERAGE(LL47:LR47)),NA(),AVERAGE(LL47:LR47))</f>
        <v>#N/A</v>
      </c>
      <c r="LP50" t="e">
        <f t="shared" ref="LP50:LP58" si="150">IF(ISERROR(AVERAGE(LM47:LS47)),NA(),AVERAGE(LM47:LS47))</f>
        <v>#N/A</v>
      </c>
      <c r="LQ50" t="e">
        <f t="shared" ref="LQ50:LQ58" si="151">IF(ISERROR(AVERAGE(LN47:LT47)),NA(),AVERAGE(LN47:LT47))</f>
        <v>#N/A</v>
      </c>
      <c r="LR50" t="e">
        <f t="shared" ref="LR50:LR58" si="152">IF(ISERROR(AVERAGE(LO47:LU47)),NA(),AVERAGE(LO47:LU47))</f>
        <v>#N/A</v>
      </c>
      <c r="LS50" t="e">
        <f t="shared" ref="LS50:LS58" si="153">IF(ISERROR(AVERAGE(LP47:LV47)),NA(),AVERAGE(LP47:LV47))</f>
        <v>#N/A</v>
      </c>
      <c r="LT50" t="e">
        <f t="shared" ref="LT50:LT58" si="154">IF(ISERROR(AVERAGE(LQ47:LW47)),NA(),AVERAGE(LQ47:LW47))</f>
        <v>#N/A</v>
      </c>
      <c r="LU50" t="e">
        <f t="shared" ref="LU50:LU58" si="155">IF(ISERROR(AVERAGE(LR47:LX47)),NA(),AVERAGE(LR47:LX47))</f>
        <v>#N/A</v>
      </c>
      <c r="LV50" t="e">
        <f t="shared" ref="LV50:LV58" si="156">IF(ISERROR(AVERAGE(LS47:LY47)),NA(),AVERAGE(LS47:LY47))</f>
        <v>#N/A</v>
      </c>
      <c r="LW50" t="e">
        <f t="shared" ref="LW50:LW58" si="157">IF(ISERROR(AVERAGE(LT47:LZ47)),NA(),AVERAGE(LT47:LZ47))</f>
        <v>#N/A</v>
      </c>
      <c r="LX50" t="e">
        <f t="shared" ref="LX50:LX58" si="158">IF(ISERROR(AVERAGE(LU47:MA47)),NA(),AVERAGE(LU47:MA47))</f>
        <v>#N/A</v>
      </c>
      <c r="LY50" t="e">
        <f t="shared" ref="LY50:LY58" si="159">IF(ISERROR(AVERAGE(LV47:MB47)),NA(),AVERAGE(LV47:MB47))</f>
        <v>#N/A</v>
      </c>
      <c r="LZ50" t="e">
        <f t="shared" ref="LZ50:LZ58" si="160">IF(ISERROR(AVERAGE(LW47:MC47)),NA(),AVERAGE(LW47:MC47))</f>
        <v>#N/A</v>
      </c>
      <c r="MA50" t="e">
        <f t="shared" ref="MA50:MA58" si="161">IF(ISERROR(AVERAGE(LX47:MD47)),NA(),AVERAGE(LX47:MD47))</f>
        <v>#N/A</v>
      </c>
      <c r="MB50" t="e">
        <f t="shared" ref="MB50:MB58" si="162">IF(ISERROR(AVERAGE(LY47:ME47)),NA(),AVERAGE(LY47:ME47))</f>
        <v>#N/A</v>
      </c>
      <c r="MC50" t="e">
        <f t="shared" ref="MC50:MC58" si="163">IF(ISERROR(AVERAGE(LZ47:MF47)),NA(),AVERAGE(LZ47:MF47))</f>
        <v>#N/A</v>
      </c>
      <c r="MD50" t="e">
        <f t="shared" ref="MD50:MD58" si="164">IF(ISERROR(AVERAGE(MA47:MG47)),NA(),AVERAGE(MA47:MG47))</f>
        <v>#N/A</v>
      </c>
      <c r="ME50" t="e">
        <f t="shared" ref="ME50:ME58" si="165">IF(ISERROR(AVERAGE(MB47:MH47)),NA(),AVERAGE(MB47:MH47))</f>
        <v>#N/A</v>
      </c>
      <c r="MF50" t="e">
        <f t="shared" ref="MF50:MF58" si="166">IF(ISERROR(AVERAGE(MC47:MI47)),NA(),AVERAGE(MC47:MI47))</f>
        <v>#N/A</v>
      </c>
      <c r="MG50" t="e">
        <f t="shared" ref="MG50:MG58" si="167">IF(ISERROR(AVERAGE(MD47:MJ47)),NA(),AVERAGE(MD47:MJ47))</f>
        <v>#N/A</v>
      </c>
      <c r="MH50" t="e">
        <f t="shared" ref="MH50:MH58" si="168">IF(ISERROR(AVERAGE(ME47:MK47)),NA(),AVERAGE(ME47:MK47))</f>
        <v>#N/A</v>
      </c>
      <c r="MI50" t="e">
        <f t="shared" ref="MI50:MI58" si="169">IF(ISERROR(AVERAGE(MF47:ML47)),NA(),AVERAGE(MF47:ML47))</f>
        <v>#N/A</v>
      </c>
      <c r="MJ50" t="e">
        <f t="shared" ref="MJ50:MJ58" si="170">IF(ISERROR(AVERAGE(MG47:MM47)),NA(),AVERAGE(MG47:MM47))</f>
        <v>#N/A</v>
      </c>
      <c r="MK50" t="e">
        <f t="shared" ref="MK50:MK58" si="171">IF(ISERROR(AVERAGE(MH47:MN47)),NA(),AVERAGE(MH47:MN47))</f>
        <v>#N/A</v>
      </c>
      <c r="ML50" t="e">
        <f t="shared" ref="ML50:ML58" si="172">IF(ISERROR(AVERAGE(MI47:MO47)),NA(),AVERAGE(MI47:MO47))</f>
        <v>#N/A</v>
      </c>
      <c r="MM50" t="e">
        <f t="shared" ref="MM50:MM58" si="173">IF(ISERROR(AVERAGE(MJ47:MP47)),NA(),AVERAGE(MJ47:MP47))</f>
        <v>#N/A</v>
      </c>
      <c r="MN50" t="e">
        <f t="shared" ref="MN50:MN58" si="174">IF(ISERROR(AVERAGE(MK47:MQ47)),NA(),AVERAGE(MK47:MQ47))</f>
        <v>#N/A</v>
      </c>
      <c r="MO50" t="e">
        <f t="shared" ref="MO50:MO58" si="175">IF(ISERROR(AVERAGE(ML47:MR47)),NA(),AVERAGE(ML47:MR47))</f>
        <v>#N/A</v>
      </c>
      <c r="MP50" t="e">
        <f t="shared" ref="MP50:MP58" si="176">IF(ISERROR(AVERAGE(MM47:MS47)),NA(),AVERAGE(MM47:MS47))</f>
        <v>#N/A</v>
      </c>
      <c r="MQ50" t="e">
        <f t="shared" ref="MQ50:MQ58" si="177">IF(ISERROR(AVERAGE(MN47:MT47)),NA(),AVERAGE(MN47:MT47))</f>
        <v>#N/A</v>
      </c>
      <c r="MR50" t="e">
        <f t="shared" ref="MR50:MR58" si="178">IF(ISERROR(AVERAGE(MO47:MU47)),NA(),AVERAGE(MO47:MU47))</f>
        <v>#N/A</v>
      </c>
      <c r="MS50" t="e">
        <f t="shared" ref="MS50:MS58" si="179">IF(ISERROR(AVERAGE(MP47:MV47)),NA(),AVERAGE(MP47:MV47))</f>
        <v>#N/A</v>
      </c>
      <c r="MT50" t="e">
        <f t="shared" ref="MT50:MT58" si="180">IF(ISERROR(AVERAGE(MQ47:MW47)),NA(),AVERAGE(MQ47:MW47))</f>
        <v>#N/A</v>
      </c>
      <c r="MU50" t="e">
        <f t="shared" ref="MU50:MU58" si="181">IF(ISERROR(AVERAGE(MR47:MX47)),NA(),AVERAGE(MR47:MX47))</f>
        <v>#N/A</v>
      </c>
      <c r="MV50" t="e">
        <f t="shared" ref="MV50:MV58" si="182">IF(ISERROR(AVERAGE(MS47:MY47)),NA(),AVERAGE(MS47:MY47))</f>
        <v>#N/A</v>
      </c>
      <c r="MW50" t="e">
        <f t="shared" ref="MW50:MW58" si="183">IF(ISERROR(AVERAGE(MT47:MZ47)),NA(),AVERAGE(MT47:MZ47))</f>
        <v>#N/A</v>
      </c>
      <c r="MX50" t="e">
        <f t="shared" ref="MX50:MX58" si="184">IF(ISERROR(AVERAGE(MU47:NA47)),NA(),AVERAGE(MU47:NA47))</f>
        <v>#N/A</v>
      </c>
      <c r="MY50" t="e">
        <f t="shared" ref="MY50:MY58" si="185">IF(ISERROR(AVERAGE(MV47:NB47)),NA(),AVERAGE(MV47:NB47))</f>
        <v>#N/A</v>
      </c>
      <c r="MZ50" t="e">
        <f t="shared" ref="MZ50:MZ58" si="186">IF(ISERROR(AVERAGE(MW47:NC47)),NA(),AVERAGE(MW47:NC47))</f>
        <v>#N/A</v>
      </c>
      <c r="NA50" t="e">
        <f t="shared" ref="NA50:NA58" si="187">IF(ISERROR(AVERAGE(MX47:ND47)),NA(),AVERAGE(MX47:ND47))</f>
        <v>#N/A</v>
      </c>
      <c r="NB50" t="e">
        <f t="shared" ref="NB50:NB58" si="188">IF(ISERROR(AVERAGE(MY47:NE47)),NA(),AVERAGE(MY47:NE47))</f>
        <v>#N/A</v>
      </c>
      <c r="NC50" t="e">
        <f t="shared" ref="NC50:NC58" si="189">IF(ISERROR(AVERAGE(MZ47:NF47)),NA(),AVERAGE(MZ47:NF47))</f>
        <v>#N/A</v>
      </c>
      <c r="ND50" t="e">
        <f t="shared" ref="ND50:ND58" si="190">IF(ISERROR(AVERAGE(NA47:NG47)),NA(),AVERAGE(NA47:NG47))</f>
        <v>#N/A</v>
      </c>
      <c r="NE50" t="e">
        <f t="shared" ref="NE50:NE58" si="191">IF(ISERROR(AVERAGE(NB47:NH47)),NA(),AVERAGE(NB47:NH47))</f>
        <v>#N/A</v>
      </c>
      <c r="NF50" t="e">
        <f t="shared" ref="NF50:NF58" si="192">IF(ISERROR(AVERAGE(NC47:NI47)),NA(),AVERAGE(NC47:NI47))</f>
        <v>#N/A</v>
      </c>
      <c r="NG50" t="e">
        <f t="shared" ref="NG50:NG58" si="193">IF(ISERROR(AVERAGE(ND47:NJ47)),NA(),AVERAGE(ND47:NJ47))</f>
        <v>#N/A</v>
      </c>
      <c r="NH50" t="e">
        <f t="shared" ref="NH50:NH58" si="194">IF(ISERROR(AVERAGE(NE47:NK47)),NA(),AVERAGE(NE47:NK47))</f>
        <v>#N/A</v>
      </c>
      <c r="NI50" t="e">
        <f t="shared" ref="NI50:NI58" si="195">IF(ISERROR(AVERAGE(NF47:NL47)),NA(),AVERAGE(NF47:NL47))</f>
        <v>#N/A</v>
      </c>
      <c r="NJ50" t="e">
        <f t="shared" ref="NJ50:NJ58" si="196">IF(ISERROR(AVERAGE(NG47:NM47)),NA(),AVERAGE(NG47:NM47))</f>
        <v>#N/A</v>
      </c>
      <c r="NK50" t="e">
        <f t="shared" ref="NK50:NK58" si="197">IF(ISERROR(AVERAGE(NH47:NN47)),NA(),AVERAGE(NH47:NN47))</f>
        <v>#N/A</v>
      </c>
      <c r="NL50" t="e">
        <f t="shared" ref="NL50:NL58" si="198">IF(ISERROR(AVERAGE(NI47:NO47)),NA(),AVERAGE(NI47:NO47))</f>
        <v>#N/A</v>
      </c>
      <c r="NM50" t="e">
        <f t="shared" ref="NM50:NM58" si="199">IF(ISERROR(AVERAGE(NJ47:NP47)),NA(),AVERAGE(NJ47:NP47))</f>
        <v>#N/A</v>
      </c>
      <c r="NN50" t="e">
        <f t="shared" ref="NN50:NN58" si="200">IF(ISERROR(AVERAGE(NK47:NQ47)),NA(),AVERAGE(NK47:NQ47))</f>
        <v>#N/A</v>
      </c>
      <c r="NO50" t="e">
        <f t="shared" ref="NO50:NO58" si="201">IF(ISERROR(AVERAGE(NL47:NR47)),NA(),AVERAGE(NL47:NR47))</f>
        <v>#N/A</v>
      </c>
      <c r="NP50" t="e">
        <f t="shared" ref="NP50:NP58" si="202">IF(ISERROR(AVERAGE(NM47:NS47)),NA(),AVERAGE(NM47:NS47))</f>
        <v>#N/A</v>
      </c>
      <c r="NQ50" t="e">
        <f t="shared" ref="NQ50:NQ58" si="203">IF(ISERROR(AVERAGE(NN47:NT47)),NA(),AVERAGE(NN47:NT47))</f>
        <v>#N/A</v>
      </c>
      <c r="NR50" t="e">
        <f t="shared" ref="NR50:NR58" si="204">IF(ISERROR(AVERAGE(NO47:NU47)),NA(),AVERAGE(NO47:NU47))</f>
        <v>#N/A</v>
      </c>
      <c r="NS50" t="e">
        <f t="shared" ref="NS50:NS58" si="205">IF(ISERROR(AVERAGE(NP47:NV47)),NA(),AVERAGE(NP47:NV47))</f>
        <v>#N/A</v>
      </c>
      <c r="NT50" t="e">
        <f t="shared" ref="NT50:NT58" si="206">IF(ISERROR(AVERAGE(NQ47:NW47)),NA(),AVERAGE(NQ47:NW47))</f>
        <v>#N/A</v>
      </c>
      <c r="NU50" t="e">
        <f t="shared" ref="NU50:NU58" si="207">IF(ISERROR(AVERAGE(NR47:NX47)),NA(),AVERAGE(NR47:NX47))</f>
        <v>#N/A</v>
      </c>
      <c r="NV50" t="e">
        <f t="shared" ref="NV50:NV58" si="208">IF(ISERROR(AVERAGE(NS47:NY47)),NA(),AVERAGE(NS47:NY47))</f>
        <v>#N/A</v>
      </c>
      <c r="NW50" t="e">
        <f t="shared" ref="NW50:NW58" si="209">IF(ISERROR(AVERAGE(NT47:NZ47)),NA(),AVERAGE(NT47:NZ47))</f>
        <v>#N/A</v>
      </c>
      <c r="NX50" t="e">
        <f t="shared" ref="NX50:NX58" si="210">IF(ISERROR(AVERAGE(NU47:OA47)),NA(),AVERAGE(NU47:OA47))</f>
        <v>#N/A</v>
      </c>
      <c r="NY50" t="e">
        <f t="shared" ref="NY50:NY58" si="211">IF(ISERROR(AVERAGE(NV47:OB47)),NA(),AVERAGE(NV47:OB47))</f>
        <v>#N/A</v>
      </c>
      <c r="NZ50" t="e">
        <f t="shared" ref="NZ50:NZ58" si="212">IF(ISERROR(AVERAGE(NW47:OC47)),NA(),AVERAGE(NW47:OC47))</f>
        <v>#N/A</v>
      </c>
      <c r="OA50" t="e">
        <f t="shared" ref="OA50:OA58" si="213">IF(ISERROR(AVERAGE(NX47:OD47)),NA(),AVERAGE(NX47:OD47))</f>
        <v>#N/A</v>
      </c>
      <c r="OB50" t="e">
        <f t="shared" ref="OB50:OB58" si="214">IF(ISERROR(AVERAGE(NY47:OE47)),NA(),AVERAGE(NY47:OE47))</f>
        <v>#N/A</v>
      </c>
      <c r="OC50" t="e">
        <f t="shared" ref="OC50:OC58" si="215">IF(ISERROR(AVERAGE(NZ47:OF47)),NA(),AVERAGE(NZ47:OF47))</f>
        <v>#N/A</v>
      </c>
      <c r="OD50" t="e">
        <f t="shared" ref="OD50:OD58" si="216">IF(ISERROR(AVERAGE(OA47:OG47)),NA(),AVERAGE(OA47:OG47))</f>
        <v>#N/A</v>
      </c>
      <c r="OE50" t="e">
        <f t="shared" ref="OE50:OE58" si="217">IF(ISERROR(AVERAGE(OB47:OH47)),NA(),AVERAGE(OB47:OH47))</f>
        <v>#N/A</v>
      </c>
      <c r="OF50" t="e">
        <f t="shared" ref="OF50:OF58" si="218">IF(ISERROR(AVERAGE(OC47:OI47)),NA(),AVERAGE(OC47:OI47))</f>
        <v>#N/A</v>
      </c>
      <c r="OG50" t="e">
        <f t="shared" ref="OG50:OG58" si="219">IF(ISERROR(AVERAGE(OD47:OJ47)),NA(),AVERAGE(OD47:OJ47))</f>
        <v>#N/A</v>
      </c>
      <c r="OH50" t="e">
        <f t="shared" ref="OH50:OH58" si="220">IF(ISERROR(AVERAGE(OE47:OK47)),NA(),AVERAGE(OE47:OK47))</f>
        <v>#N/A</v>
      </c>
      <c r="OI50" t="e">
        <f t="shared" ref="OI50:OI58" si="221">IF(ISERROR(AVERAGE(OF47:OL47)),NA(),AVERAGE(OF47:OL47))</f>
        <v>#N/A</v>
      </c>
      <c r="OJ50" t="e">
        <f t="shared" ref="OJ50:OJ58" si="222">IF(ISERROR(AVERAGE(OG47:OM47)),NA(),AVERAGE(OG47:OM47))</f>
        <v>#N/A</v>
      </c>
      <c r="OK50" t="e">
        <f t="shared" ref="OK50:OK58" si="223">IF(ISERROR(AVERAGE(OH47:ON47)),NA(),AVERAGE(OH47:ON47))</f>
        <v>#N/A</v>
      </c>
      <c r="OL50" t="e">
        <f t="shared" ref="OL50:OL58" si="224">IF(ISERROR(AVERAGE(OI47:OO47)),NA(),AVERAGE(OI47:OO47))</f>
        <v>#N/A</v>
      </c>
      <c r="OM50" t="e">
        <f t="shared" ref="OM50:OM58" si="225">IF(ISERROR(AVERAGE(OJ47:OP47)),NA(),AVERAGE(OJ47:OP47))</f>
        <v>#N/A</v>
      </c>
      <c r="ON50" t="e">
        <f t="shared" ref="ON50:ON58" si="226">IF(ISERROR(AVERAGE(OK47:OQ47)),NA(),AVERAGE(OK47:OQ47))</f>
        <v>#N/A</v>
      </c>
      <c r="OO50" t="e">
        <f t="shared" ref="OO50:OO58" si="227">IF(ISERROR(AVERAGE(OL47:OR47)),NA(),AVERAGE(OL47:OR47))</f>
        <v>#N/A</v>
      </c>
      <c r="OP50" t="e">
        <f t="shared" ref="OP50:OP58" si="228">IF(ISERROR(AVERAGE(OM47:OS47)),NA(),AVERAGE(OM47:OS47))</f>
        <v>#N/A</v>
      </c>
      <c r="OQ50" t="e">
        <f t="shared" ref="OQ50:OQ58" si="229">IF(ISERROR(AVERAGE(ON47:OT47)),NA(),AVERAGE(ON47:OT47))</f>
        <v>#N/A</v>
      </c>
      <c r="OR50" t="e">
        <f t="shared" ref="OR50:OR58" si="230">IF(ISERROR(AVERAGE(OO47:OU47)),NA(),AVERAGE(OO47:OU47))</f>
        <v>#N/A</v>
      </c>
      <c r="OS50" t="e">
        <f t="shared" ref="OS50:OS58" si="231">IF(ISERROR(AVERAGE(OP47:OV47)),NA(),AVERAGE(OP47:OV47))</f>
        <v>#N/A</v>
      </c>
      <c r="OT50" t="e">
        <f t="shared" ref="OT50:OT58" si="232">IF(ISERROR(AVERAGE(OQ47:OW47)),NA(),AVERAGE(OQ47:OW47))</f>
        <v>#N/A</v>
      </c>
      <c r="OU50" t="e">
        <f t="shared" ref="OU50:OU58" si="233">IF(ISERROR(AVERAGE(OR47:OX47)),NA(),AVERAGE(OR47:OX47))</f>
        <v>#N/A</v>
      </c>
      <c r="OV50" t="e">
        <f t="shared" ref="OV50:OV58" si="234">IF(ISERROR(AVERAGE(OS47:OY47)),NA(),AVERAGE(OS47:OY47))</f>
        <v>#N/A</v>
      </c>
      <c r="OW50" t="e">
        <f t="shared" ref="OW50:OW58" si="235">IF(ISERROR(AVERAGE(OT47:OZ47)),NA(),AVERAGE(OT47:OZ47))</f>
        <v>#N/A</v>
      </c>
      <c r="OX50" t="e">
        <f t="shared" ref="OX50:OX58" si="236">IF(ISERROR(AVERAGE(OU47:PA47)),NA(),AVERAGE(OU47:PA47))</f>
        <v>#N/A</v>
      </c>
      <c r="OY50" t="e">
        <f t="shared" ref="OY50:OY58" si="237">IF(ISERROR(AVERAGE(OV47:PB47)),NA(),AVERAGE(OV47:PB47))</f>
        <v>#N/A</v>
      </c>
      <c r="OZ50" t="e">
        <f t="shared" ref="OZ50:OZ58" si="238">IF(ISERROR(AVERAGE(OW47:PC47)),NA(),AVERAGE(OW47:PC47))</f>
        <v>#N/A</v>
      </c>
      <c r="PA50" t="e">
        <f t="shared" ref="PA50:PA58" si="239">IF(ISERROR(AVERAGE(OX47:PD47)),NA(),AVERAGE(OX47:PD47))</f>
        <v>#N/A</v>
      </c>
      <c r="PB50" t="e">
        <f t="shared" ref="PB50:PB58" si="240">IF(ISERROR(AVERAGE(OY47:PE47)),NA(),AVERAGE(OY47:PE47))</f>
        <v>#N/A</v>
      </c>
      <c r="PC50" t="e">
        <f>IF(ISERROR(AVERAGE(OZ47:PF47)),NA(),AVERAGE(OZ47:PF47))</f>
        <v>#N/A</v>
      </c>
      <c r="PD50" t="e">
        <f t="shared" ref="PD50:RO53" si="241">IF(ISERROR(AVERAGE(PA47:PG47)),NA(),AVERAGE(PA47:PG47))</f>
        <v>#N/A</v>
      </c>
      <c r="PE50" t="e">
        <f t="shared" si="241"/>
        <v>#N/A</v>
      </c>
      <c r="PF50" t="e">
        <f t="shared" si="241"/>
        <v>#N/A</v>
      </c>
      <c r="PG50" t="e">
        <f t="shared" si="241"/>
        <v>#N/A</v>
      </c>
      <c r="PH50" t="e">
        <f t="shared" si="241"/>
        <v>#N/A</v>
      </c>
      <c r="PI50" t="e">
        <f t="shared" si="241"/>
        <v>#N/A</v>
      </c>
      <c r="PJ50" t="e">
        <f t="shared" si="241"/>
        <v>#N/A</v>
      </c>
      <c r="PK50" t="e">
        <f t="shared" si="241"/>
        <v>#N/A</v>
      </c>
      <c r="PL50" t="e">
        <f t="shared" si="241"/>
        <v>#N/A</v>
      </c>
      <c r="PM50" t="e">
        <f t="shared" si="241"/>
        <v>#N/A</v>
      </c>
      <c r="PN50" t="e">
        <f t="shared" si="241"/>
        <v>#N/A</v>
      </c>
      <c r="PO50" t="e">
        <f t="shared" si="241"/>
        <v>#N/A</v>
      </c>
      <c r="PP50" t="e">
        <f t="shared" si="241"/>
        <v>#N/A</v>
      </c>
      <c r="PQ50" t="e">
        <f t="shared" si="241"/>
        <v>#N/A</v>
      </c>
      <c r="PR50" t="e">
        <f t="shared" si="241"/>
        <v>#N/A</v>
      </c>
      <c r="PS50" t="e">
        <f t="shared" si="241"/>
        <v>#N/A</v>
      </c>
      <c r="PT50" t="e">
        <f t="shared" si="241"/>
        <v>#N/A</v>
      </c>
      <c r="PU50" t="e">
        <f t="shared" si="241"/>
        <v>#N/A</v>
      </c>
      <c r="PV50" t="e">
        <f t="shared" si="241"/>
        <v>#N/A</v>
      </c>
      <c r="PW50" t="e">
        <f t="shared" si="241"/>
        <v>#N/A</v>
      </c>
      <c r="PX50" t="e">
        <f t="shared" si="241"/>
        <v>#N/A</v>
      </c>
      <c r="PY50" t="e">
        <f t="shared" si="241"/>
        <v>#N/A</v>
      </c>
      <c r="PZ50" t="e">
        <f t="shared" si="241"/>
        <v>#N/A</v>
      </c>
      <c r="QA50" t="e">
        <f t="shared" si="241"/>
        <v>#N/A</v>
      </c>
      <c r="QB50" t="e">
        <f t="shared" si="241"/>
        <v>#N/A</v>
      </c>
      <c r="QC50" t="e">
        <f t="shared" si="241"/>
        <v>#N/A</v>
      </c>
      <c r="QD50" t="e">
        <f t="shared" si="241"/>
        <v>#N/A</v>
      </c>
      <c r="QE50" t="e">
        <f t="shared" si="241"/>
        <v>#N/A</v>
      </c>
      <c r="QF50" t="e">
        <f t="shared" si="241"/>
        <v>#N/A</v>
      </c>
      <c r="QG50" t="e">
        <f t="shared" si="241"/>
        <v>#N/A</v>
      </c>
      <c r="QH50" t="e">
        <f t="shared" si="241"/>
        <v>#N/A</v>
      </c>
      <c r="QI50" t="e">
        <f t="shared" si="241"/>
        <v>#N/A</v>
      </c>
      <c r="QJ50" t="e">
        <f t="shared" si="241"/>
        <v>#N/A</v>
      </c>
      <c r="QK50" t="e">
        <f t="shared" si="241"/>
        <v>#N/A</v>
      </c>
      <c r="QL50" t="e">
        <f t="shared" si="241"/>
        <v>#N/A</v>
      </c>
      <c r="QM50" t="e">
        <f t="shared" si="241"/>
        <v>#N/A</v>
      </c>
      <c r="QN50" t="e">
        <f t="shared" si="241"/>
        <v>#N/A</v>
      </c>
      <c r="QO50" t="e">
        <f t="shared" si="241"/>
        <v>#N/A</v>
      </c>
      <c r="QP50" t="e">
        <f t="shared" si="241"/>
        <v>#N/A</v>
      </c>
      <c r="QQ50" t="e">
        <f t="shared" si="241"/>
        <v>#N/A</v>
      </c>
      <c r="QR50" t="e">
        <f t="shared" si="241"/>
        <v>#N/A</v>
      </c>
      <c r="QS50" t="e">
        <f t="shared" si="241"/>
        <v>#N/A</v>
      </c>
      <c r="QT50" t="e">
        <f t="shared" si="241"/>
        <v>#N/A</v>
      </c>
      <c r="QU50" t="e">
        <f t="shared" si="241"/>
        <v>#N/A</v>
      </c>
      <c r="QV50" t="e">
        <f t="shared" si="241"/>
        <v>#N/A</v>
      </c>
      <c r="QW50" t="e">
        <f t="shared" si="241"/>
        <v>#N/A</v>
      </c>
      <c r="QX50" t="e">
        <f t="shared" si="241"/>
        <v>#N/A</v>
      </c>
      <c r="QY50" t="e">
        <f t="shared" si="241"/>
        <v>#N/A</v>
      </c>
      <c r="QZ50" t="e">
        <f t="shared" si="241"/>
        <v>#N/A</v>
      </c>
      <c r="RA50" t="e">
        <f t="shared" si="241"/>
        <v>#N/A</v>
      </c>
      <c r="RB50" t="e">
        <f t="shared" si="241"/>
        <v>#N/A</v>
      </c>
      <c r="RC50" t="e">
        <f t="shared" si="241"/>
        <v>#N/A</v>
      </c>
      <c r="RD50" t="e">
        <f t="shared" si="241"/>
        <v>#N/A</v>
      </c>
      <c r="RE50" t="e">
        <f t="shared" si="241"/>
        <v>#N/A</v>
      </c>
      <c r="RF50" t="e">
        <f t="shared" si="241"/>
        <v>#N/A</v>
      </c>
      <c r="RG50" t="e">
        <f t="shared" si="241"/>
        <v>#N/A</v>
      </c>
      <c r="RH50" t="e">
        <f t="shared" si="241"/>
        <v>#N/A</v>
      </c>
      <c r="RI50" t="e">
        <f t="shared" si="241"/>
        <v>#N/A</v>
      </c>
      <c r="RJ50" t="e">
        <f t="shared" si="241"/>
        <v>#N/A</v>
      </c>
      <c r="RK50" t="e">
        <f t="shared" si="241"/>
        <v>#N/A</v>
      </c>
      <c r="RL50" t="e">
        <f t="shared" si="241"/>
        <v>#N/A</v>
      </c>
      <c r="RM50" t="e">
        <f t="shared" si="241"/>
        <v>#N/A</v>
      </c>
      <c r="RN50" t="e">
        <f t="shared" si="241"/>
        <v>#N/A</v>
      </c>
      <c r="RO50" t="e">
        <f t="shared" si="241"/>
        <v>#N/A</v>
      </c>
      <c r="RP50" t="e">
        <f t="shared" ref="RP50:SY56" si="242">IF(ISERROR(AVERAGE(RM47:RS47)),NA(),AVERAGE(RM47:RS47))</f>
        <v>#N/A</v>
      </c>
      <c r="RQ50" t="e">
        <f t="shared" si="242"/>
        <v>#N/A</v>
      </c>
      <c r="RR50" t="e">
        <f t="shared" si="242"/>
        <v>#N/A</v>
      </c>
      <c r="RS50" t="e">
        <f t="shared" si="242"/>
        <v>#N/A</v>
      </c>
      <c r="RT50" t="e">
        <f t="shared" si="242"/>
        <v>#N/A</v>
      </c>
      <c r="RU50" t="e">
        <f t="shared" si="242"/>
        <v>#N/A</v>
      </c>
      <c r="RV50" t="e">
        <f t="shared" si="242"/>
        <v>#N/A</v>
      </c>
      <c r="RW50" t="e">
        <f t="shared" si="242"/>
        <v>#N/A</v>
      </c>
      <c r="RX50" t="e">
        <f t="shared" si="242"/>
        <v>#N/A</v>
      </c>
      <c r="RY50" t="e">
        <f t="shared" si="242"/>
        <v>#N/A</v>
      </c>
      <c r="RZ50" t="e">
        <f t="shared" si="242"/>
        <v>#N/A</v>
      </c>
      <c r="SA50" t="e">
        <f t="shared" si="242"/>
        <v>#N/A</v>
      </c>
      <c r="SB50" t="e">
        <f t="shared" si="242"/>
        <v>#N/A</v>
      </c>
      <c r="SC50" t="e">
        <f t="shared" si="242"/>
        <v>#N/A</v>
      </c>
      <c r="SD50" t="e">
        <f t="shared" si="242"/>
        <v>#N/A</v>
      </c>
      <c r="SE50" t="e">
        <f t="shared" si="242"/>
        <v>#N/A</v>
      </c>
      <c r="SF50" t="e">
        <f t="shared" si="242"/>
        <v>#N/A</v>
      </c>
      <c r="SG50" t="e">
        <f t="shared" si="242"/>
        <v>#N/A</v>
      </c>
      <c r="SH50" t="e">
        <f t="shared" si="242"/>
        <v>#N/A</v>
      </c>
      <c r="SI50" t="e">
        <f t="shared" si="242"/>
        <v>#N/A</v>
      </c>
      <c r="SJ50" t="e">
        <f t="shared" si="242"/>
        <v>#N/A</v>
      </c>
      <c r="SK50" t="e">
        <f t="shared" si="242"/>
        <v>#N/A</v>
      </c>
      <c r="SL50" t="e">
        <f t="shared" si="242"/>
        <v>#N/A</v>
      </c>
      <c r="SM50" t="e">
        <f t="shared" si="242"/>
        <v>#N/A</v>
      </c>
      <c r="SN50" t="e">
        <f t="shared" si="242"/>
        <v>#N/A</v>
      </c>
      <c r="SO50" t="e">
        <f t="shared" si="242"/>
        <v>#N/A</v>
      </c>
      <c r="SP50" t="e">
        <f t="shared" si="242"/>
        <v>#N/A</v>
      </c>
      <c r="SQ50" t="e">
        <f t="shared" si="242"/>
        <v>#N/A</v>
      </c>
      <c r="SR50" t="e">
        <f t="shared" si="242"/>
        <v>#N/A</v>
      </c>
      <c r="SS50" t="e">
        <f t="shared" si="242"/>
        <v>#N/A</v>
      </c>
      <c r="ST50" t="e">
        <f t="shared" si="242"/>
        <v>#N/A</v>
      </c>
      <c r="SU50" t="e">
        <f t="shared" si="242"/>
        <v>#N/A</v>
      </c>
      <c r="SV50" t="e">
        <f t="shared" si="242"/>
        <v>#N/A</v>
      </c>
      <c r="SW50" t="e">
        <f t="shared" si="242"/>
        <v>#N/A</v>
      </c>
      <c r="SX50" t="e">
        <f t="shared" si="242"/>
        <v>#N/A</v>
      </c>
      <c r="SY50" t="e">
        <f>IF(ISERROR(AVERAGE(SV47:TB47)),NA(),AVERAGE(SV47:TB47))</f>
        <v>#N/A</v>
      </c>
    </row>
    <row r="51" spans="19:522" x14ac:dyDescent="0.15">
      <c r="S51">
        <f>IF($S9&gt;=グラフ!$J$43,0,IF($HK9&lt;=グラフ!$J$43,100,INDEX(csv!$L9:$HD9,1,MATCH(グラフ!$J$43,$S9:$HK9,1))))</f>
        <v>0</v>
      </c>
      <c r="T51">
        <f>IF($S22&gt;=グラフ!$R$43,0,IF($HK22&lt;=グラフ!$R$43,100,INDEX(csv!$L22:$HD22,1,MATCH(グラフ!$R$43,$S22:$HK22,1))))</f>
        <v>0</v>
      </c>
      <c r="U51">
        <f>IF($S35&gt;=グラフ!$B$43,0,IF($HK35&lt;=グラフ!$B$43,100,INDEX(csv!$L35:$HD35,1,MATCH(グラフ!$B$43,$S35:$HK35,1))))</f>
        <v>0</v>
      </c>
      <c r="V51">
        <f t="shared" si="11"/>
        <v>100</v>
      </c>
      <c r="W51">
        <f t="shared" si="12"/>
        <v>100</v>
      </c>
      <c r="X51">
        <f t="shared" si="13"/>
        <v>100</v>
      </c>
      <c r="HQ51" t="e">
        <f t="shared" si="47"/>
        <v>#N/A</v>
      </c>
      <c r="HR51" t="e">
        <f t="shared" si="48"/>
        <v>#N/A</v>
      </c>
      <c r="HS51" t="e">
        <f t="shared" si="49"/>
        <v>#N/A</v>
      </c>
      <c r="HT51" t="e">
        <f t="shared" si="50"/>
        <v>#N/A</v>
      </c>
      <c r="HU51" t="e">
        <f t="shared" si="51"/>
        <v>#N/A</v>
      </c>
      <c r="HV51" t="e">
        <f t="shared" si="52"/>
        <v>#N/A</v>
      </c>
      <c r="HW51" t="e">
        <f t="shared" si="53"/>
        <v>#N/A</v>
      </c>
      <c r="HX51" t="e">
        <f t="shared" si="54"/>
        <v>#N/A</v>
      </c>
      <c r="HY51" t="e">
        <f t="shared" si="55"/>
        <v>#N/A</v>
      </c>
      <c r="HZ51" t="e">
        <f t="shared" si="56"/>
        <v>#N/A</v>
      </c>
      <c r="IA51" t="e">
        <f t="shared" si="57"/>
        <v>#N/A</v>
      </c>
      <c r="IB51" t="e">
        <f t="shared" si="58"/>
        <v>#N/A</v>
      </c>
      <c r="IC51" t="e">
        <f t="shared" si="59"/>
        <v>#N/A</v>
      </c>
      <c r="ID51" t="e">
        <f t="shared" si="60"/>
        <v>#N/A</v>
      </c>
      <c r="IE51" t="e">
        <f t="shared" si="61"/>
        <v>#N/A</v>
      </c>
      <c r="IF51" t="e">
        <f t="shared" si="62"/>
        <v>#N/A</v>
      </c>
      <c r="IG51" t="e">
        <f t="shared" si="63"/>
        <v>#N/A</v>
      </c>
      <c r="IH51" t="e">
        <f t="shared" si="64"/>
        <v>#N/A</v>
      </c>
      <c r="II51" t="e">
        <f t="shared" si="65"/>
        <v>#N/A</v>
      </c>
      <c r="IJ51" t="e">
        <f t="shared" si="66"/>
        <v>#N/A</v>
      </c>
      <c r="IK51" t="e">
        <f t="shared" si="67"/>
        <v>#N/A</v>
      </c>
      <c r="IL51" t="e">
        <f t="shared" si="68"/>
        <v>#N/A</v>
      </c>
      <c r="IM51" t="e">
        <f t="shared" si="69"/>
        <v>#N/A</v>
      </c>
      <c r="IN51" t="e">
        <f t="shared" si="70"/>
        <v>#N/A</v>
      </c>
      <c r="IO51" t="e">
        <f t="shared" si="71"/>
        <v>#N/A</v>
      </c>
      <c r="IP51" t="e">
        <f t="shared" si="72"/>
        <v>#N/A</v>
      </c>
      <c r="IQ51" t="e">
        <f t="shared" si="73"/>
        <v>#N/A</v>
      </c>
      <c r="IR51" t="e">
        <f t="shared" si="74"/>
        <v>#N/A</v>
      </c>
      <c r="IS51" t="e">
        <f t="shared" si="75"/>
        <v>#N/A</v>
      </c>
      <c r="IT51" t="e">
        <f t="shared" si="76"/>
        <v>#N/A</v>
      </c>
      <c r="IU51" t="e">
        <f t="shared" si="77"/>
        <v>#N/A</v>
      </c>
      <c r="IV51" t="e">
        <f t="shared" si="78"/>
        <v>#N/A</v>
      </c>
      <c r="IW51" t="e">
        <f t="shared" si="79"/>
        <v>#N/A</v>
      </c>
      <c r="IX51" t="e">
        <f t="shared" si="80"/>
        <v>#N/A</v>
      </c>
      <c r="IY51" t="e">
        <f t="shared" si="81"/>
        <v>#N/A</v>
      </c>
      <c r="IZ51" t="e">
        <f t="shared" si="82"/>
        <v>#N/A</v>
      </c>
      <c r="JA51" t="e">
        <f t="shared" si="83"/>
        <v>#N/A</v>
      </c>
      <c r="JB51" t="e">
        <f t="shared" si="84"/>
        <v>#N/A</v>
      </c>
      <c r="JC51" t="e">
        <f t="shared" si="85"/>
        <v>#N/A</v>
      </c>
      <c r="JD51" t="e">
        <f t="shared" si="86"/>
        <v>#N/A</v>
      </c>
      <c r="JE51" t="e">
        <f t="shared" si="87"/>
        <v>#N/A</v>
      </c>
      <c r="JF51" t="e">
        <f t="shared" si="88"/>
        <v>#N/A</v>
      </c>
      <c r="JG51" t="e">
        <f t="shared" si="89"/>
        <v>#N/A</v>
      </c>
      <c r="JH51" t="e">
        <f t="shared" si="90"/>
        <v>#N/A</v>
      </c>
      <c r="JI51" t="e">
        <f t="shared" si="91"/>
        <v>#N/A</v>
      </c>
      <c r="JJ51" t="e">
        <f t="shared" si="92"/>
        <v>#N/A</v>
      </c>
      <c r="JK51" t="e">
        <f t="shared" si="93"/>
        <v>#N/A</v>
      </c>
      <c r="JL51" t="e">
        <f t="shared" si="94"/>
        <v>#N/A</v>
      </c>
      <c r="JM51" t="e">
        <f t="shared" si="95"/>
        <v>#N/A</v>
      </c>
      <c r="JN51" t="e">
        <f t="shared" si="96"/>
        <v>#N/A</v>
      </c>
      <c r="JO51" t="e">
        <f t="shared" si="97"/>
        <v>#N/A</v>
      </c>
      <c r="JP51" t="e">
        <f t="shared" si="98"/>
        <v>#N/A</v>
      </c>
      <c r="JQ51" t="e">
        <f t="shared" si="99"/>
        <v>#N/A</v>
      </c>
      <c r="JR51" t="e">
        <f t="shared" si="100"/>
        <v>#N/A</v>
      </c>
      <c r="JS51" t="e">
        <f t="shared" si="101"/>
        <v>#N/A</v>
      </c>
      <c r="JT51" t="e">
        <f t="shared" si="102"/>
        <v>#N/A</v>
      </c>
      <c r="JU51" t="e">
        <f t="shared" si="103"/>
        <v>#N/A</v>
      </c>
      <c r="JV51" t="e">
        <f t="shared" si="104"/>
        <v>#N/A</v>
      </c>
      <c r="JW51" t="e">
        <f t="shared" si="105"/>
        <v>#N/A</v>
      </c>
      <c r="JX51" t="e">
        <f t="shared" si="106"/>
        <v>#N/A</v>
      </c>
      <c r="JY51" t="e">
        <f t="shared" si="107"/>
        <v>#N/A</v>
      </c>
      <c r="JZ51" t="e">
        <f t="shared" si="108"/>
        <v>#N/A</v>
      </c>
      <c r="KA51" t="e">
        <f t="shared" si="109"/>
        <v>#N/A</v>
      </c>
      <c r="KB51" t="e">
        <f t="shared" si="110"/>
        <v>#N/A</v>
      </c>
      <c r="KC51" t="e">
        <f t="shared" si="111"/>
        <v>#N/A</v>
      </c>
      <c r="KD51" t="e">
        <f t="shared" si="112"/>
        <v>#N/A</v>
      </c>
      <c r="KE51" t="e">
        <f t="shared" si="113"/>
        <v>#N/A</v>
      </c>
      <c r="KF51" t="e">
        <f t="shared" si="114"/>
        <v>#N/A</v>
      </c>
      <c r="KG51" t="e">
        <f t="shared" si="115"/>
        <v>#N/A</v>
      </c>
      <c r="KH51" t="e">
        <f t="shared" si="116"/>
        <v>#N/A</v>
      </c>
      <c r="KI51" t="e">
        <f t="shared" si="117"/>
        <v>#N/A</v>
      </c>
      <c r="KJ51" t="e">
        <f t="shared" si="118"/>
        <v>#N/A</v>
      </c>
      <c r="KK51" t="e">
        <f t="shared" si="119"/>
        <v>#N/A</v>
      </c>
      <c r="KL51" t="e">
        <f t="shared" si="120"/>
        <v>#N/A</v>
      </c>
      <c r="KM51" t="e">
        <f t="shared" si="121"/>
        <v>#N/A</v>
      </c>
      <c r="KN51" t="e">
        <f t="shared" si="122"/>
        <v>#N/A</v>
      </c>
      <c r="KO51" t="e">
        <f t="shared" si="123"/>
        <v>#N/A</v>
      </c>
      <c r="KP51" t="e">
        <f t="shared" si="124"/>
        <v>#N/A</v>
      </c>
      <c r="KQ51" t="e">
        <f t="shared" si="125"/>
        <v>#N/A</v>
      </c>
      <c r="KR51" t="e">
        <f t="shared" si="126"/>
        <v>#N/A</v>
      </c>
      <c r="KS51" t="e">
        <f t="shared" si="127"/>
        <v>#N/A</v>
      </c>
      <c r="KT51" t="e">
        <f t="shared" si="128"/>
        <v>#N/A</v>
      </c>
      <c r="KU51" t="e">
        <f t="shared" si="129"/>
        <v>#N/A</v>
      </c>
      <c r="KV51" t="e">
        <f t="shared" si="130"/>
        <v>#N/A</v>
      </c>
      <c r="KW51" t="e">
        <f t="shared" si="131"/>
        <v>#N/A</v>
      </c>
      <c r="KX51" t="e">
        <f t="shared" si="132"/>
        <v>#N/A</v>
      </c>
      <c r="KY51" t="e">
        <f t="shared" si="133"/>
        <v>#N/A</v>
      </c>
      <c r="KZ51" t="e">
        <f t="shared" si="134"/>
        <v>#N/A</v>
      </c>
      <c r="LA51" t="e">
        <f t="shared" si="135"/>
        <v>#N/A</v>
      </c>
      <c r="LB51" t="e">
        <f t="shared" si="136"/>
        <v>#N/A</v>
      </c>
      <c r="LC51" t="e">
        <f t="shared" si="137"/>
        <v>#N/A</v>
      </c>
      <c r="LD51" t="e">
        <f t="shared" si="138"/>
        <v>#N/A</v>
      </c>
      <c r="LE51" t="e">
        <f t="shared" si="139"/>
        <v>#N/A</v>
      </c>
      <c r="LF51" t="e">
        <f t="shared" si="140"/>
        <v>#N/A</v>
      </c>
      <c r="LG51" t="e">
        <f t="shared" si="141"/>
        <v>#N/A</v>
      </c>
      <c r="LH51" t="e">
        <f t="shared" si="142"/>
        <v>#N/A</v>
      </c>
      <c r="LI51" t="e">
        <f t="shared" si="143"/>
        <v>#N/A</v>
      </c>
      <c r="LJ51" t="e">
        <f t="shared" si="144"/>
        <v>#N/A</v>
      </c>
      <c r="LK51" t="e">
        <f t="shared" si="145"/>
        <v>#N/A</v>
      </c>
      <c r="LL51" t="e">
        <f t="shared" si="146"/>
        <v>#N/A</v>
      </c>
      <c r="LM51" t="e">
        <f t="shared" si="147"/>
        <v>#N/A</v>
      </c>
      <c r="LN51" t="e">
        <f t="shared" si="148"/>
        <v>#N/A</v>
      </c>
      <c r="LO51" t="e">
        <f t="shared" si="149"/>
        <v>#N/A</v>
      </c>
      <c r="LP51" t="e">
        <f t="shared" si="150"/>
        <v>#N/A</v>
      </c>
      <c r="LQ51" t="e">
        <f t="shared" si="151"/>
        <v>#N/A</v>
      </c>
      <c r="LR51" t="e">
        <f t="shared" si="152"/>
        <v>#N/A</v>
      </c>
      <c r="LS51" t="e">
        <f t="shared" si="153"/>
        <v>#N/A</v>
      </c>
      <c r="LT51" t="e">
        <f t="shared" si="154"/>
        <v>#N/A</v>
      </c>
      <c r="LU51" t="e">
        <f t="shared" si="155"/>
        <v>#N/A</v>
      </c>
      <c r="LV51" t="e">
        <f t="shared" si="156"/>
        <v>#N/A</v>
      </c>
      <c r="LW51" t="e">
        <f t="shared" si="157"/>
        <v>#N/A</v>
      </c>
      <c r="LX51" t="e">
        <f t="shared" si="158"/>
        <v>#N/A</v>
      </c>
      <c r="LY51" t="e">
        <f t="shared" si="159"/>
        <v>#N/A</v>
      </c>
      <c r="LZ51" t="e">
        <f t="shared" si="160"/>
        <v>#N/A</v>
      </c>
      <c r="MA51" t="e">
        <f t="shared" si="161"/>
        <v>#N/A</v>
      </c>
      <c r="MB51" t="e">
        <f t="shared" si="162"/>
        <v>#N/A</v>
      </c>
      <c r="MC51" t="e">
        <f t="shared" si="163"/>
        <v>#N/A</v>
      </c>
      <c r="MD51" t="e">
        <f t="shared" si="164"/>
        <v>#N/A</v>
      </c>
      <c r="ME51" t="e">
        <f t="shared" si="165"/>
        <v>#N/A</v>
      </c>
      <c r="MF51" t="e">
        <f t="shared" si="166"/>
        <v>#N/A</v>
      </c>
      <c r="MG51" t="e">
        <f t="shared" si="167"/>
        <v>#N/A</v>
      </c>
      <c r="MH51" t="e">
        <f t="shared" si="168"/>
        <v>#N/A</v>
      </c>
      <c r="MI51" t="e">
        <f t="shared" si="169"/>
        <v>#N/A</v>
      </c>
      <c r="MJ51" t="e">
        <f t="shared" si="170"/>
        <v>#N/A</v>
      </c>
      <c r="MK51" t="e">
        <f t="shared" si="171"/>
        <v>#N/A</v>
      </c>
      <c r="ML51" t="e">
        <f t="shared" si="172"/>
        <v>#N/A</v>
      </c>
      <c r="MM51" t="e">
        <f t="shared" si="173"/>
        <v>#N/A</v>
      </c>
      <c r="MN51" t="e">
        <f t="shared" si="174"/>
        <v>#N/A</v>
      </c>
      <c r="MO51" t="e">
        <f t="shared" si="175"/>
        <v>#N/A</v>
      </c>
      <c r="MP51" t="e">
        <f t="shared" si="176"/>
        <v>#N/A</v>
      </c>
      <c r="MQ51" t="e">
        <f t="shared" si="177"/>
        <v>#N/A</v>
      </c>
      <c r="MR51" t="e">
        <f t="shared" si="178"/>
        <v>#N/A</v>
      </c>
      <c r="MS51" t="e">
        <f t="shared" si="179"/>
        <v>#N/A</v>
      </c>
      <c r="MT51" t="e">
        <f t="shared" si="180"/>
        <v>#N/A</v>
      </c>
      <c r="MU51" t="e">
        <f t="shared" si="181"/>
        <v>#N/A</v>
      </c>
      <c r="MV51" t="e">
        <f t="shared" si="182"/>
        <v>#N/A</v>
      </c>
      <c r="MW51" t="e">
        <f t="shared" si="183"/>
        <v>#N/A</v>
      </c>
      <c r="MX51" t="e">
        <f t="shared" si="184"/>
        <v>#N/A</v>
      </c>
      <c r="MY51" t="e">
        <f t="shared" si="185"/>
        <v>#N/A</v>
      </c>
      <c r="MZ51" t="e">
        <f t="shared" si="186"/>
        <v>#N/A</v>
      </c>
      <c r="NA51" t="e">
        <f t="shared" si="187"/>
        <v>#N/A</v>
      </c>
      <c r="NB51" t="e">
        <f t="shared" si="188"/>
        <v>#N/A</v>
      </c>
      <c r="NC51" t="e">
        <f t="shared" si="189"/>
        <v>#N/A</v>
      </c>
      <c r="ND51" t="e">
        <f t="shared" si="190"/>
        <v>#N/A</v>
      </c>
      <c r="NE51" t="e">
        <f t="shared" si="191"/>
        <v>#N/A</v>
      </c>
      <c r="NF51" t="e">
        <f t="shared" si="192"/>
        <v>#N/A</v>
      </c>
      <c r="NG51" t="e">
        <f t="shared" si="193"/>
        <v>#N/A</v>
      </c>
      <c r="NH51" t="e">
        <f t="shared" si="194"/>
        <v>#N/A</v>
      </c>
      <c r="NI51" t="e">
        <f t="shared" si="195"/>
        <v>#N/A</v>
      </c>
      <c r="NJ51" t="e">
        <f t="shared" si="196"/>
        <v>#N/A</v>
      </c>
      <c r="NK51" t="e">
        <f t="shared" si="197"/>
        <v>#N/A</v>
      </c>
      <c r="NL51" t="e">
        <f t="shared" si="198"/>
        <v>#N/A</v>
      </c>
      <c r="NM51" t="e">
        <f t="shared" si="199"/>
        <v>#N/A</v>
      </c>
      <c r="NN51" t="e">
        <f t="shared" si="200"/>
        <v>#N/A</v>
      </c>
      <c r="NO51" t="e">
        <f t="shared" si="201"/>
        <v>#N/A</v>
      </c>
      <c r="NP51" t="e">
        <f t="shared" si="202"/>
        <v>#N/A</v>
      </c>
      <c r="NQ51" t="e">
        <f t="shared" si="203"/>
        <v>#N/A</v>
      </c>
      <c r="NR51" t="e">
        <f t="shared" si="204"/>
        <v>#N/A</v>
      </c>
      <c r="NS51" t="e">
        <f t="shared" si="205"/>
        <v>#N/A</v>
      </c>
      <c r="NT51" t="e">
        <f t="shared" si="206"/>
        <v>#N/A</v>
      </c>
      <c r="NU51" t="e">
        <f t="shared" si="207"/>
        <v>#N/A</v>
      </c>
      <c r="NV51" t="e">
        <f t="shared" si="208"/>
        <v>#N/A</v>
      </c>
      <c r="NW51" t="e">
        <f t="shared" si="209"/>
        <v>#N/A</v>
      </c>
      <c r="NX51" t="e">
        <f t="shared" si="210"/>
        <v>#N/A</v>
      </c>
      <c r="NY51" t="e">
        <f t="shared" si="211"/>
        <v>#N/A</v>
      </c>
      <c r="NZ51" t="e">
        <f t="shared" si="212"/>
        <v>#N/A</v>
      </c>
      <c r="OA51" t="e">
        <f t="shared" si="213"/>
        <v>#N/A</v>
      </c>
      <c r="OB51" t="e">
        <f t="shared" si="214"/>
        <v>#N/A</v>
      </c>
      <c r="OC51" t="e">
        <f t="shared" si="215"/>
        <v>#N/A</v>
      </c>
      <c r="OD51" t="e">
        <f t="shared" si="216"/>
        <v>#N/A</v>
      </c>
      <c r="OE51" t="e">
        <f t="shared" si="217"/>
        <v>#N/A</v>
      </c>
      <c r="OF51" t="e">
        <f t="shared" si="218"/>
        <v>#N/A</v>
      </c>
      <c r="OG51" t="e">
        <f t="shared" si="219"/>
        <v>#N/A</v>
      </c>
      <c r="OH51" t="e">
        <f t="shared" si="220"/>
        <v>#N/A</v>
      </c>
      <c r="OI51" t="e">
        <f t="shared" si="221"/>
        <v>#N/A</v>
      </c>
      <c r="OJ51" t="e">
        <f t="shared" si="222"/>
        <v>#N/A</v>
      </c>
      <c r="OK51" t="e">
        <f t="shared" si="223"/>
        <v>#N/A</v>
      </c>
      <c r="OL51" t="e">
        <f t="shared" si="224"/>
        <v>#N/A</v>
      </c>
      <c r="OM51" t="e">
        <f t="shared" si="225"/>
        <v>#N/A</v>
      </c>
      <c r="ON51" t="e">
        <f t="shared" si="226"/>
        <v>#N/A</v>
      </c>
      <c r="OO51" t="e">
        <f t="shared" si="227"/>
        <v>#N/A</v>
      </c>
      <c r="OP51" t="e">
        <f t="shared" si="228"/>
        <v>#N/A</v>
      </c>
      <c r="OQ51" t="e">
        <f t="shared" si="229"/>
        <v>#N/A</v>
      </c>
      <c r="OR51" t="e">
        <f t="shared" si="230"/>
        <v>#N/A</v>
      </c>
      <c r="OS51" t="e">
        <f t="shared" si="231"/>
        <v>#N/A</v>
      </c>
      <c r="OT51" t="e">
        <f t="shared" si="232"/>
        <v>#N/A</v>
      </c>
      <c r="OU51" t="e">
        <f t="shared" si="233"/>
        <v>#N/A</v>
      </c>
      <c r="OV51" t="e">
        <f t="shared" si="234"/>
        <v>#N/A</v>
      </c>
      <c r="OW51" t="e">
        <f t="shared" si="235"/>
        <v>#N/A</v>
      </c>
      <c r="OX51" t="e">
        <f t="shared" si="236"/>
        <v>#N/A</v>
      </c>
      <c r="OY51" t="e">
        <f t="shared" si="237"/>
        <v>#N/A</v>
      </c>
      <c r="OZ51" t="e">
        <f t="shared" si="238"/>
        <v>#N/A</v>
      </c>
      <c r="PA51" t="e">
        <f t="shared" si="239"/>
        <v>#N/A</v>
      </c>
      <c r="PB51" t="e">
        <f t="shared" si="240"/>
        <v>#N/A</v>
      </c>
      <c r="PC51" t="e">
        <f t="shared" ref="PC51:PC58" si="243">IF(ISERROR(AVERAGE(OZ48:PF48)),NA(),AVERAGE(OZ48:PF48))</f>
        <v>#N/A</v>
      </c>
      <c r="PD51" t="e">
        <f t="shared" si="241"/>
        <v>#N/A</v>
      </c>
      <c r="PE51" t="e">
        <f t="shared" si="241"/>
        <v>#N/A</v>
      </c>
      <c r="PF51" t="e">
        <f t="shared" si="241"/>
        <v>#N/A</v>
      </c>
      <c r="PG51" t="e">
        <f t="shared" si="241"/>
        <v>#N/A</v>
      </c>
      <c r="PH51" t="e">
        <f t="shared" si="241"/>
        <v>#N/A</v>
      </c>
      <c r="PI51" t="e">
        <f t="shared" si="241"/>
        <v>#N/A</v>
      </c>
      <c r="PJ51" t="e">
        <f t="shared" si="241"/>
        <v>#N/A</v>
      </c>
      <c r="PK51" t="e">
        <f t="shared" si="241"/>
        <v>#N/A</v>
      </c>
      <c r="PL51" t="e">
        <f t="shared" si="241"/>
        <v>#N/A</v>
      </c>
      <c r="PM51" t="e">
        <f t="shared" si="241"/>
        <v>#N/A</v>
      </c>
      <c r="PN51" t="e">
        <f t="shared" si="241"/>
        <v>#N/A</v>
      </c>
      <c r="PO51" t="e">
        <f t="shared" si="241"/>
        <v>#N/A</v>
      </c>
      <c r="PP51" t="e">
        <f t="shared" si="241"/>
        <v>#N/A</v>
      </c>
      <c r="PQ51" t="e">
        <f t="shared" si="241"/>
        <v>#N/A</v>
      </c>
      <c r="PR51" t="e">
        <f t="shared" si="241"/>
        <v>#N/A</v>
      </c>
      <c r="PS51" t="e">
        <f t="shared" si="241"/>
        <v>#N/A</v>
      </c>
      <c r="PT51" t="e">
        <f t="shared" si="241"/>
        <v>#N/A</v>
      </c>
      <c r="PU51" t="e">
        <f t="shared" si="241"/>
        <v>#N/A</v>
      </c>
      <c r="PV51" t="e">
        <f t="shared" si="241"/>
        <v>#N/A</v>
      </c>
      <c r="PW51" t="e">
        <f t="shared" si="241"/>
        <v>#N/A</v>
      </c>
      <c r="PX51" t="e">
        <f t="shared" si="241"/>
        <v>#N/A</v>
      </c>
      <c r="PY51" t="e">
        <f t="shared" si="241"/>
        <v>#N/A</v>
      </c>
      <c r="PZ51" t="e">
        <f t="shared" si="241"/>
        <v>#N/A</v>
      </c>
      <c r="QA51" t="e">
        <f t="shared" si="241"/>
        <v>#N/A</v>
      </c>
      <c r="QB51" t="e">
        <f t="shared" si="241"/>
        <v>#N/A</v>
      </c>
      <c r="QC51" t="e">
        <f t="shared" si="241"/>
        <v>#N/A</v>
      </c>
      <c r="QD51" t="e">
        <f t="shared" si="241"/>
        <v>#N/A</v>
      </c>
      <c r="QE51" t="e">
        <f t="shared" si="241"/>
        <v>#N/A</v>
      </c>
      <c r="QF51" t="e">
        <f t="shared" si="241"/>
        <v>#N/A</v>
      </c>
      <c r="QG51" t="e">
        <f t="shared" si="241"/>
        <v>#N/A</v>
      </c>
      <c r="QH51" t="e">
        <f t="shared" si="241"/>
        <v>#N/A</v>
      </c>
      <c r="QI51" t="e">
        <f t="shared" si="241"/>
        <v>#N/A</v>
      </c>
      <c r="QJ51" t="e">
        <f t="shared" si="241"/>
        <v>#N/A</v>
      </c>
      <c r="QK51" t="e">
        <f t="shared" si="241"/>
        <v>#N/A</v>
      </c>
      <c r="QL51" t="e">
        <f t="shared" si="241"/>
        <v>#N/A</v>
      </c>
      <c r="QM51" t="e">
        <f t="shared" si="241"/>
        <v>#N/A</v>
      </c>
      <c r="QN51" t="e">
        <f t="shared" si="241"/>
        <v>#N/A</v>
      </c>
      <c r="QO51" t="e">
        <f t="shared" si="241"/>
        <v>#N/A</v>
      </c>
      <c r="QP51" t="e">
        <f t="shared" si="241"/>
        <v>#N/A</v>
      </c>
      <c r="QQ51" t="e">
        <f t="shared" si="241"/>
        <v>#N/A</v>
      </c>
      <c r="QR51" t="e">
        <f t="shared" si="241"/>
        <v>#N/A</v>
      </c>
      <c r="QS51" t="e">
        <f t="shared" si="241"/>
        <v>#N/A</v>
      </c>
      <c r="QT51" t="e">
        <f t="shared" si="241"/>
        <v>#N/A</v>
      </c>
      <c r="QU51" t="e">
        <f t="shared" si="241"/>
        <v>#N/A</v>
      </c>
      <c r="QV51" t="e">
        <f t="shared" si="241"/>
        <v>#N/A</v>
      </c>
      <c r="QW51" t="e">
        <f t="shared" si="241"/>
        <v>#N/A</v>
      </c>
      <c r="QX51" t="e">
        <f t="shared" si="241"/>
        <v>#N/A</v>
      </c>
      <c r="QY51" t="e">
        <f t="shared" si="241"/>
        <v>#N/A</v>
      </c>
      <c r="QZ51" t="e">
        <f t="shared" si="241"/>
        <v>#N/A</v>
      </c>
      <c r="RA51" t="e">
        <f t="shared" si="241"/>
        <v>#N/A</v>
      </c>
      <c r="RB51" t="e">
        <f t="shared" si="241"/>
        <v>#N/A</v>
      </c>
      <c r="RC51" t="e">
        <f t="shared" si="241"/>
        <v>#N/A</v>
      </c>
      <c r="RD51" t="e">
        <f t="shared" si="241"/>
        <v>#N/A</v>
      </c>
      <c r="RE51" t="e">
        <f t="shared" si="241"/>
        <v>#N/A</v>
      </c>
      <c r="RF51" t="e">
        <f t="shared" si="241"/>
        <v>#N/A</v>
      </c>
      <c r="RG51" t="e">
        <f t="shared" si="241"/>
        <v>#N/A</v>
      </c>
      <c r="RH51" t="e">
        <f t="shared" si="241"/>
        <v>#N/A</v>
      </c>
      <c r="RI51" t="e">
        <f t="shared" si="241"/>
        <v>#N/A</v>
      </c>
      <c r="RJ51" t="e">
        <f t="shared" si="241"/>
        <v>#N/A</v>
      </c>
      <c r="RK51" t="e">
        <f t="shared" si="241"/>
        <v>#N/A</v>
      </c>
      <c r="RL51" t="e">
        <f t="shared" si="241"/>
        <v>#N/A</v>
      </c>
      <c r="RM51" t="e">
        <f t="shared" si="241"/>
        <v>#N/A</v>
      </c>
      <c r="RN51" t="e">
        <f t="shared" si="241"/>
        <v>#N/A</v>
      </c>
      <c r="RO51" t="e">
        <f t="shared" si="241"/>
        <v>#N/A</v>
      </c>
      <c r="RP51" t="e">
        <f t="shared" si="242"/>
        <v>#N/A</v>
      </c>
      <c r="RQ51" t="e">
        <f t="shared" si="242"/>
        <v>#N/A</v>
      </c>
      <c r="RR51" t="e">
        <f t="shared" si="242"/>
        <v>#N/A</v>
      </c>
      <c r="RS51" t="e">
        <f t="shared" si="242"/>
        <v>#N/A</v>
      </c>
      <c r="RT51" t="e">
        <f t="shared" si="242"/>
        <v>#N/A</v>
      </c>
      <c r="RU51" t="e">
        <f t="shared" si="242"/>
        <v>#N/A</v>
      </c>
      <c r="RV51" t="e">
        <f t="shared" si="242"/>
        <v>#N/A</v>
      </c>
      <c r="RW51" t="e">
        <f t="shared" si="242"/>
        <v>#N/A</v>
      </c>
      <c r="RX51" t="e">
        <f t="shared" si="242"/>
        <v>#N/A</v>
      </c>
      <c r="RY51" t="e">
        <f t="shared" si="242"/>
        <v>#N/A</v>
      </c>
      <c r="RZ51" t="e">
        <f t="shared" si="242"/>
        <v>#N/A</v>
      </c>
      <c r="SA51" t="e">
        <f t="shared" si="242"/>
        <v>#N/A</v>
      </c>
      <c r="SB51" t="e">
        <f t="shared" si="242"/>
        <v>#N/A</v>
      </c>
      <c r="SC51" t="e">
        <f t="shared" si="242"/>
        <v>#N/A</v>
      </c>
      <c r="SD51" t="e">
        <f t="shared" si="242"/>
        <v>#N/A</v>
      </c>
      <c r="SE51" t="e">
        <f t="shared" si="242"/>
        <v>#N/A</v>
      </c>
      <c r="SF51" t="e">
        <f t="shared" si="242"/>
        <v>#N/A</v>
      </c>
      <c r="SG51" t="e">
        <f t="shared" si="242"/>
        <v>#N/A</v>
      </c>
      <c r="SH51" t="e">
        <f t="shared" si="242"/>
        <v>#N/A</v>
      </c>
      <c r="SI51" t="e">
        <f t="shared" si="242"/>
        <v>#N/A</v>
      </c>
      <c r="SJ51" t="e">
        <f t="shared" si="242"/>
        <v>#N/A</v>
      </c>
      <c r="SK51" t="e">
        <f t="shared" si="242"/>
        <v>#N/A</v>
      </c>
      <c r="SL51" t="e">
        <f t="shared" si="242"/>
        <v>#N/A</v>
      </c>
      <c r="SM51" t="e">
        <f t="shared" si="242"/>
        <v>#N/A</v>
      </c>
      <c r="SN51" t="e">
        <f t="shared" si="242"/>
        <v>#N/A</v>
      </c>
      <c r="SO51" t="e">
        <f t="shared" si="242"/>
        <v>#N/A</v>
      </c>
      <c r="SP51" t="e">
        <f t="shared" si="242"/>
        <v>#N/A</v>
      </c>
      <c r="SQ51" t="e">
        <f t="shared" si="242"/>
        <v>#N/A</v>
      </c>
      <c r="SR51" t="e">
        <f t="shared" si="242"/>
        <v>#N/A</v>
      </c>
      <c r="SS51" t="e">
        <f t="shared" si="242"/>
        <v>#N/A</v>
      </c>
      <c r="ST51" t="e">
        <f t="shared" si="242"/>
        <v>#N/A</v>
      </c>
      <c r="SU51" t="e">
        <f t="shared" si="242"/>
        <v>#N/A</v>
      </c>
      <c r="SV51" t="e">
        <f t="shared" si="242"/>
        <v>#N/A</v>
      </c>
      <c r="SW51" t="e">
        <f t="shared" si="242"/>
        <v>#N/A</v>
      </c>
      <c r="SX51" t="e">
        <f t="shared" si="242"/>
        <v>#N/A</v>
      </c>
      <c r="SY51" t="e">
        <f t="shared" si="242"/>
        <v>#N/A</v>
      </c>
    </row>
    <row r="52" spans="19:522" x14ac:dyDescent="0.15">
      <c r="S52">
        <f>IF($S10&gt;=グラフ!$J$43,0,IF($HK10&lt;=グラフ!$J$43,100,INDEX(csv!$L10:$HD10,1,MATCH(グラフ!$J$43,$S10:$HK10,1))))</f>
        <v>0</v>
      </c>
      <c r="T52">
        <f>IF($S23&gt;=グラフ!$R$43,0,IF($HK23&lt;=グラフ!$R$43,100,INDEX(csv!$L23:$HD23,1,MATCH(グラフ!$R$43,$S23:$HK23,1))))</f>
        <v>0</v>
      </c>
      <c r="U52">
        <f>IF($S36&gt;=グラフ!$B$43,0,IF($HK36&lt;=グラフ!$B$43,100,INDEX(csv!$L36:$HD36,1,MATCH(グラフ!$B$43,$S36:$HK36,1))))</f>
        <v>0</v>
      </c>
      <c r="V52">
        <f t="shared" si="11"/>
        <v>100</v>
      </c>
      <c r="W52">
        <f t="shared" si="12"/>
        <v>100</v>
      </c>
      <c r="X52">
        <f t="shared" si="13"/>
        <v>100</v>
      </c>
      <c r="HQ52" t="e">
        <f t="shared" si="47"/>
        <v>#N/A</v>
      </c>
      <c r="HR52" t="e">
        <f t="shared" si="48"/>
        <v>#N/A</v>
      </c>
      <c r="HS52" t="e">
        <f t="shared" si="49"/>
        <v>#N/A</v>
      </c>
      <c r="HT52" t="e">
        <f t="shared" si="50"/>
        <v>#N/A</v>
      </c>
      <c r="HU52" t="e">
        <f t="shared" si="51"/>
        <v>#N/A</v>
      </c>
      <c r="HV52" t="e">
        <f t="shared" si="52"/>
        <v>#N/A</v>
      </c>
      <c r="HW52" t="e">
        <f t="shared" si="53"/>
        <v>#N/A</v>
      </c>
      <c r="HX52" t="e">
        <f t="shared" si="54"/>
        <v>#N/A</v>
      </c>
      <c r="HY52" t="e">
        <f t="shared" si="55"/>
        <v>#N/A</v>
      </c>
      <c r="HZ52" t="e">
        <f t="shared" si="56"/>
        <v>#N/A</v>
      </c>
      <c r="IA52" t="e">
        <f t="shared" si="57"/>
        <v>#N/A</v>
      </c>
      <c r="IB52" t="e">
        <f t="shared" si="58"/>
        <v>#N/A</v>
      </c>
      <c r="IC52" t="e">
        <f t="shared" si="59"/>
        <v>#N/A</v>
      </c>
      <c r="ID52" t="e">
        <f t="shared" si="60"/>
        <v>#N/A</v>
      </c>
      <c r="IE52" t="e">
        <f t="shared" si="61"/>
        <v>#N/A</v>
      </c>
      <c r="IF52" t="e">
        <f t="shared" si="62"/>
        <v>#N/A</v>
      </c>
      <c r="IG52" t="e">
        <f t="shared" si="63"/>
        <v>#N/A</v>
      </c>
      <c r="IH52" t="e">
        <f t="shared" si="64"/>
        <v>#N/A</v>
      </c>
      <c r="II52" t="e">
        <f t="shared" si="65"/>
        <v>#N/A</v>
      </c>
      <c r="IJ52" t="e">
        <f t="shared" si="66"/>
        <v>#N/A</v>
      </c>
      <c r="IK52" t="e">
        <f t="shared" si="67"/>
        <v>#N/A</v>
      </c>
      <c r="IL52" t="e">
        <f t="shared" si="68"/>
        <v>#N/A</v>
      </c>
      <c r="IM52" t="e">
        <f t="shared" si="69"/>
        <v>#N/A</v>
      </c>
      <c r="IN52" t="e">
        <f t="shared" si="70"/>
        <v>#N/A</v>
      </c>
      <c r="IO52" t="e">
        <f t="shared" si="71"/>
        <v>#N/A</v>
      </c>
      <c r="IP52" t="e">
        <f t="shared" si="72"/>
        <v>#N/A</v>
      </c>
      <c r="IQ52" t="e">
        <f t="shared" si="73"/>
        <v>#N/A</v>
      </c>
      <c r="IR52" t="e">
        <f t="shared" si="74"/>
        <v>#N/A</v>
      </c>
      <c r="IS52" t="e">
        <f t="shared" si="75"/>
        <v>#N/A</v>
      </c>
      <c r="IT52" t="e">
        <f t="shared" si="76"/>
        <v>#N/A</v>
      </c>
      <c r="IU52" t="e">
        <f t="shared" si="77"/>
        <v>#N/A</v>
      </c>
      <c r="IV52" t="e">
        <f t="shared" si="78"/>
        <v>#N/A</v>
      </c>
      <c r="IW52" t="e">
        <f t="shared" si="79"/>
        <v>#N/A</v>
      </c>
      <c r="IX52" t="e">
        <f t="shared" si="80"/>
        <v>#N/A</v>
      </c>
      <c r="IY52" t="e">
        <f t="shared" si="81"/>
        <v>#N/A</v>
      </c>
      <c r="IZ52" t="e">
        <f t="shared" si="82"/>
        <v>#N/A</v>
      </c>
      <c r="JA52" t="e">
        <f t="shared" si="83"/>
        <v>#N/A</v>
      </c>
      <c r="JB52" t="e">
        <f t="shared" si="84"/>
        <v>#N/A</v>
      </c>
      <c r="JC52" t="e">
        <f t="shared" si="85"/>
        <v>#N/A</v>
      </c>
      <c r="JD52" t="e">
        <f t="shared" si="86"/>
        <v>#N/A</v>
      </c>
      <c r="JE52" t="e">
        <f t="shared" si="87"/>
        <v>#N/A</v>
      </c>
      <c r="JF52" t="e">
        <f t="shared" si="88"/>
        <v>#N/A</v>
      </c>
      <c r="JG52" t="e">
        <f t="shared" si="89"/>
        <v>#N/A</v>
      </c>
      <c r="JH52" t="e">
        <f t="shared" si="90"/>
        <v>#N/A</v>
      </c>
      <c r="JI52" t="e">
        <f t="shared" si="91"/>
        <v>#N/A</v>
      </c>
      <c r="JJ52" t="e">
        <f t="shared" si="92"/>
        <v>#N/A</v>
      </c>
      <c r="JK52" t="e">
        <f t="shared" si="93"/>
        <v>#N/A</v>
      </c>
      <c r="JL52" t="e">
        <f t="shared" si="94"/>
        <v>#N/A</v>
      </c>
      <c r="JM52" t="e">
        <f t="shared" si="95"/>
        <v>#N/A</v>
      </c>
      <c r="JN52" t="e">
        <f t="shared" si="96"/>
        <v>#N/A</v>
      </c>
      <c r="JO52" t="e">
        <f t="shared" si="97"/>
        <v>#N/A</v>
      </c>
      <c r="JP52" t="e">
        <f t="shared" si="98"/>
        <v>#N/A</v>
      </c>
      <c r="JQ52" t="e">
        <f t="shared" si="99"/>
        <v>#N/A</v>
      </c>
      <c r="JR52" t="e">
        <f t="shared" si="100"/>
        <v>#N/A</v>
      </c>
      <c r="JS52" t="e">
        <f t="shared" si="101"/>
        <v>#N/A</v>
      </c>
      <c r="JT52" t="e">
        <f t="shared" si="102"/>
        <v>#N/A</v>
      </c>
      <c r="JU52" t="e">
        <f t="shared" si="103"/>
        <v>#N/A</v>
      </c>
      <c r="JV52" t="e">
        <f t="shared" si="104"/>
        <v>#N/A</v>
      </c>
      <c r="JW52" t="e">
        <f t="shared" si="105"/>
        <v>#N/A</v>
      </c>
      <c r="JX52" t="e">
        <f t="shared" si="106"/>
        <v>#N/A</v>
      </c>
      <c r="JY52" t="e">
        <f t="shared" si="107"/>
        <v>#N/A</v>
      </c>
      <c r="JZ52" t="e">
        <f t="shared" si="108"/>
        <v>#N/A</v>
      </c>
      <c r="KA52" t="e">
        <f t="shared" si="109"/>
        <v>#N/A</v>
      </c>
      <c r="KB52" t="e">
        <f t="shared" si="110"/>
        <v>#N/A</v>
      </c>
      <c r="KC52" t="e">
        <f t="shared" si="111"/>
        <v>#N/A</v>
      </c>
      <c r="KD52" t="e">
        <f t="shared" si="112"/>
        <v>#N/A</v>
      </c>
      <c r="KE52" t="e">
        <f t="shared" si="113"/>
        <v>#N/A</v>
      </c>
      <c r="KF52" t="e">
        <f t="shared" si="114"/>
        <v>#N/A</v>
      </c>
      <c r="KG52" t="e">
        <f t="shared" si="115"/>
        <v>#N/A</v>
      </c>
      <c r="KH52" t="e">
        <f t="shared" si="116"/>
        <v>#N/A</v>
      </c>
      <c r="KI52" t="e">
        <f t="shared" si="117"/>
        <v>#N/A</v>
      </c>
      <c r="KJ52" t="e">
        <f t="shared" si="118"/>
        <v>#N/A</v>
      </c>
      <c r="KK52" t="e">
        <f t="shared" si="119"/>
        <v>#N/A</v>
      </c>
      <c r="KL52" t="e">
        <f t="shared" si="120"/>
        <v>#N/A</v>
      </c>
      <c r="KM52" t="e">
        <f t="shared" si="121"/>
        <v>#N/A</v>
      </c>
      <c r="KN52" t="e">
        <f t="shared" si="122"/>
        <v>#N/A</v>
      </c>
      <c r="KO52" t="e">
        <f t="shared" si="123"/>
        <v>#N/A</v>
      </c>
      <c r="KP52" t="e">
        <f t="shared" si="124"/>
        <v>#N/A</v>
      </c>
      <c r="KQ52" t="e">
        <f t="shared" si="125"/>
        <v>#N/A</v>
      </c>
      <c r="KR52" t="e">
        <f t="shared" si="126"/>
        <v>#N/A</v>
      </c>
      <c r="KS52" t="e">
        <f t="shared" si="127"/>
        <v>#N/A</v>
      </c>
      <c r="KT52" t="e">
        <f t="shared" si="128"/>
        <v>#N/A</v>
      </c>
      <c r="KU52" t="e">
        <f t="shared" si="129"/>
        <v>#N/A</v>
      </c>
      <c r="KV52" t="e">
        <f t="shared" si="130"/>
        <v>#N/A</v>
      </c>
      <c r="KW52" t="e">
        <f t="shared" si="131"/>
        <v>#N/A</v>
      </c>
      <c r="KX52" t="e">
        <f t="shared" si="132"/>
        <v>#N/A</v>
      </c>
      <c r="KY52" t="e">
        <f t="shared" si="133"/>
        <v>#N/A</v>
      </c>
      <c r="KZ52" t="e">
        <f t="shared" si="134"/>
        <v>#N/A</v>
      </c>
      <c r="LA52" t="e">
        <f t="shared" si="135"/>
        <v>#N/A</v>
      </c>
      <c r="LB52" t="e">
        <f t="shared" si="136"/>
        <v>#N/A</v>
      </c>
      <c r="LC52" t="e">
        <f t="shared" si="137"/>
        <v>#N/A</v>
      </c>
      <c r="LD52" t="e">
        <f t="shared" si="138"/>
        <v>#N/A</v>
      </c>
      <c r="LE52" t="e">
        <f t="shared" si="139"/>
        <v>#N/A</v>
      </c>
      <c r="LF52" t="e">
        <f t="shared" si="140"/>
        <v>#N/A</v>
      </c>
      <c r="LG52" t="e">
        <f t="shared" si="141"/>
        <v>#N/A</v>
      </c>
      <c r="LH52" t="e">
        <f t="shared" si="142"/>
        <v>#N/A</v>
      </c>
      <c r="LI52" t="e">
        <f t="shared" si="143"/>
        <v>#N/A</v>
      </c>
      <c r="LJ52" t="e">
        <f t="shared" si="144"/>
        <v>#N/A</v>
      </c>
      <c r="LK52" t="e">
        <f t="shared" si="145"/>
        <v>#N/A</v>
      </c>
      <c r="LL52" t="e">
        <f t="shared" si="146"/>
        <v>#N/A</v>
      </c>
      <c r="LM52" t="e">
        <f t="shared" si="147"/>
        <v>#N/A</v>
      </c>
      <c r="LN52" t="e">
        <f t="shared" si="148"/>
        <v>#N/A</v>
      </c>
      <c r="LO52" t="e">
        <f t="shared" si="149"/>
        <v>#N/A</v>
      </c>
      <c r="LP52" t="e">
        <f t="shared" si="150"/>
        <v>#N/A</v>
      </c>
      <c r="LQ52" t="e">
        <f t="shared" si="151"/>
        <v>#N/A</v>
      </c>
      <c r="LR52" t="e">
        <f t="shared" si="152"/>
        <v>#N/A</v>
      </c>
      <c r="LS52" t="e">
        <f t="shared" si="153"/>
        <v>#N/A</v>
      </c>
      <c r="LT52" t="e">
        <f t="shared" si="154"/>
        <v>#N/A</v>
      </c>
      <c r="LU52" t="e">
        <f t="shared" si="155"/>
        <v>#N/A</v>
      </c>
      <c r="LV52" t="e">
        <f t="shared" si="156"/>
        <v>#N/A</v>
      </c>
      <c r="LW52" t="e">
        <f t="shared" si="157"/>
        <v>#N/A</v>
      </c>
      <c r="LX52" t="e">
        <f t="shared" si="158"/>
        <v>#N/A</v>
      </c>
      <c r="LY52" t="e">
        <f t="shared" si="159"/>
        <v>#N/A</v>
      </c>
      <c r="LZ52" t="e">
        <f t="shared" si="160"/>
        <v>#N/A</v>
      </c>
      <c r="MA52" t="e">
        <f t="shared" si="161"/>
        <v>#N/A</v>
      </c>
      <c r="MB52" t="e">
        <f t="shared" si="162"/>
        <v>#N/A</v>
      </c>
      <c r="MC52" t="e">
        <f t="shared" si="163"/>
        <v>#N/A</v>
      </c>
      <c r="MD52" t="e">
        <f t="shared" si="164"/>
        <v>#N/A</v>
      </c>
      <c r="ME52" t="e">
        <f t="shared" si="165"/>
        <v>#N/A</v>
      </c>
      <c r="MF52" t="e">
        <f t="shared" si="166"/>
        <v>#N/A</v>
      </c>
      <c r="MG52" t="e">
        <f t="shared" si="167"/>
        <v>#N/A</v>
      </c>
      <c r="MH52" t="e">
        <f t="shared" si="168"/>
        <v>#N/A</v>
      </c>
      <c r="MI52" t="e">
        <f t="shared" si="169"/>
        <v>#N/A</v>
      </c>
      <c r="MJ52" t="e">
        <f t="shared" si="170"/>
        <v>#N/A</v>
      </c>
      <c r="MK52" t="e">
        <f t="shared" si="171"/>
        <v>#N/A</v>
      </c>
      <c r="ML52" t="e">
        <f t="shared" si="172"/>
        <v>#N/A</v>
      </c>
      <c r="MM52" t="e">
        <f t="shared" si="173"/>
        <v>#N/A</v>
      </c>
      <c r="MN52" t="e">
        <f t="shared" si="174"/>
        <v>#N/A</v>
      </c>
      <c r="MO52" t="e">
        <f t="shared" si="175"/>
        <v>#N/A</v>
      </c>
      <c r="MP52" t="e">
        <f t="shared" si="176"/>
        <v>#N/A</v>
      </c>
      <c r="MQ52" t="e">
        <f t="shared" si="177"/>
        <v>#N/A</v>
      </c>
      <c r="MR52" t="e">
        <f t="shared" si="178"/>
        <v>#N/A</v>
      </c>
      <c r="MS52" t="e">
        <f t="shared" si="179"/>
        <v>#N/A</v>
      </c>
      <c r="MT52" t="e">
        <f t="shared" si="180"/>
        <v>#N/A</v>
      </c>
      <c r="MU52" t="e">
        <f t="shared" si="181"/>
        <v>#N/A</v>
      </c>
      <c r="MV52" t="e">
        <f t="shared" si="182"/>
        <v>#N/A</v>
      </c>
      <c r="MW52" t="e">
        <f t="shared" si="183"/>
        <v>#N/A</v>
      </c>
      <c r="MX52" t="e">
        <f t="shared" si="184"/>
        <v>#N/A</v>
      </c>
      <c r="MY52" t="e">
        <f t="shared" si="185"/>
        <v>#N/A</v>
      </c>
      <c r="MZ52" t="e">
        <f t="shared" si="186"/>
        <v>#N/A</v>
      </c>
      <c r="NA52" t="e">
        <f t="shared" si="187"/>
        <v>#N/A</v>
      </c>
      <c r="NB52" t="e">
        <f t="shared" si="188"/>
        <v>#N/A</v>
      </c>
      <c r="NC52" t="e">
        <f t="shared" si="189"/>
        <v>#N/A</v>
      </c>
      <c r="ND52" t="e">
        <f t="shared" si="190"/>
        <v>#N/A</v>
      </c>
      <c r="NE52" t="e">
        <f t="shared" si="191"/>
        <v>#N/A</v>
      </c>
      <c r="NF52" t="e">
        <f t="shared" si="192"/>
        <v>#N/A</v>
      </c>
      <c r="NG52" t="e">
        <f t="shared" si="193"/>
        <v>#N/A</v>
      </c>
      <c r="NH52" t="e">
        <f t="shared" si="194"/>
        <v>#N/A</v>
      </c>
      <c r="NI52" t="e">
        <f t="shared" si="195"/>
        <v>#N/A</v>
      </c>
      <c r="NJ52" t="e">
        <f t="shared" si="196"/>
        <v>#N/A</v>
      </c>
      <c r="NK52" t="e">
        <f t="shared" si="197"/>
        <v>#N/A</v>
      </c>
      <c r="NL52" t="e">
        <f t="shared" si="198"/>
        <v>#N/A</v>
      </c>
      <c r="NM52" t="e">
        <f t="shared" si="199"/>
        <v>#N/A</v>
      </c>
      <c r="NN52" t="e">
        <f t="shared" si="200"/>
        <v>#N/A</v>
      </c>
      <c r="NO52" t="e">
        <f t="shared" si="201"/>
        <v>#N/A</v>
      </c>
      <c r="NP52" t="e">
        <f t="shared" si="202"/>
        <v>#N/A</v>
      </c>
      <c r="NQ52" t="e">
        <f t="shared" si="203"/>
        <v>#N/A</v>
      </c>
      <c r="NR52" t="e">
        <f t="shared" si="204"/>
        <v>#N/A</v>
      </c>
      <c r="NS52" t="e">
        <f t="shared" si="205"/>
        <v>#N/A</v>
      </c>
      <c r="NT52" t="e">
        <f t="shared" si="206"/>
        <v>#N/A</v>
      </c>
      <c r="NU52" t="e">
        <f t="shared" si="207"/>
        <v>#N/A</v>
      </c>
      <c r="NV52" t="e">
        <f t="shared" si="208"/>
        <v>#N/A</v>
      </c>
      <c r="NW52" t="e">
        <f t="shared" si="209"/>
        <v>#N/A</v>
      </c>
      <c r="NX52" t="e">
        <f t="shared" si="210"/>
        <v>#N/A</v>
      </c>
      <c r="NY52" t="e">
        <f t="shared" si="211"/>
        <v>#N/A</v>
      </c>
      <c r="NZ52" t="e">
        <f t="shared" si="212"/>
        <v>#N/A</v>
      </c>
      <c r="OA52" t="e">
        <f t="shared" si="213"/>
        <v>#N/A</v>
      </c>
      <c r="OB52" t="e">
        <f t="shared" si="214"/>
        <v>#N/A</v>
      </c>
      <c r="OC52" t="e">
        <f t="shared" si="215"/>
        <v>#N/A</v>
      </c>
      <c r="OD52" t="e">
        <f t="shared" si="216"/>
        <v>#N/A</v>
      </c>
      <c r="OE52" t="e">
        <f t="shared" si="217"/>
        <v>#N/A</v>
      </c>
      <c r="OF52" t="e">
        <f t="shared" si="218"/>
        <v>#N/A</v>
      </c>
      <c r="OG52" t="e">
        <f t="shared" si="219"/>
        <v>#N/A</v>
      </c>
      <c r="OH52" t="e">
        <f t="shared" si="220"/>
        <v>#N/A</v>
      </c>
      <c r="OI52" t="e">
        <f t="shared" si="221"/>
        <v>#N/A</v>
      </c>
      <c r="OJ52" t="e">
        <f t="shared" si="222"/>
        <v>#N/A</v>
      </c>
      <c r="OK52" t="e">
        <f t="shared" si="223"/>
        <v>#N/A</v>
      </c>
      <c r="OL52" t="e">
        <f t="shared" si="224"/>
        <v>#N/A</v>
      </c>
      <c r="OM52" t="e">
        <f t="shared" si="225"/>
        <v>#N/A</v>
      </c>
      <c r="ON52" t="e">
        <f t="shared" si="226"/>
        <v>#N/A</v>
      </c>
      <c r="OO52" t="e">
        <f t="shared" si="227"/>
        <v>#N/A</v>
      </c>
      <c r="OP52" t="e">
        <f t="shared" si="228"/>
        <v>#N/A</v>
      </c>
      <c r="OQ52" t="e">
        <f t="shared" si="229"/>
        <v>#N/A</v>
      </c>
      <c r="OR52" t="e">
        <f t="shared" si="230"/>
        <v>#N/A</v>
      </c>
      <c r="OS52" t="e">
        <f t="shared" si="231"/>
        <v>#N/A</v>
      </c>
      <c r="OT52" t="e">
        <f t="shared" si="232"/>
        <v>#N/A</v>
      </c>
      <c r="OU52" t="e">
        <f t="shared" si="233"/>
        <v>#N/A</v>
      </c>
      <c r="OV52" t="e">
        <f t="shared" si="234"/>
        <v>#N/A</v>
      </c>
      <c r="OW52" t="e">
        <f t="shared" si="235"/>
        <v>#N/A</v>
      </c>
      <c r="OX52" t="e">
        <f t="shared" si="236"/>
        <v>#N/A</v>
      </c>
      <c r="OY52" t="e">
        <f t="shared" si="237"/>
        <v>#N/A</v>
      </c>
      <c r="OZ52" t="e">
        <f t="shared" si="238"/>
        <v>#N/A</v>
      </c>
      <c r="PA52" t="e">
        <f t="shared" si="239"/>
        <v>#N/A</v>
      </c>
      <c r="PB52" t="e">
        <f t="shared" si="240"/>
        <v>#N/A</v>
      </c>
      <c r="PC52" t="e">
        <f t="shared" si="243"/>
        <v>#N/A</v>
      </c>
      <c r="PD52" t="e">
        <f t="shared" si="241"/>
        <v>#N/A</v>
      </c>
      <c r="PE52" t="e">
        <f t="shared" si="241"/>
        <v>#N/A</v>
      </c>
      <c r="PF52" t="e">
        <f t="shared" si="241"/>
        <v>#N/A</v>
      </c>
      <c r="PG52" t="e">
        <f t="shared" si="241"/>
        <v>#N/A</v>
      </c>
      <c r="PH52" t="e">
        <f t="shared" si="241"/>
        <v>#N/A</v>
      </c>
      <c r="PI52" t="e">
        <f t="shared" si="241"/>
        <v>#N/A</v>
      </c>
      <c r="PJ52" t="e">
        <f t="shared" si="241"/>
        <v>#N/A</v>
      </c>
      <c r="PK52" t="e">
        <f t="shared" si="241"/>
        <v>#N/A</v>
      </c>
      <c r="PL52" t="e">
        <f t="shared" si="241"/>
        <v>#N/A</v>
      </c>
      <c r="PM52" t="e">
        <f t="shared" si="241"/>
        <v>#N/A</v>
      </c>
      <c r="PN52" t="e">
        <f t="shared" si="241"/>
        <v>#N/A</v>
      </c>
      <c r="PO52" t="e">
        <f t="shared" si="241"/>
        <v>#N/A</v>
      </c>
      <c r="PP52" t="e">
        <f t="shared" si="241"/>
        <v>#N/A</v>
      </c>
      <c r="PQ52" t="e">
        <f t="shared" si="241"/>
        <v>#N/A</v>
      </c>
      <c r="PR52" t="e">
        <f t="shared" si="241"/>
        <v>#N/A</v>
      </c>
      <c r="PS52" t="e">
        <f t="shared" si="241"/>
        <v>#N/A</v>
      </c>
      <c r="PT52" t="e">
        <f t="shared" si="241"/>
        <v>#N/A</v>
      </c>
      <c r="PU52" t="e">
        <f t="shared" si="241"/>
        <v>#N/A</v>
      </c>
      <c r="PV52" t="e">
        <f t="shared" si="241"/>
        <v>#N/A</v>
      </c>
      <c r="PW52" t="e">
        <f t="shared" si="241"/>
        <v>#N/A</v>
      </c>
      <c r="PX52" t="e">
        <f t="shared" si="241"/>
        <v>#N/A</v>
      </c>
      <c r="PY52" t="e">
        <f t="shared" si="241"/>
        <v>#N/A</v>
      </c>
      <c r="PZ52" t="e">
        <f t="shared" si="241"/>
        <v>#N/A</v>
      </c>
      <c r="QA52" t="e">
        <f t="shared" si="241"/>
        <v>#N/A</v>
      </c>
      <c r="QB52" t="e">
        <f t="shared" si="241"/>
        <v>#N/A</v>
      </c>
      <c r="QC52" t="e">
        <f t="shared" si="241"/>
        <v>#N/A</v>
      </c>
      <c r="QD52" t="e">
        <f t="shared" si="241"/>
        <v>#N/A</v>
      </c>
      <c r="QE52" t="e">
        <f t="shared" si="241"/>
        <v>#N/A</v>
      </c>
      <c r="QF52" t="e">
        <f t="shared" si="241"/>
        <v>#N/A</v>
      </c>
      <c r="QG52" t="e">
        <f t="shared" si="241"/>
        <v>#N/A</v>
      </c>
      <c r="QH52" t="e">
        <f t="shared" si="241"/>
        <v>#N/A</v>
      </c>
      <c r="QI52" t="e">
        <f t="shared" si="241"/>
        <v>#N/A</v>
      </c>
      <c r="QJ52" t="e">
        <f t="shared" si="241"/>
        <v>#N/A</v>
      </c>
      <c r="QK52" t="e">
        <f t="shared" si="241"/>
        <v>#N/A</v>
      </c>
      <c r="QL52" t="e">
        <f t="shared" si="241"/>
        <v>#N/A</v>
      </c>
      <c r="QM52" t="e">
        <f t="shared" si="241"/>
        <v>#N/A</v>
      </c>
      <c r="QN52" t="e">
        <f t="shared" si="241"/>
        <v>#N/A</v>
      </c>
      <c r="QO52" t="e">
        <f t="shared" si="241"/>
        <v>#N/A</v>
      </c>
      <c r="QP52" t="e">
        <f t="shared" si="241"/>
        <v>#N/A</v>
      </c>
      <c r="QQ52" t="e">
        <f t="shared" si="241"/>
        <v>#N/A</v>
      </c>
      <c r="QR52" t="e">
        <f t="shared" si="241"/>
        <v>#N/A</v>
      </c>
      <c r="QS52" t="e">
        <f t="shared" si="241"/>
        <v>#N/A</v>
      </c>
      <c r="QT52" t="e">
        <f t="shared" si="241"/>
        <v>#N/A</v>
      </c>
      <c r="QU52" t="e">
        <f t="shared" si="241"/>
        <v>#N/A</v>
      </c>
      <c r="QV52" t="e">
        <f t="shared" si="241"/>
        <v>#N/A</v>
      </c>
      <c r="QW52" t="e">
        <f t="shared" si="241"/>
        <v>#N/A</v>
      </c>
      <c r="QX52" t="e">
        <f t="shared" si="241"/>
        <v>#N/A</v>
      </c>
      <c r="QY52" t="e">
        <f t="shared" si="241"/>
        <v>#N/A</v>
      </c>
      <c r="QZ52" t="e">
        <f t="shared" si="241"/>
        <v>#N/A</v>
      </c>
      <c r="RA52" t="e">
        <f t="shared" si="241"/>
        <v>#N/A</v>
      </c>
      <c r="RB52" t="e">
        <f t="shared" si="241"/>
        <v>#N/A</v>
      </c>
      <c r="RC52" t="e">
        <f t="shared" si="241"/>
        <v>#N/A</v>
      </c>
      <c r="RD52" t="e">
        <f t="shared" si="241"/>
        <v>#N/A</v>
      </c>
      <c r="RE52" t="e">
        <f t="shared" si="241"/>
        <v>#N/A</v>
      </c>
      <c r="RF52" t="e">
        <f t="shared" si="241"/>
        <v>#N/A</v>
      </c>
      <c r="RG52" t="e">
        <f t="shared" si="241"/>
        <v>#N/A</v>
      </c>
      <c r="RH52" t="e">
        <f t="shared" si="241"/>
        <v>#N/A</v>
      </c>
      <c r="RI52" t="e">
        <f t="shared" si="241"/>
        <v>#N/A</v>
      </c>
      <c r="RJ52" t="e">
        <f t="shared" si="241"/>
        <v>#N/A</v>
      </c>
      <c r="RK52" t="e">
        <f t="shared" si="241"/>
        <v>#N/A</v>
      </c>
      <c r="RL52" t="e">
        <f t="shared" si="241"/>
        <v>#N/A</v>
      </c>
      <c r="RM52" t="e">
        <f t="shared" si="241"/>
        <v>#N/A</v>
      </c>
      <c r="RN52" t="e">
        <f t="shared" si="241"/>
        <v>#N/A</v>
      </c>
      <c r="RO52" t="e">
        <f t="shared" si="241"/>
        <v>#N/A</v>
      </c>
      <c r="RP52" t="e">
        <f t="shared" si="242"/>
        <v>#N/A</v>
      </c>
      <c r="RQ52" t="e">
        <f t="shared" si="242"/>
        <v>#N/A</v>
      </c>
      <c r="RR52" t="e">
        <f t="shared" si="242"/>
        <v>#N/A</v>
      </c>
      <c r="RS52" t="e">
        <f t="shared" si="242"/>
        <v>#N/A</v>
      </c>
      <c r="RT52" t="e">
        <f t="shared" si="242"/>
        <v>#N/A</v>
      </c>
      <c r="RU52" t="e">
        <f t="shared" si="242"/>
        <v>#N/A</v>
      </c>
      <c r="RV52" t="e">
        <f t="shared" si="242"/>
        <v>#N/A</v>
      </c>
      <c r="RW52" t="e">
        <f t="shared" si="242"/>
        <v>#N/A</v>
      </c>
      <c r="RX52" t="e">
        <f t="shared" si="242"/>
        <v>#N/A</v>
      </c>
      <c r="RY52" t="e">
        <f t="shared" si="242"/>
        <v>#N/A</v>
      </c>
      <c r="RZ52" t="e">
        <f t="shared" si="242"/>
        <v>#N/A</v>
      </c>
      <c r="SA52" t="e">
        <f t="shared" si="242"/>
        <v>#N/A</v>
      </c>
      <c r="SB52" t="e">
        <f t="shared" si="242"/>
        <v>#N/A</v>
      </c>
      <c r="SC52" t="e">
        <f t="shared" si="242"/>
        <v>#N/A</v>
      </c>
      <c r="SD52" t="e">
        <f t="shared" si="242"/>
        <v>#N/A</v>
      </c>
      <c r="SE52" t="e">
        <f t="shared" si="242"/>
        <v>#N/A</v>
      </c>
      <c r="SF52" t="e">
        <f t="shared" si="242"/>
        <v>#N/A</v>
      </c>
      <c r="SG52" t="e">
        <f t="shared" si="242"/>
        <v>#N/A</v>
      </c>
      <c r="SH52" t="e">
        <f t="shared" si="242"/>
        <v>#N/A</v>
      </c>
      <c r="SI52" t="e">
        <f t="shared" si="242"/>
        <v>#N/A</v>
      </c>
      <c r="SJ52" t="e">
        <f t="shared" si="242"/>
        <v>#N/A</v>
      </c>
      <c r="SK52" t="e">
        <f t="shared" si="242"/>
        <v>#N/A</v>
      </c>
      <c r="SL52" t="e">
        <f t="shared" si="242"/>
        <v>#N/A</v>
      </c>
      <c r="SM52" t="e">
        <f t="shared" si="242"/>
        <v>#N/A</v>
      </c>
      <c r="SN52" t="e">
        <f t="shared" si="242"/>
        <v>#N/A</v>
      </c>
      <c r="SO52" t="e">
        <f t="shared" si="242"/>
        <v>#N/A</v>
      </c>
      <c r="SP52" t="e">
        <f t="shared" si="242"/>
        <v>#N/A</v>
      </c>
      <c r="SQ52" t="e">
        <f t="shared" si="242"/>
        <v>#N/A</v>
      </c>
      <c r="SR52" t="e">
        <f t="shared" si="242"/>
        <v>#N/A</v>
      </c>
      <c r="SS52" t="e">
        <f t="shared" si="242"/>
        <v>#N/A</v>
      </c>
      <c r="ST52" t="e">
        <f t="shared" si="242"/>
        <v>#N/A</v>
      </c>
      <c r="SU52" t="e">
        <f t="shared" si="242"/>
        <v>#N/A</v>
      </c>
      <c r="SV52" t="e">
        <f t="shared" si="242"/>
        <v>#N/A</v>
      </c>
      <c r="SW52" t="e">
        <f t="shared" si="242"/>
        <v>#N/A</v>
      </c>
      <c r="SX52" t="e">
        <f t="shared" si="242"/>
        <v>#N/A</v>
      </c>
      <c r="SY52" t="e">
        <f t="shared" si="242"/>
        <v>#N/A</v>
      </c>
    </row>
    <row r="53" spans="19:522" x14ac:dyDescent="0.15">
      <c r="S53">
        <f>IF($S11&gt;=グラフ!$J$43,0,IF($HK11&lt;=グラフ!$J$43,100,INDEX(csv!$L11:$HD11,1,MATCH(グラフ!$J$43,$S11:$HK11,1))))</f>
        <v>0</v>
      </c>
      <c r="T53">
        <f>IF($S24&gt;=グラフ!$R$43,0,IF($HK24&lt;=グラフ!$R$43,100,INDEX(csv!$L24:$HD24,1,MATCH(グラフ!$R$43,$S24:$HK24,1))))</f>
        <v>0</v>
      </c>
      <c r="U53">
        <f>IF($S37&gt;=グラフ!$B$43,0,IF($HK37&lt;=グラフ!$B$43,100,INDEX(csv!$L37:$HD37,1,MATCH(グラフ!$B$43,$S37:$HK37,1))))</f>
        <v>0</v>
      </c>
      <c r="V53">
        <f t="shared" si="11"/>
        <v>100</v>
      </c>
      <c r="W53">
        <f t="shared" si="12"/>
        <v>100</v>
      </c>
      <c r="X53">
        <f t="shared" si="13"/>
        <v>100</v>
      </c>
      <c r="HM53" s="2" t="s">
        <v>198</v>
      </c>
      <c r="HQ53" t="e">
        <f t="shared" si="47"/>
        <v>#N/A</v>
      </c>
      <c r="HR53" t="e">
        <f t="shared" si="48"/>
        <v>#N/A</v>
      </c>
      <c r="HS53" t="e">
        <f t="shared" si="49"/>
        <v>#N/A</v>
      </c>
      <c r="HT53" t="e">
        <f t="shared" si="50"/>
        <v>#N/A</v>
      </c>
      <c r="HU53" t="e">
        <f t="shared" si="51"/>
        <v>#N/A</v>
      </c>
      <c r="HV53" t="e">
        <f t="shared" si="52"/>
        <v>#N/A</v>
      </c>
      <c r="HW53" t="e">
        <f t="shared" si="53"/>
        <v>#N/A</v>
      </c>
      <c r="HX53" t="e">
        <f t="shared" si="54"/>
        <v>#N/A</v>
      </c>
      <c r="HY53" t="e">
        <f t="shared" si="55"/>
        <v>#N/A</v>
      </c>
      <c r="HZ53" t="e">
        <f t="shared" si="56"/>
        <v>#N/A</v>
      </c>
      <c r="IA53" t="e">
        <f t="shared" si="57"/>
        <v>#N/A</v>
      </c>
      <c r="IB53" t="e">
        <f t="shared" si="58"/>
        <v>#N/A</v>
      </c>
      <c r="IC53" t="e">
        <f t="shared" si="59"/>
        <v>#N/A</v>
      </c>
      <c r="ID53" t="e">
        <f t="shared" si="60"/>
        <v>#N/A</v>
      </c>
      <c r="IE53" t="e">
        <f t="shared" si="61"/>
        <v>#N/A</v>
      </c>
      <c r="IF53" t="e">
        <f t="shared" si="62"/>
        <v>#N/A</v>
      </c>
      <c r="IG53" t="e">
        <f t="shared" si="63"/>
        <v>#N/A</v>
      </c>
      <c r="IH53" t="e">
        <f t="shared" si="64"/>
        <v>#N/A</v>
      </c>
      <c r="II53" t="e">
        <f t="shared" si="65"/>
        <v>#N/A</v>
      </c>
      <c r="IJ53" t="e">
        <f t="shared" si="66"/>
        <v>#N/A</v>
      </c>
      <c r="IK53" t="e">
        <f t="shared" si="67"/>
        <v>#N/A</v>
      </c>
      <c r="IL53" t="e">
        <f t="shared" si="68"/>
        <v>#N/A</v>
      </c>
      <c r="IM53" t="e">
        <f t="shared" si="69"/>
        <v>#N/A</v>
      </c>
      <c r="IN53" t="e">
        <f t="shared" si="70"/>
        <v>#N/A</v>
      </c>
      <c r="IO53" t="e">
        <f t="shared" si="71"/>
        <v>#N/A</v>
      </c>
      <c r="IP53" t="e">
        <f t="shared" si="72"/>
        <v>#N/A</v>
      </c>
      <c r="IQ53" t="e">
        <f t="shared" si="73"/>
        <v>#N/A</v>
      </c>
      <c r="IR53" t="e">
        <f t="shared" si="74"/>
        <v>#N/A</v>
      </c>
      <c r="IS53" t="e">
        <f t="shared" si="75"/>
        <v>#N/A</v>
      </c>
      <c r="IT53" t="e">
        <f t="shared" si="76"/>
        <v>#N/A</v>
      </c>
      <c r="IU53" t="e">
        <f t="shared" si="77"/>
        <v>#N/A</v>
      </c>
      <c r="IV53" t="e">
        <f t="shared" si="78"/>
        <v>#N/A</v>
      </c>
      <c r="IW53" t="e">
        <f t="shared" si="79"/>
        <v>#N/A</v>
      </c>
      <c r="IX53" t="e">
        <f t="shared" si="80"/>
        <v>#N/A</v>
      </c>
      <c r="IY53" t="e">
        <f t="shared" si="81"/>
        <v>#N/A</v>
      </c>
      <c r="IZ53" t="e">
        <f t="shared" si="82"/>
        <v>#N/A</v>
      </c>
      <c r="JA53" t="e">
        <f t="shared" si="83"/>
        <v>#N/A</v>
      </c>
      <c r="JB53" t="e">
        <f t="shared" si="84"/>
        <v>#N/A</v>
      </c>
      <c r="JC53" t="e">
        <f t="shared" si="85"/>
        <v>#N/A</v>
      </c>
      <c r="JD53" t="e">
        <f t="shared" si="86"/>
        <v>#N/A</v>
      </c>
      <c r="JE53" t="e">
        <f t="shared" si="87"/>
        <v>#N/A</v>
      </c>
      <c r="JF53" t="e">
        <f t="shared" si="88"/>
        <v>#N/A</v>
      </c>
      <c r="JG53" t="e">
        <f t="shared" si="89"/>
        <v>#N/A</v>
      </c>
      <c r="JH53" t="e">
        <f t="shared" si="90"/>
        <v>#N/A</v>
      </c>
      <c r="JI53" t="e">
        <f t="shared" si="91"/>
        <v>#N/A</v>
      </c>
      <c r="JJ53" t="e">
        <f t="shared" si="92"/>
        <v>#N/A</v>
      </c>
      <c r="JK53" t="e">
        <f t="shared" si="93"/>
        <v>#N/A</v>
      </c>
      <c r="JL53" t="e">
        <f t="shared" si="94"/>
        <v>#N/A</v>
      </c>
      <c r="JM53" t="e">
        <f t="shared" si="95"/>
        <v>#N/A</v>
      </c>
      <c r="JN53" t="e">
        <f t="shared" si="96"/>
        <v>#N/A</v>
      </c>
      <c r="JO53" t="e">
        <f t="shared" si="97"/>
        <v>#N/A</v>
      </c>
      <c r="JP53" t="e">
        <f t="shared" si="98"/>
        <v>#N/A</v>
      </c>
      <c r="JQ53" t="e">
        <f t="shared" si="99"/>
        <v>#N/A</v>
      </c>
      <c r="JR53" t="e">
        <f t="shared" si="100"/>
        <v>#N/A</v>
      </c>
      <c r="JS53" t="e">
        <f t="shared" si="101"/>
        <v>#N/A</v>
      </c>
      <c r="JT53" t="e">
        <f t="shared" si="102"/>
        <v>#N/A</v>
      </c>
      <c r="JU53" t="e">
        <f t="shared" si="103"/>
        <v>#N/A</v>
      </c>
      <c r="JV53" t="e">
        <f t="shared" si="104"/>
        <v>#N/A</v>
      </c>
      <c r="JW53" t="e">
        <f t="shared" si="105"/>
        <v>#N/A</v>
      </c>
      <c r="JX53" t="e">
        <f t="shared" si="106"/>
        <v>#N/A</v>
      </c>
      <c r="JY53" t="e">
        <f t="shared" si="107"/>
        <v>#N/A</v>
      </c>
      <c r="JZ53" t="e">
        <f t="shared" si="108"/>
        <v>#N/A</v>
      </c>
      <c r="KA53" t="e">
        <f t="shared" si="109"/>
        <v>#N/A</v>
      </c>
      <c r="KB53" t="e">
        <f t="shared" si="110"/>
        <v>#N/A</v>
      </c>
      <c r="KC53" t="e">
        <f t="shared" si="111"/>
        <v>#N/A</v>
      </c>
      <c r="KD53" t="e">
        <f t="shared" si="112"/>
        <v>#N/A</v>
      </c>
      <c r="KE53" t="e">
        <f t="shared" si="113"/>
        <v>#N/A</v>
      </c>
      <c r="KF53" t="e">
        <f t="shared" si="114"/>
        <v>#N/A</v>
      </c>
      <c r="KG53" t="e">
        <f t="shared" si="115"/>
        <v>#N/A</v>
      </c>
      <c r="KH53" t="e">
        <f t="shared" si="116"/>
        <v>#N/A</v>
      </c>
      <c r="KI53" t="e">
        <f t="shared" si="117"/>
        <v>#N/A</v>
      </c>
      <c r="KJ53" t="e">
        <f t="shared" si="118"/>
        <v>#N/A</v>
      </c>
      <c r="KK53" t="e">
        <f t="shared" si="119"/>
        <v>#N/A</v>
      </c>
      <c r="KL53" t="e">
        <f t="shared" si="120"/>
        <v>#N/A</v>
      </c>
      <c r="KM53" t="e">
        <f t="shared" si="121"/>
        <v>#N/A</v>
      </c>
      <c r="KN53" t="e">
        <f t="shared" si="122"/>
        <v>#N/A</v>
      </c>
      <c r="KO53" t="e">
        <f t="shared" si="123"/>
        <v>#N/A</v>
      </c>
      <c r="KP53" t="e">
        <f t="shared" si="124"/>
        <v>#N/A</v>
      </c>
      <c r="KQ53" t="e">
        <f t="shared" si="125"/>
        <v>#N/A</v>
      </c>
      <c r="KR53" t="e">
        <f t="shared" si="126"/>
        <v>#N/A</v>
      </c>
      <c r="KS53" t="e">
        <f t="shared" si="127"/>
        <v>#N/A</v>
      </c>
      <c r="KT53" t="e">
        <f t="shared" si="128"/>
        <v>#N/A</v>
      </c>
      <c r="KU53" t="e">
        <f t="shared" si="129"/>
        <v>#N/A</v>
      </c>
      <c r="KV53" t="e">
        <f t="shared" si="130"/>
        <v>#N/A</v>
      </c>
      <c r="KW53" t="e">
        <f t="shared" si="131"/>
        <v>#N/A</v>
      </c>
      <c r="KX53" t="e">
        <f t="shared" si="132"/>
        <v>#N/A</v>
      </c>
      <c r="KY53" t="e">
        <f t="shared" si="133"/>
        <v>#N/A</v>
      </c>
      <c r="KZ53" t="e">
        <f t="shared" si="134"/>
        <v>#N/A</v>
      </c>
      <c r="LA53" t="e">
        <f t="shared" si="135"/>
        <v>#N/A</v>
      </c>
      <c r="LB53" t="e">
        <f t="shared" si="136"/>
        <v>#N/A</v>
      </c>
      <c r="LC53" t="e">
        <f t="shared" si="137"/>
        <v>#N/A</v>
      </c>
      <c r="LD53" t="e">
        <f t="shared" si="138"/>
        <v>#N/A</v>
      </c>
      <c r="LE53" t="e">
        <f t="shared" si="139"/>
        <v>#N/A</v>
      </c>
      <c r="LF53" t="e">
        <f t="shared" si="140"/>
        <v>#N/A</v>
      </c>
      <c r="LG53" t="e">
        <f t="shared" si="141"/>
        <v>#N/A</v>
      </c>
      <c r="LH53" t="e">
        <f t="shared" si="142"/>
        <v>#N/A</v>
      </c>
      <c r="LI53" t="e">
        <f t="shared" si="143"/>
        <v>#N/A</v>
      </c>
      <c r="LJ53" t="e">
        <f t="shared" si="144"/>
        <v>#N/A</v>
      </c>
      <c r="LK53" t="e">
        <f t="shared" si="145"/>
        <v>#N/A</v>
      </c>
      <c r="LL53" t="e">
        <f t="shared" si="146"/>
        <v>#N/A</v>
      </c>
      <c r="LM53" t="e">
        <f t="shared" si="147"/>
        <v>#N/A</v>
      </c>
      <c r="LN53" t="e">
        <f t="shared" si="148"/>
        <v>#N/A</v>
      </c>
      <c r="LO53" t="e">
        <f t="shared" si="149"/>
        <v>#N/A</v>
      </c>
      <c r="LP53" t="e">
        <f t="shared" si="150"/>
        <v>#N/A</v>
      </c>
      <c r="LQ53" t="e">
        <f t="shared" si="151"/>
        <v>#N/A</v>
      </c>
      <c r="LR53" t="e">
        <f t="shared" si="152"/>
        <v>#N/A</v>
      </c>
      <c r="LS53" t="e">
        <f t="shared" si="153"/>
        <v>#N/A</v>
      </c>
      <c r="LT53" t="e">
        <f t="shared" si="154"/>
        <v>#N/A</v>
      </c>
      <c r="LU53" t="e">
        <f t="shared" si="155"/>
        <v>#N/A</v>
      </c>
      <c r="LV53" t="e">
        <f t="shared" si="156"/>
        <v>#N/A</v>
      </c>
      <c r="LW53" t="e">
        <f t="shared" si="157"/>
        <v>#N/A</v>
      </c>
      <c r="LX53" t="e">
        <f t="shared" si="158"/>
        <v>#N/A</v>
      </c>
      <c r="LY53" t="e">
        <f t="shared" si="159"/>
        <v>#N/A</v>
      </c>
      <c r="LZ53" t="e">
        <f t="shared" si="160"/>
        <v>#N/A</v>
      </c>
      <c r="MA53" t="e">
        <f t="shared" si="161"/>
        <v>#N/A</v>
      </c>
      <c r="MB53" t="e">
        <f t="shared" si="162"/>
        <v>#N/A</v>
      </c>
      <c r="MC53" t="e">
        <f t="shared" si="163"/>
        <v>#N/A</v>
      </c>
      <c r="MD53" t="e">
        <f t="shared" si="164"/>
        <v>#N/A</v>
      </c>
      <c r="ME53" t="e">
        <f t="shared" si="165"/>
        <v>#N/A</v>
      </c>
      <c r="MF53" t="e">
        <f t="shared" si="166"/>
        <v>#N/A</v>
      </c>
      <c r="MG53" t="e">
        <f t="shared" si="167"/>
        <v>#N/A</v>
      </c>
      <c r="MH53" t="e">
        <f t="shared" si="168"/>
        <v>#N/A</v>
      </c>
      <c r="MI53" t="e">
        <f t="shared" si="169"/>
        <v>#N/A</v>
      </c>
      <c r="MJ53" t="e">
        <f t="shared" si="170"/>
        <v>#N/A</v>
      </c>
      <c r="MK53" t="e">
        <f t="shared" si="171"/>
        <v>#N/A</v>
      </c>
      <c r="ML53" t="e">
        <f t="shared" si="172"/>
        <v>#N/A</v>
      </c>
      <c r="MM53" t="e">
        <f t="shared" si="173"/>
        <v>#N/A</v>
      </c>
      <c r="MN53" t="e">
        <f t="shared" si="174"/>
        <v>#N/A</v>
      </c>
      <c r="MO53" t="e">
        <f t="shared" si="175"/>
        <v>#N/A</v>
      </c>
      <c r="MP53" t="e">
        <f t="shared" si="176"/>
        <v>#N/A</v>
      </c>
      <c r="MQ53" t="e">
        <f t="shared" si="177"/>
        <v>#N/A</v>
      </c>
      <c r="MR53" t="e">
        <f t="shared" si="178"/>
        <v>#N/A</v>
      </c>
      <c r="MS53" t="e">
        <f t="shared" si="179"/>
        <v>#N/A</v>
      </c>
      <c r="MT53" t="e">
        <f t="shared" si="180"/>
        <v>#N/A</v>
      </c>
      <c r="MU53" t="e">
        <f t="shared" si="181"/>
        <v>#N/A</v>
      </c>
      <c r="MV53" t="e">
        <f t="shared" si="182"/>
        <v>#N/A</v>
      </c>
      <c r="MW53" t="e">
        <f t="shared" si="183"/>
        <v>#N/A</v>
      </c>
      <c r="MX53" t="e">
        <f t="shared" si="184"/>
        <v>#N/A</v>
      </c>
      <c r="MY53" t="e">
        <f t="shared" si="185"/>
        <v>#N/A</v>
      </c>
      <c r="MZ53" t="e">
        <f t="shared" si="186"/>
        <v>#N/A</v>
      </c>
      <c r="NA53" t="e">
        <f t="shared" si="187"/>
        <v>#N/A</v>
      </c>
      <c r="NB53" t="e">
        <f t="shared" si="188"/>
        <v>#N/A</v>
      </c>
      <c r="NC53" t="e">
        <f t="shared" si="189"/>
        <v>#N/A</v>
      </c>
      <c r="ND53" t="e">
        <f t="shared" si="190"/>
        <v>#N/A</v>
      </c>
      <c r="NE53" t="e">
        <f t="shared" si="191"/>
        <v>#N/A</v>
      </c>
      <c r="NF53" t="e">
        <f t="shared" si="192"/>
        <v>#N/A</v>
      </c>
      <c r="NG53" t="e">
        <f t="shared" si="193"/>
        <v>#N/A</v>
      </c>
      <c r="NH53" t="e">
        <f t="shared" si="194"/>
        <v>#N/A</v>
      </c>
      <c r="NI53" t="e">
        <f t="shared" si="195"/>
        <v>#N/A</v>
      </c>
      <c r="NJ53" t="e">
        <f t="shared" si="196"/>
        <v>#N/A</v>
      </c>
      <c r="NK53" t="e">
        <f t="shared" si="197"/>
        <v>#N/A</v>
      </c>
      <c r="NL53" t="e">
        <f t="shared" si="198"/>
        <v>#N/A</v>
      </c>
      <c r="NM53" t="e">
        <f t="shared" si="199"/>
        <v>#N/A</v>
      </c>
      <c r="NN53" t="e">
        <f t="shared" si="200"/>
        <v>#N/A</v>
      </c>
      <c r="NO53" t="e">
        <f t="shared" si="201"/>
        <v>#N/A</v>
      </c>
      <c r="NP53" t="e">
        <f t="shared" si="202"/>
        <v>#N/A</v>
      </c>
      <c r="NQ53" t="e">
        <f t="shared" si="203"/>
        <v>#N/A</v>
      </c>
      <c r="NR53" t="e">
        <f t="shared" si="204"/>
        <v>#N/A</v>
      </c>
      <c r="NS53" t="e">
        <f t="shared" si="205"/>
        <v>#N/A</v>
      </c>
      <c r="NT53" t="e">
        <f t="shared" si="206"/>
        <v>#N/A</v>
      </c>
      <c r="NU53" t="e">
        <f t="shared" si="207"/>
        <v>#N/A</v>
      </c>
      <c r="NV53" t="e">
        <f t="shared" si="208"/>
        <v>#N/A</v>
      </c>
      <c r="NW53" t="e">
        <f t="shared" si="209"/>
        <v>#N/A</v>
      </c>
      <c r="NX53" t="e">
        <f t="shared" si="210"/>
        <v>#N/A</v>
      </c>
      <c r="NY53" t="e">
        <f t="shared" si="211"/>
        <v>#N/A</v>
      </c>
      <c r="NZ53" t="e">
        <f t="shared" si="212"/>
        <v>#N/A</v>
      </c>
      <c r="OA53" t="e">
        <f t="shared" si="213"/>
        <v>#N/A</v>
      </c>
      <c r="OB53" t="e">
        <f t="shared" si="214"/>
        <v>#N/A</v>
      </c>
      <c r="OC53" t="e">
        <f t="shared" si="215"/>
        <v>#N/A</v>
      </c>
      <c r="OD53" t="e">
        <f t="shared" si="216"/>
        <v>#N/A</v>
      </c>
      <c r="OE53" t="e">
        <f t="shared" si="217"/>
        <v>#N/A</v>
      </c>
      <c r="OF53" t="e">
        <f t="shared" si="218"/>
        <v>#N/A</v>
      </c>
      <c r="OG53" t="e">
        <f t="shared" si="219"/>
        <v>#N/A</v>
      </c>
      <c r="OH53" t="e">
        <f t="shared" si="220"/>
        <v>#N/A</v>
      </c>
      <c r="OI53" t="e">
        <f t="shared" si="221"/>
        <v>#N/A</v>
      </c>
      <c r="OJ53" t="e">
        <f t="shared" si="222"/>
        <v>#N/A</v>
      </c>
      <c r="OK53" t="e">
        <f t="shared" si="223"/>
        <v>#N/A</v>
      </c>
      <c r="OL53" t="e">
        <f t="shared" si="224"/>
        <v>#N/A</v>
      </c>
      <c r="OM53" t="e">
        <f t="shared" si="225"/>
        <v>#N/A</v>
      </c>
      <c r="ON53" t="e">
        <f t="shared" si="226"/>
        <v>#N/A</v>
      </c>
      <c r="OO53" t="e">
        <f t="shared" si="227"/>
        <v>#N/A</v>
      </c>
      <c r="OP53" t="e">
        <f t="shared" si="228"/>
        <v>#N/A</v>
      </c>
      <c r="OQ53" t="e">
        <f t="shared" si="229"/>
        <v>#N/A</v>
      </c>
      <c r="OR53" t="e">
        <f t="shared" si="230"/>
        <v>#N/A</v>
      </c>
      <c r="OS53" t="e">
        <f t="shared" si="231"/>
        <v>#N/A</v>
      </c>
      <c r="OT53" t="e">
        <f t="shared" si="232"/>
        <v>#N/A</v>
      </c>
      <c r="OU53" t="e">
        <f t="shared" si="233"/>
        <v>#N/A</v>
      </c>
      <c r="OV53" t="e">
        <f t="shared" si="234"/>
        <v>#N/A</v>
      </c>
      <c r="OW53" t="e">
        <f t="shared" si="235"/>
        <v>#N/A</v>
      </c>
      <c r="OX53" t="e">
        <f t="shared" si="236"/>
        <v>#N/A</v>
      </c>
      <c r="OY53" t="e">
        <f t="shared" si="237"/>
        <v>#N/A</v>
      </c>
      <c r="OZ53" t="e">
        <f t="shared" si="238"/>
        <v>#N/A</v>
      </c>
      <c r="PA53" t="e">
        <f t="shared" si="239"/>
        <v>#N/A</v>
      </c>
      <c r="PB53" t="e">
        <f t="shared" si="240"/>
        <v>#N/A</v>
      </c>
      <c r="PC53" t="e">
        <f t="shared" si="243"/>
        <v>#N/A</v>
      </c>
      <c r="PD53" t="e">
        <f t="shared" si="241"/>
        <v>#N/A</v>
      </c>
      <c r="PE53" t="e">
        <f t="shared" si="241"/>
        <v>#N/A</v>
      </c>
      <c r="PF53" t="e">
        <f t="shared" si="241"/>
        <v>#N/A</v>
      </c>
      <c r="PG53" t="e">
        <f t="shared" si="241"/>
        <v>#N/A</v>
      </c>
      <c r="PH53" t="e">
        <f t="shared" si="241"/>
        <v>#N/A</v>
      </c>
      <c r="PI53" t="e">
        <f t="shared" si="241"/>
        <v>#N/A</v>
      </c>
      <c r="PJ53" t="e">
        <f t="shared" si="241"/>
        <v>#N/A</v>
      </c>
      <c r="PK53" t="e">
        <f t="shared" si="241"/>
        <v>#N/A</v>
      </c>
      <c r="PL53" t="e">
        <f t="shared" si="241"/>
        <v>#N/A</v>
      </c>
      <c r="PM53" t="e">
        <f t="shared" si="241"/>
        <v>#N/A</v>
      </c>
      <c r="PN53" t="e">
        <f t="shared" si="241"/>
        <v>#N/A</v>
      </c>
      <c r="PO53" t="e">
        <f t="shared" si="241"/>
        <v>#N/A</v>
      </c>
      <c r="PP53" t="e">
        <f t="shared" si="241"/>
        <v>#N/A</v>
      </c>
      <c r="PQ53" t="e">
        <f t="shared" si="241"/>
        <v>#N/A</v>
      </c>
      <c r="PR53" t="e">
        <f t="shared" si="241"/>
        <v>#N/A</v>
      </c>
      <c r="PS53" t="e">
        <f t="shared" si="241"/>
        <v>#N/A</v>
      </c>
      <c r="PT53" t="e">
        <f t="shared" si="241"/>
        <v>#N/A</v>
      </c>
      <c r="PU53" t="e">
        <f t="shared" si="241"/>
        <v>#N/A</v>
      </c>
      <c r="PV53" t="e">
        <f t="shared" si="241"/>
        <v>#N/A</v>
      </c>
      <c r="PW53" t="e">
        <f t="shared" si="241"/>
        <v>#N/A</v>
      </c>
      <c r="PX53" t="e">
        <f t="shared" si="241"/>
        <v>#N/A</v>
      </c>
      <c r="PY53" t="e">
        <f t="shared" si="241"/>
        <v>#N/A</v>
      </c>
      <c r="PZ53" t="e">
        <f t="shared" si="241"/>
        <v>#N/A</v>
      </c>
      <c r="QA53" t="e">
        <f t="shared" si="241"/>
        <v>#N/A</v>
      </c>
      <c r="QB53" t="e">
        <f t="shared" si="241"/>
        <v>#N/A</v>
      </c>
      <c r="QC53" t="e">
        <f t="shared" si="241"/>
        <v>#N/A</v>
      </c>
      <c r="QD53" t="e">
        <f t="shared" si="241"/>
        <v>#N/A</v>
      </c>
      <c r="QE53" t="e">
        <f t="shared" si="241"/>
        <v>#N/A</v>
      </c>
      <c r="QF53" t="e">
        <f t="shared" si="241"/>
        <v>#N/A</v>
      </c>
      <c r="QG53" t="e">
        <f t="shared" si="241"/>
        <v>#N/A</v>
      </c>
      <c r="QH53" t="e">
        <f t="shared" si="241"/>
        <v>#N/A</v>
      </c>
      <c r="QI53" t="e">
        <f t="shared" si="241"/>
        <v>#N/A</v>
      </c>
      <c r="QJ53" t="e">
        <f t="shared" si="241"/>
        <v>#N/A</v>
      </c>
      <c r="QK53" t="e">
        <f t="shared" si="241"/>
        <v>#N/A</v>
      </c>
      <c r="QL53" t="e">
        <f t="shared" si="241"/>
        <v>#N/A</v>
      </c>
      <c r="QM53" t="e">
        <f t="shared" si="241"/>
        <v>#N/A</v>
      </c>
      <c r="QN53" t="e">
        <f t="shared" si="241"/>
        <v>#N/A</v>
      </c>
      <c r="QO53" t="e">
        <f t="shared" si="241"/>
        <v>#N/A</v>
      </c>
      <c r="QP53" t="e">
        <f t="shared" si="241"/>
        <v>#N/A</v>
      </c>
      <c r="QQ53" t="e">
        <f t="shared" si="241"/>
        <v>#N/A</v>
      </c>
      <c r="QR53" t="e">
        <f t="shared" si="241"/>
        <v>#N/A</v>
      </c>
      <c r="QS53" t="e">
        <f t="shared" si="241"/>
        <v>#N/A</v>
      </c>
      <c r="QT53" t="e">
        <f t="shared" si="241"/>
        <v>#N/A</v>
      </c>
      <c r="QU53" t="e">
        <f t="shared" si="241"/>
        <v>#N/A</v>
      </c>
      <c r="QV53" t="e">
        <f t="shared" si="241"/>
        <v>#N/A</v>
      </c>
      <c r="QW53" t="e">
        <f t="shared" si="241"/>
        <v>#N/A</v>
      </c>
      <c r="QX53" t="e">
        <f t="shared" si="241"/>
        <v>#N/A</v>
      </c>
      <c r="QY53" t="e">
        <f t="shared" si="241"/>
        <v>#N/A</v>
      </c>
      <c r="QZ53" t="e">
        <f t="shared" si="241"/>
        <v>#N/A</v>
      </c>
      <c r="RA53" t="e">
        <f t="shared" si="241"/>
        <v>#N/A</v>
      </c>
      <c r="RB53" t="e">
        <f t="shared" si="241"/>
        <v>#N/A</v>
      </c>
      <c r="RC53" t="e">
        <f t="shared" si="241"/>
        <v>#N/A</v>
      </c>
      <c r="RD53" t="e">
        <f t="shared" si="241"/>
        <v>#N/A</v>
      </c>
      <c r="RE53" t="e">
        <f t="shared" si="241"/>
        <v>#N/A</v>
      </c>
      <c r="RF53" t="e">
        <f t="shared" si="241"/>
        <v>#N/A</v>
      </c>
      <c r="RG53" t="e">
        <f t="shared" si="241"/>
        <v>#N/A</v>
      </c>
      <c r="RH53" t="e">
        <f t="shared" si="241"/>
        <v>#N/A</v>
      </c>
      <c r="RI53" t="e">
        <f t="shared" si="241"/>
        <v>#N/A</v>
      </c>
      <c r="RJ53" t="e">
        <f t="shared" si="241"/>
        <v>#N/A</v>
      </c>
      <c r="RK53" t="e">
        <f t="shared" si="241"/>
        <v>#N/A</v>
      </c>
      <c r="RL53" t="e">
        <f t="shared" si="241"/>
        <v>#N/A</v>
      </c>
      <c r="RM53" t="e">
        <f t="shared" si="241"/>
        <v>#N/A</v>
      </c>
      <c r="RN53" t="e">
        <f t="shared" si="241"/>
        <v>#N/A</v>
      </c>
      <c r="RO53" t="e">
        <f t="shared" ref="RO53:RO58" si="244">IF(ISERROR(AVERAGE(RL50:RR50)),NA(),AVERAGE(RL50:RR50))</f>
        <v>#N/A</v>
      </c>
      <c r="RP53" t="e">
        <f t="shared" si="242"/>
        <v>#N/A</v>
      </c>
      <c r="RQ53" t="e">
        <f t="shared" si="242"/>
        <v>#N/A</v>
      </c>
      <c r="RR53" t="e">
        <f t="shared" si="242"/>
        <v>#N/A</v>
      </c>
      <c r="RS53" t="e">
        <f t="shared" si="242"/>
        <v>#N/A</v>
      </c>
      <c r="RT53" t="e">
        <f t="shared" si="242"/>
        <v>#N/A</v>
      </c>
      <c r="RU53" t="e">
        <f t="shared" si="242"/>
        <v>#N/A</v>
      </c>
      <c r="RV53" t="e">
        <f t="shared" si="242"/>
        <v>#N/A</v>
      </c>
      <c r="RW53" t="e">
        <f t="shared" si="242"/>
        <v>#N/A</v>
      </c>
      <c r="RX53" t="e">
        <f t="shared" si="242"/>
        <v>#N/A</v>
      </c>
      <c r="RY53" t="e">
        <f t="shared" si="242"/>
        <v>#N/A</v>
      </c>
      <c r="RZ53" t="e">
        <f t="shared" si="242"/>
        <v>#N/A</v>
      </c>
      <c r="SA53" t="e">
        <f t="shared" si="242"/>
        <v>#N/A</v>
      </c>
      <c r="SB53" t="e">
        <f t="shared" si="242"/>
        <v>#N/A</v>
      </c>
      <c r="SC53" t="e">
        <f t="shared" si="242"/>
        <v>#N/A</v>
      </c>
      <c r="SD53" t="e">
        <f t="shared" si="242"/>
        <v>#N/A</v>
      </c>
      <c r="SE53" t="e">
        <f t="shared" si="242"/>
        <v>#N/A</v>
      </c>
      <c r="SF53" t="e">
        <f t="shared" si="242"/>
        <v>#N/A</v>
      </c>
      <c r="SG53" t="e">
        <f t="shared" si="242"/>
        <v>#N/A</v>
      </c>
      <c r="SH53" t="e">
        <f t="shared" si="242"/>
        <v>#N/A</v>
      </c>
      <c r="SI53" t="e">
        <f t="shared" si="242"/>
        <v>#N/A</v>
      </c>
      <c r="SJ53" t="e">
        <f t="shared" si="242"/>
        <v>#N/A</v>
      </c>
      <c r="SK53" t="e">
        <f t="shared" si="242"/>
        <v>#N/A</v>
      </c>
      <c r="SL53" t="e">
        <f t="shared" si="242"/>
        <v>#N/A</v>
      </c>
      <c r="SM53" t="e">
        <f t="shared" si="242"/>
        <v>#N/A</v>
      </c>
      <c r="SN53" t="e">
        <f t="shared" si="242"/>
        <v>#N/A</v>
      </c>
      <c r="SO53" t="e">
        <f t="shared" si="242"/>
        <v>#N/A</v>
      </c>
      <c r="SP53" t="e">
        <f t="shared" si="242"/>
        <v>#N/A</v>
      </c>
      <c r="SQ53" t="e">
        <f t="shared" si="242"/>
        <v>#N/A</v>
      </c>
      <c r="SR53" t="e">
        <f t="shared" si="242"/>
        <v>#N/A</v>
      </c>
      <c r="SS53" t="e">
        <f t="shared" si="242"/>
        <v>#N/A</v>
      </c>
      <c r="ST53" t="e">
        <f t="shared" si="242"/>
        <v>#N/A</v>
      </c>
      <c r="SU53" t="e">
        <f t="shared" si="242"/>
        <v>#N/A</v>
      </c>
      <c r="SV53" t="e">
        <f t="shared" si="242"/>
        <v>#N/A</v>
      </c>
      <c r="SW53" t="e">
        <f t="shared" si="242"/>
        <v>#N/A</v>
      </c>
      <c r="SX53" t="e">
        <f t="shared" si="242"/>
        <v>#N/A</v>
      </c>
      <c r="SY53" t="e">
        <f t="shared" si="242"/>
        <v>#N/A</v>
      </c>
    </row>
    <row r="54" spans="19:522" x14ac:dyDescent="0.15">
      <c r="S54">
        <f>IF($S12&gt;=グラフ!$J$43,0,IF($HK12&lt;=グラフ!$J$43,100,INDEX(csv!$L12:$HD12,1,MATCH(グラフ!$J$43,$S12:$HK12,1))))</f>
        <v>0</v>
      </c>
      <c r="T54">
        <f>IF($S25&gt;=グラフ!$R$43,0,IF($HK25&lt;=グラフ!$R$43,100,INDEX(csv!$L25:$HD25,1,MATCH(グラフ!$R$43,$S25:$HK25,1))))</f>
        <v>0</v>
      </c>
      <c r="U54">
        <f>IF($S38&gt;=グラフ!$B$43,0,IF($HK38&lt;=グラフ!$B$43,100,INDEX(csv!$L38:$HD38,1,MATCH(グラフ!$B$43,$S38:$HK38,1))))</f>
        <v>0</v>
      </c>
      <c r="V54">
        <f t="shared" si="11"/>
        <v>100</v>
      </c>
      <c r="W54">
        <f t="shared" si="12"/>
        <v>100</v>
      </c>
      <c r="X54">
        <f t="shared" si="13"/>
        <v>100</v>
      </c>
      <c r="HQ54" t="e">
        <f t="shared" si="47"/>
        <v>#N/A</v>
      </c>
      <c r="HR54" t="e">
        <f t="shared" si="48"/>
        <v>#N/A</v>
      </c>
      <c r="HS54" t="e">
        <f t="shared" si="49"/>
        <v>#N/A</v>
      </c>
      <c r="HT54" t="e">
        <f t="shared" si="50"/>
        <v>#N/A</v>
      </c>
      <c r="HU54" t="e">
        <f t="shared" si="51"/>
        <v>#N/A</v>
      </c>
      <c r="HV54" t="e">
        <f t="shared" si="52"/>
        <v>#N/A</v>
      </c>
      <c r="HW54" t="e">
        <f t="shared" si="53"/>
        <v>#N/A</v>
      </c>
      <c r="HX54" t="e">
        <f t="shared" si="54"/>
        <v>#N/A</v>
      </c>
      <c r="HY54" t="e">
        <f t="shared" si="55"/>
        <v>#N/A</v>
      </c>
      <c r="HZ54" t="e">
        <f t="shared" si="56"/>
        <v>#N/A</v>
      </c>
      <c r="IA54" t="e">
        <f t="shared" si="57"/>
        <v>#N/A</v>
      </c>
      <c r="IB54" t="e">
        <f t="shared" si="58"/>
        <v>#N/A</v>
      </c>
      <c r="IC54" t="e">
        <f t="shared" si="59"/>
        <v>#N/A</v>
      </c>
      <c r="ID54" t="e">
        <f t="shared" si="60"/>
        <v>#N/A</v>
      </c>
      <c r="IE54" t="e">
        <f t="shared" si="61"/>
        <v>#N/A</v>
      </c>
      <c r="IF54" t="e">
        <f t="shared" si="62"/>
        <v>#N/A</v>
      </c>
      <c r="IG54" t="e">
        <f t="shared" si="63"/>
        <v>#N/A</v>
      </c>
      <c r="IH54" t="e">
        <f t="shared" si="64"/>
        <v>#N/A</v>
      </c>
      <c r="II54" t="e">
        <f t="shared" si="65"/>
        <v>#N/A</v>
      </c>
      <c r="IJ54" t="e">
        <f t="shared" si="66"/>
        <v>#N/A</v>
      </c>
      <c r="IK54" t="e">
        <f t="shared" si="67"/>
        <v>#N/A</v>
      </c>
      <c r="IL54" t="e">
        <f t="shared" si="68"/>
        <v>#N/A</v>
      </c>
      <c r="IM54" t="e">
        <f t="shared" si="69"/>
        <v>#N/A</v>
      </c>
      <c r="IN54" t="e">
        <f t="shared" si="70"/>
        <v>#N/A</v>
      </c>
      <c r="IO54" t="e">
        <f t="shared" si="71"/>
        <v>#N/A</v>
      </c>
      <c r="IP54" t="e">
        <f t="shared" si="72"/>
        <v>#N/A</v>
      </c>
      <c r="IQ54" t="e">
        <f t="shared" si="73"/>
        <v>#N/A</v>
      </c>
      <c r="IR54" t="e">
        <f t="shared" si="74"/>
        <v>#N/A</v>
      </c>
      <c r="IS54" t="e">
        <f t="shared" si="75"/>
        <v>#N/A</v>
      </c>
      <c r="IT54" t="e">
        <f t="shared" si="76"/>
        <v>#N/A</v>
      </c>
      <c r="IU54" t="e">
        <f t="shared" si="77"/>
        <v>#N/A</v>
      </c>
      <c r="IV54" t="e">
        <f t="shared" si="78"/>
        <v>#N/A</v>
      </c>
      <c r="IW54" t="e">
        <f t="shared" si="79"/>
        <v>#N/A</v>
      </c>
      <c r="IX54" t="e">
        <f t="shared" si="80"/>
        <v>#N/A</v>
      </c>
      <c r="IY54" t="e">
        <f t="shared" si="81"/>
        <v>#N/A</v>
      </c>
      <c r="IZ54" t="e">
        <f t="shared" si="82"/>
        <v>#N/A</v>
      </c>
      <c r="JA54" t="e">
        <f t="shared" si="83"/>
        <v>#N/A</v>
      </c>
      <c r="JB54" t="e">
        <f t="shared" si="84"/>
        <v>#N/A</v>
      </c>
      <c r="JC54" t="e">
        <f t="shared" si="85"/>
        <v>#N/A</v>
      </c>
      <c r="JD54" t="e">
        <f t="shared" si="86"/>
        <v>#N/A</v>
      </c>
      <c r="JE54" t="e">
        <f t="shared" si="87"/>
        <v>#N/A</v>
      </c>
      <c r="JF54" t="e">
        <f t="shared" si="88"/>
        <v>#N/A</v>
      </c>
      <c r="JG54" t="e">
        <f t="shared" si="89"/>
        <v>#N/A</v>
      </c>
      <c r="JH54" t="e">
        <f t="shared" si="90"/>
        <v>#N/A</v>
      </c>
      <c r="JI54" t="e">
        <f t="shared" si="91"/>
        <v>#N/A</v>
      </c>
      <c r="JJ54" t="e">
        <f t="shared" si="92"/>
        <v>#N/A</v>
      </c>
      <c r="JK54" t="e">
        <f t="shared" si="93"/>
        <v>#N/A</v>
      </c>
      <c r="JL54" t="e">
        <f t="shared" si="94"/>
        <v>#N/A</v>
      </c>
      <c r="JM54" t="e">
        <f t="shared" si="95"/>
        <v>#N/A</v>
      </c>
      <c r="JN54" t="e">
        <f t="shared" si="96"/>
        <v>#N/A</v>
      </c>
      <c r="JO54" t="e">
        <f t="shared" si="97"/>
        <v>#N/A</v>
      </c>
      <c r="JP54" t="e">
        <f t="shared" si="98"/>
        <v>#N/A</v>
      </c>
      <c r="JQ54" t="e">
        <f t="shared" si="99"/>
        <v>#N/A</v>
      </c>
      <c r="JR54" t="e">
        <f t="shared" si="100"/>
        <v>#N/A</v>
      </c>
      <c r="JS54" t="e">
        <f t="shared" si="101"/>
        <v>#N/A</v>
      </c>
      <c r="JT54" t="e">
        <f t="shared" si="102"/>
        <v>#N/A</v>
      </c>
      <c r="JU54" t="e">
        <f t="shared" si="103"/>
        <v>#N/A</v>
      </c>
      <c r="JV54" t="e">
        <f t="shared" si="104"/>
        <v>#N/A</v>
      </c>
      <c r="JW54" t="e">
        <f t="shared" si="105"/>
        <v>#N/A</v>
      </c>
      <c r="JX54" t="e">
        <f t="shared" si="106"/>
        <v>#N/A</v>
      </c>
      <c r="JY54" t="e">
        <f t="shared" si="107"/>
        <v>#N/A</v>
      </c>
      <c r="JZ54" t="e">
        <f t="shared" si="108"/>
        <v>#N/A</v>
      </c>
      <c r="KA54" t="e">
        <f t="shared" si="109"/>
        <v>#N/A</v>
      </c>
      <c r="KB54" t="e">
        <f t="shared" si="110"/>
        <v>#N/A</v>
      </c>
      <c r="KC54" t="e">
        <f t="shared" si="111"/>
        <v>#N/A</v>
      </c>
      <c r="KD54" t="e">
        <f t="shared" si="112"/>
        <v>#N/A</v>
      </c>
      <c r="KE54" t="e">
        <f t="shared" si="113"/>
        <v>#N/A</v>
      </c>
      <c r="KF54" t="e">
        <f t="shared" si="114"/>
        <v>#N/A</v>
      </c>
      <c r="KG54" t="e">
        <f t="shared" si="115"/>
        <v>#N/A</v>
      </c>
      <c r="KH54" t="e">
        <f t="shared" si="116"/>
        <v>#N/A</v>
      </c>
      <c r="KI54" t="e">
        <f t="shared" si="117"/>
        <v>#N/A</v>
      </c>
      <c r="KJ54" t="e">
        <f t="shared" si="118"/>
        <v>#N/A</v>
      </c>
      <c r="KK54" t="e">
        <f t="shared" si="119"/>
        <v>#N/A</v>
      </c>
      <c r="KL54" t="e">
        <f t="shared" si="120"/>
        <v>#N/A</v>
      </c>
      <c r="KM54" t="e">
        <f t="shared" si="121"/>
        <v>#N/A</v>
      </c>
      <c r="KN54" t="e">
        <f t="shared" si="122"/>
        <v>#N/A</v>
      </c>
      <c r="KO54" t="e">
        <f t="shared" si="123"/>
        <v>#N/A</v>
      </c>
      <c r="KP54" t="e">
        <f t="shared" si="124"/>
        <v>#N/A</v>
      </c>
      <c r="KQ54" t="e">
        <f t="shared" si="125"/>
        <v>#N/A</v>
      </c>
      <c r="KR54" t="e">
        <f t="shared" si="126"/>
        <v>#N/A</v>
      </c>
      <c r="KS54" t="e">
        <f t="shared" si="127"/>
        <v>#N/A</v>
      </c>
      <c r="KT54" t="e">
        <f t="shared" si="128"/>
        <v>#N/A</v>
      </c>
      <c r="KU54" t="e">
        <f t="shared" si="129"/>
        <v>#N/A</v>
      </c>
      <c r="KV54" t="e">
        <f t="shared" si="130"/>
        <v>#N/A</v>
      </c>
      <c r="KW54" t="e">
        <f t="shared" si="131"/>
        <v>#N/A</v>
      </c>
      <c r="KX54" t="e">
        <f t="shared" si="132"/>
        <v>#N/A</v>
      </c>
      <c r="KY54" t="e">
        <f t="shared" si="133"/>
        <v>#N/A</v>
      </c>
      <c r="KZ54" t="e">
        <f t="shared" si="134"/>
        <v>#N/A</v>
      </c>
      <c r="LA54" t="e">
        <f t="shared" si="135"/>
        <v>#N/A</v>
      </c>
      <c r="LB54" t="e">
        <f t="shared" si="136"/>
        <v>#N/A</v>
      </c>
      <c r="LC54" t="e">
        <f t="shared" si="137"/>
        <v>#N/A</v>
      </c>
      <c r="LD54" t="e">
        <f t="shared" si="138"/>
        <v>#N/A</v>
      </c>
      <c r="LE54" t="e">
        <f t="shared" si="139"/>
        <v>#N/A</v>
      </c>
      <c r="LF54" t="e">
        <f t="shared" si="140"/>
        <v>#N/A</v>
      </c>
      <c r="LG54" t="e">
        <f t="shared" si="141"/>
        <v>#N/A</v>
      </c>
      <c r="LH54" t="e">
        <f t="shared" si="142"/>
        <v>#N/A</v>
      </c>
      <c r="LI54" t="e">
        <f t="shared" si="143"/>
        <v>#N/A</v>
      </c>
      <c r="LJ54" t="e">
        <f t="shared" si="144"/>
        <v>#N/A</v>
      </c>
      <c r="LK54" t="e">
        <f t="shared" si="145"/>
        <v>#N/A</v>
      </c>
      <c r="LL54" t="e">
        <f t="shared" si="146"/>
        <v>#N/A</v>
      </c>
      <c r="LM54" t="e">
        <f t="shared" si="147"/>
        <v>#N/A</v>
      </c>
      <c r="LN54" t="e">
        <f t="shared" si="148"/>
        <v>#N/A</v>
      </c>
      <c r="LO54" t="e">
        <f t="shared" si="149"/>
        <v>#N/A</v>
      </c>
      <c r="LP54" t="e">
        <f t="shared" si="150"/>
        <v>#N/A</v>
      </c>
      <c r="LQ54" t="e">
        <f t="shared" si="151"/>
        <v>#N/A</v>
      </c>
      <c r="LR54" t="e">
        <f t="shared" si="152"/>
        <v>#N/A</v>
      </c>
      <c r="LS54" t="e">
        <f t="shared" si="153"/>
        <v>#N/A</v>
      </c>
      <c r="LT54" t="e">
        <f t="shared" si="154"/>
        <v>#N/A</v>
      </c>
      <c r="LU54" t="e">
        <f t="shared" si="155"/>
        <v>#N/A</v>
      </c>
      <c r="LV54" t="e">
        <f t="shared" si="156"/>
        <v>#N/A</v>
      </c>
      <c r="LW54" t="e">
        <f t="shared" si="157"/>
        <v>#N/A</v>
      </c>
      <c r="LX54" t="e">
        <f t="shared" si="158"/>
        <v>#N/A</v>
      </c>
      <c r="LY54" t="e">
        <f t="shared" si="159"/>
        <v>#N/A</v>
      </c>
      <c r="LZ54" t="e">
        <f t="shared" si="160"/>
        <v>#N/A</v>
      </c>
      <c r="MA54" t="e">
        <f t="shared" si="161"/>
        <v>#N/A</v>
      </c>
      <c r="MB54" t="e">
        <f t="shared" si="162"/>
        <v>#N/A</v>
      </c>
      <c r="MC54" t="e">
        <f t="shared" si="163"/>
        <v>#N/A</v>
      </c>
      <c r="MD54" t="e">
        <f t="shared" si="164"/>
        <v>#N/A</v>
      </c>
      <c r="ME54" t="e">
        <f t="shared" si="165"/>
        <v>#N/A</v>
      </c>
      <c r="MF54" t="e">
        <f t="shared" si="166"/>
        <v>#N/A</v>
      </c>
      <c r="MG54" t="e">
        <f t="shared" si="167"/>
        <v>#N/A</v>
      </c>
      <c r="MH54" t="e">
        <f t="shared" si="168"/>
        <v>#N/A</v>
      </c>
      <c r="MI54" t="e">
        <f t="shared" si="169"/>
        <v>#N/A</v>
      </c>
      <c r="MJ54" t="e">
        <f t="shared" si="170"/>
        <v>#N/A</v>
      </c>
      <c r="MK54" t="e">
        <f t="shared" si="171"/>
        <v>#N/A</v>
      </c>
      <c r="ML54" t="e">
        <f t="shared" si="172"/>
        <v>#N/A</v>
      </c>
      <c r="MM54" t="e">
        <f t="shared" si="173"/>
        <v>#N/A</v>
      </c>
      <c r="MN54" t="e">
        <f t="shared" si="174"/>
        <v>#N/A</v>
      </c>
      <c r="MO54" t="e">
        <f t="shared" si="175"/>
        <v>#N/A</v>
      </c>
      <c r="MP54" t="e">
        <f t="shared" si="176"/>
        <v>#N/A</v>
      </c>
      <c r="MQ54" t="e">
        <f t="shared" si="177"/>
        <v>#N/A</v>
      </c>
      <c r="MR54" t="e">
        <f t="shared" si="178"/>
        <v>#N/A</v>
      </c>
      <c r="MS54" t="e">
        <f t="shared" si="179"/>
        <v>#N/A</v>
      </c>
      <c r="MT54" t="e">
        <f t="shared" si="180"/>
        <v>#N/A</v>
      </c>
      <c r="MU54" t="e">
        <f t="shared" si="181"/>
        <v>#N/A</v>
      </c>
      <c r="MV54" t="e">
        <f t="shared" si="182"/>
        <v>#N/A</v>
      </c>
      <c r="MW54" t="e">
        <f t="shared" si="183"/>
        <v>#N/A</v>
      </c>
      <c r="MX54" t="e">
        <f t="shared" si="184"/>
        <v>#N/A</v>
      </c>
      <c r="MY54" t="e">
        <f t="shared" si="185"/>
        <v>#N/A</v>
      </c>
      <c r="MZ54" t="e">
        <f t="shared" si="186"/>
        <v>#N/A</v>
      </c>
      <c r="NA54" t="e">
        <f t="shared" si="187"/>
        <v>#N/A</v>
      </c>
      <c r="NB54" t="e">
        <f t="shared" si="188"/>
        <v>#N/A</v>
      </c>
      <c r="NC54" t="e">
        <f t="shared" si="189"/>
        <v>#N/A</v>
      </c>
      <c r="ND54" t="e">
        <f t="shared" si="190"/>
        <v>#N/A</v>
      </c>
      <c r="NE54" t="e">
        <f t="shared" si="191"/>
        <v>#N/A</v>
      </c>
      <c r="NF54" t="e">
        <f t="shared" si="192"/>
        <v>#N/A</v>
      </c>
      <c r="NG54" t="e">
        <f t="shared" si="193"/>
        <v>#N/A</v>
      </c>
      <c r="NH54" t="e">
        <f t="shared" si="194"/>
        <v>#N/A</v>
      </c>
      <c r="NI54" t="e">
        <f t="shared" si="195"/>
        <v>#N/A</v>
      </c>
      <c r="NJ54" t="e">
        <f t="shared" si="196"/>
        <v>#N/A</v>
      </c>
      <c r="NK54" t="e">
        <f t="shared" si="197"/>
        <v>#N/A</v>
      </c>
      <c r="NL54" t="e">
        <f t="shared" si="198"/>
        <v>#N/A</v>
      </c>
      <c r="NM54" t="e">
        <f t="shared" si="199"/>
        <v>#N/A</v>
      </c>
      <c r="NN54" t="e">
        <f t="shared" si="200"/>
        <v>#N/A</v>
      </c>
      <c r="NO54" t="e">
        <f t="shared" si="201"/>
        <v>#N/A</v>
      </c>
      <c r="NP54" t="e">
        <f t="shared" si="202"/>
        <v>#N/A</v>
      </c>
      <c r="NQ54" t="e">
        <f t="shared" si="203"/>
        <v>#N/A</v>
      </c>
      <c r="NR54" t="e">
        <f t="shared" si="204"/>
        <v>#N/A</v>
      </c>
      <c r="NS54" t="e">
        <f t="shared" si="205"/>
        <v>#N/A</v>
      </c>
      <c r="NT54" t="e">
        <f t="shared" si="206"/>
        <v>#N/A</v>
      </c>
      <c r="NU54" t="e">
        <f t="shared" si="207"/>
        <v>#N/A</v>
      </c>
      <c r="NV54" t="e">
        <f t="shared" si="208"/>
        <v>#N/A</v>
      </c>
      <c r="NW54" t="e">
        <f t="shared" si="209"/>
        <v>#N/A</v>
      </c>
      <c r="NX54" t="e">
        <f t="shared" si="210"/>
        <v>#N/A</v>
      </c>
      <c r="NY54" t="e">
        <f t="shared" si="211"/>
        <v>#N/A</v>
      </c>
      <c r="NZ54" t="e">
        <f t="shared" si="212"/>
        <v>#N/A</v>
      </c>
      <c r="OA54" t="e">
        <f t="shared" si="213"/>
        <v>#N/A</v>
      </c>
      <c r="OB54" t="e">
        <f t="shared" si="214"/>
        <v>#N/A</v>
      </c>
      <c r="OC54" t="e">
        <f t="shared" si="215"/>
        <v>#N/A</v>
      </c>
      <c r="OD54" t="e">
        <f t="shared" si="216"/>
        <v>#N/A</v>
      </c>
      <c r="OE54" t="e">
        <f t="shared" si="217"/>
        <v>#N/A</v>
      </c>
      <c r="OF54" t="e">
        <f t="shared" si="218"/>
        <v>#N/A</v>
      </c>
      <c r="OG54" t="e">
        <f t="shared" si="219"/>
        <v>#N/A</v>
      </c>
      <c r="OH54" t="e">
        <f t="shared" si="220"/>
        <v>#N/A</v>
      </c>
      <c r="OI54" t="e">
        <f t="shared" si="221"/>
        <v>#N/A</v>
      </c>
      <c r="OJ54" t="e">
        <f t="shared" si="222"/>
        <v>#N/A</v>
      </c>
      <c r="OK54" t="e">
        <f t="shared" si="223"/>
        <v>#N/A</v>
      </c>
      <c r="OL54" t="e">
        <f t="shared" si="224"/>
        <v>#N/A</v>
      </c>
      <c r="OM54" t="e">
        <f t="shared" si="225"/>
        <v>#N/A</v>
      </c>
      <c r="ON54" t="e">
        <f t="shared" si="226"/>
        <v>#N/A</v>
      </c>
      <c r="OO54" t="e">
        <f t="shared" si="227"/>
        <v>#N/A</v>
      </c>
      <c r="OP54" t="e">
        <f t="shared" si="228"/>
        <v>#N/A</v>
      </c>
      <c r="OQ54" t="e">
        <f t="shared" si="229"/>
        <v>#N/A</v>
      </c>
      <c r="OR54" t="e">
        <f t="shared" si="230"/>
        <v>#N/A</v>
      </c>
      <c r="OS54" t="e">
        <f t="shared" si="231"/>
        <v>#N/A</v>
      </c>
      <c r="OT54" t="e">
        <f t="shared" si="232"/>
        <v>#N/A</v>
      </c>
      <c r="OU54" t="e">
        <f t="shared" si="233"/>
        <v>#N/A</v>
      </c>
      <c r="OV54" t="e">
        <f t="shared" si="234"/>
        <v>#N/A</v>
      </c>
      <c r="OW54" t="e">
        <f t="shared" si="235"/>
        <v>#N/A</v>
      </c>
      <c r="OX54" t="e">
        <f t="shared" si="236"/>
        <v>#N/A</v>
      </c>
      <c r="OY54" t="e">
        <f t="shared" si="237"/>
        <v>#N/A</v>
      </c>
      <c r="OZ54" t="e">
        <f t="shared" si="238"/>
        <v>#N/A</v>
      </c>
      <c r="PA54" t="e">
        <f t="shared" si="239"/>
        <v>#N/A</v>
      </c>
      <c r="PB54" t="e">
        <f t="shared" si="240"/>
        <v>#N/A</v>
      </c>
      <c r="PC54" t="e">
        <f t="shared" si="243"/>
        <v>#N/A</v>
      </c>
      <c r="PD54" t="e">
        <f t="shared" ref="PD54:PM58" si="245">IF(ISERROR(AVERAGE(PA51:PG51)),NA(),AVERAGE(PA51:PG51))</f>
        <v>#N/A</v>
      </c>
      <c r="PE54" t="e">
        <f t="shared" si="245"/>
        <v>#N/A</v>
      </c>
      <c r="PF54" t="e">
        <f t="shared" si="245"/>
        <v>#N/A</v>
      </c>
      <c r="PG54" t="e">
        <f t="shared" si="245"/>
        <v>#N/A</v>
      </c>
      <c r="PH54" t="e">
        <f t="shared" si="245"/>
        <v>#N/A</v>
      </c>
      <c r="PI54" t="e">
        <f t="shared" si="245"/>
        <v>#N/A</v>
      </c>
      <c r="PJ54" t="e">
        <f t="shared" si="245"/>
        <v>#N/A</v>
      </c>
      <c r="PK54" t="e">
        <f t="shared" si="245"/>
        <v>#N/A</v>
      </c>
      <c r="PL54" t="e">
        <f t="shared" si="245"/>
        <v>#N/A</v>
      </c>
      <c r="PM54" t="e">
        <f t="shared" si="245"/>
        <v>#N/A</v>
      </c>
      <c r="PN54" t="e">
        <f t="shared" ref="PN54:PW58" si="246">IF(ISERROR(AVERAGE(PK51:PQ51)),NA(),AVERAGE(PK51:PQ51))</f>
        <v>#N/A</v>
      </c>
      <c r="PO54" t="e">
        <f t="shared" si="246"/>
        <v>#N/A</v>
      </c>
      <c r="PP54" t="e">
        <f t="shared" si="246"/>
        <v>#N/A</v>
      </c>
      <c r="PQ54" t="e">
        <f t="shared" si="246"/>
        <v>#N/A</v>
      </c>
      <c r="PR54" t="e">
        <f t="shared" si="246"/>
        <v>#N/A</v>
      </c>
      <c r="PS54" t="e">
        <f t="shared" si="246"/>
        <v>#N/A</v>
      </c>
      <c r="PT54" t="e">
        <f t="shared" si="246"/>
        <v>#N/A</v>
      </c>
      <c r="PU54" t="e">
        <f t="shared" si="246"/>
        <v>#N/A</v>
      </c>
      <c r="PV54" t="e">
        <f t="shared" si="246"/>
        <v>#N/A</v>
      </c>
      <c r="PW54" t="e">
        <f t="shared" si="246"/>
        <v>#N/A</v>
      </c>
      <c r="PX54" t="e">
        <f t="shared" ref="PX54:QG58" si="247">IF(ISERROR(AVERAGE(PU51:QA51)),NA(),AVERAGE(PU51:QA51))</f>
        <v>#N/A</v>
      </c>
      <c r="PY54" t="e">
        <f t="shared" si="247"/>
        <v>#N/A</v>
      </c>
      <c r="PZ54" t="e">
        <f t="shared" si="247"/>
        <v>#N/A</v>
      </c>
      <c r="QA54" t="e">
        <f t="shared" si="247"/>
        <v>#N/A</v>
      </c>
      <c r="QB54" t="e">
        <f t="shared" si="247"/>
        <v>#N/A</v>
      </c>
      <c r="QC54" t="e">
        <f t="shared" si="247"/>
        <v>#N/A</v>
      </c>
      <c r="QD54" t="e">
        <f t="shared" si="247"/>
        <v>#N/A</v>
      </c>
      <c r="QE54" t="e">
        <f t="shared" si="247"/>
        <v>#N/A</v>
      </c>
      <c r="QF54" t="e">
        <f t="shared" si="247"/>
        <v>#N/A</v>
      </c>
      <c r="QG54" t="e">
        <f t="shared" si="247"/>
        <v>#N/A</v>
      </c>
      <c r="QH54" t="e">
        <f t="shared" ref="QH54:QQ58" si="248">IF(ISERROR(AVERAGE(QE51:QK51)),NA(),AVERAGE(QE51:QK51))</f>
        <v>#N/A</v>
      </c>
      <c r="QI54" t="e">
        <f t="shared" si="248"/>
        <v>#N/A</v>
      </c>
      <c r="QJ54" t="e">
        <f t="shared" si="248"/>
        <v>#N/A</v>
      </c>
      <c r="QK54" t="e">
        <f t="shared" si="248"/>
        <v>#N/A</v>
      </c>
      <c r="QL54" t="e">
        <f t="shared" si="248"/>
        <v>#N/A</v>
      </c>
      <c r="QM54" t="e">
        <f t="shared" si="248"/>
        <v>#N/A</v>
      </c>
      <c r="QN54" t="e">
        <f t="shared" si="248"/>
        <v>#N/A</v>
      </c>
      <c r="QO54" t="e">
        <f t="shared" si="248"/>
        <v>#N/A</v>
      </c>
      <c r="QP54" t="e">
        <f t="shared" si="248"/>
        <v>#N/A</v>
      </c>
      <c r="QQ54" t="e">
        <f t="shared" si="248"/>
        <v>#N/A</v>
      </c>
      <c r="QR54" t="e">
        <f t="shared" ref="QR54:RA58" si="249">IF(ISERROR(AVERAGE(QO51:QU51)),NA(),AVERAGE(QO51:QU51))</f>
        <v>#N/A</v>
      </c>
      <c r="QS54" t="e">
        <f t="shared" si="249"/>
        <v>#N/A</v>
      </c>
      <c r="QT54" t="e">
        <f t="shared" si="249"/>
        <v>#N/A</v>
      </c>
      <c r="QU54" t="e">
        <f t="shared" si="249"/>
        <v>#N/A</v>
      </c>
      <c r="QV54" t="e">
        <f t="shared" si="249"/>
        <v>#N/A</v>
      </c>
      <c r="QW54" t="e">
        <f t="shared" si="249"/>
        <v>#N/A</v>
      </c>
      <c r="QX54" t="e">
        <f t="shared" si="249"/>
        <v>#N/A</v>
      </c>
      <c r="QY54" t="e">
        <f t="shared" si="249"/>
        <v>#N/A</v>
      </c>
      <c r="QZ54" t="e">
        <f t="shared" si="249"/>
        <v>#N/A</v>
      </c>
      <c r="RA54" t="e">
        <f t="shared" si="249"/>
        <v>#N/A</v>
      </c>
      <c r="RB54" t="e">
        <f t="shared" ref="RB54:RK58" si="250">IF(ISERROR(AVERAGE(QY51:RE51)),NA(),AVERAGE(QY51:RE51))</f>
        <v>#N/A</v>
      </c>
      <c r="RC54" t="e">
        <f t="shared" si="250"/>
        <v>#N/A</v>
      </c>
      <c r="RD54" t="e">
        <f t="shared" si="250"/>
        <v>#N/A</v>
      </c>
      <c r="RE54" t="e">
        <f t="shared" si="250"/>
        <v>#N/A</v>
      </c>
      <c r="RF54" t="e">
        <f t="shared" si="250"/>
        <v>#N/A</v>
      </c>
      <c r="RG54" t="e">
        <f t="shared" si="250"/>
        <v>#N/A</v>
      </c>
      <c r="RH54" t="e">
        <f t="shared" si="250"/>
        <v>#N/A</v>
      </c>
      <c r="RI54" t="e">
        <f t="shared" si="250"/>
        <v>#N/A</v>
      </c>
      <c r="RJ54" t="e">
        <f t="shared" si="250"/>
        <v>#N/A</v>
      </c>
      <c r="RK54" t="e">
        <f t="shared" si="250"/>
        <v>#N/A</v>
      </c>
      <c r="RL54" t="e">
        <f t="shared" ref="RL54:RN58" si="251">IF(ISERROR(AVERAGE(RI51:RO51)),NA(),AVERAGE(RI51:RO51))</f>
        <v>#N/A</v>
      </c>
      <c r="RM54" t="e">
        <f t="shared" si="251"/>
        <v>#N/A</v>
      </c>
      <c r="RN54" t="e">
        <f t="shared" si="251"/>
        <v>#N/A</v>
      </c>
      <c r="RO54" t="e">
        <f t="shared" si="244"/>
        <v>#N/A</v>
      </c>
      <c r="RP54" t="e">
        <f t="shared" si="242"/>
        <v>#N/A</v>
      </c>
      <c r="RQ54" t="e">
        <f t="shared" si="242"/>
        <v>#N/A</v>
      </c>
      <c r="RR54" t="e">
        <f t="shared" si="242"/>
        <v>#N/A</v>
      </c>
      <c r="RS54" t="e">
        <f t="shared" si="242"/>
        <v>#N/A</v>
      </c>
      <c r="RT54" t="e">
        <f t="shared" si="242"/>
        <v>#N/A</v>
      </c>
      <c r="RU54" t="e">
        <f t="shared" si="242"/>
        <v>#N/A</v>
      </c>
      <c r="RV54" t="e">
        <f t="shared" si="242"/>
        <v>#N/A</v>
      </c>
      <c r="RW54" t="e">
        <f t="shared" si="242"/>
        <v>#N/A</v>
      </c>
      <c r="RX54" t="e">
        <f t="shared" si="242"/>
        <v>#N/A</v>
      </c>
      <c r="RY54" t="e">
        <f t="shared" si="242"/>
        <v>#N/A</v>
      </c>
      <c r="RZ54" t="e">
        <f t="shared" si="242"/>
        <v>#N/A</v>
      </c>
      <c r="SA54" t="e">
        <f t="shared" si="242"/>
        <v>#N/A</v>
      </c>
      <c r="SB54" t="e">
        <f t="shared" si="242"/>
        <v>#N/A</v>
      </c>
      <c r="SC54" t="e">
        <f t="shared" si="242"/>
        <v>#N/A</v>
      </c>
      <c r="SD54" t="e">
        <f t="shared" si="242"/>
        <v>#N/A</v>
      </c>
      <c r="SE54" t="e">
        <f t="shared" si="242"/>
        <v>#N/A</v>
      </c>
      <c r="SF54" t="e">
        <f t="shared" si="242"/>
        <v>#N/A</v>
      </c>
      <c r="SG54" t="e">
        <f t="shared" si="242"/>
        <v>#N/A</v>
      </c>
      <c r="SH54" t="e">
        <f t="shared" si="242"/>
        <v>#N/A</v>
      </c>
      <c r="SI54" t="e">
        <f t="shared" si="242"/>
        <v>#N/A</v>
      </c>
      <c r="SJ54" t="e">
        <f t="shared" si="242"/>
        <v>#N/A</v>
      </c>
      <c r="SK54" t="e">
        <f t="shared" si="242"/>
        <v>#N/A</v>
      </c>
      <c r="SL54" t="e">
        <f t="shared" si="242"/>
        <v>#N/A</v>
      </c>
      <c r="SM54" t="e">
        <f t="shared" si="242"/>
        <v>#N/A</v>
      </c>
      <c r="SN54" t="e">
        <f t="shared" si="242"/>
        <v>#N/A</v>
      </c>
      <c r="SO54" t="e">
        <f t="shared" si="242"/>
        <v>#N/A</v>
      </c>
      <c r="SP54" t="e">
        <f t="shared" si="242"/>
        <v>#N/A</v>
      </c>
      <c r="SQ54" t="e">
        <f t="shared" si="242"/>
        <v>#N/A</v>
      </c>
      <c r="SR54" t="e">
        <f t="shared" si="242"/>
        <v>#N/A</v>
      </c>
      <c r="SS54" t="e">
        <f t="shared" si="242"/>
        <v>#N/A</v>
      </c>
      <c r="ST54" t="e">
        <f t="shared" si="242"/>
        <v>#N/A</v>
      </c>
      <c r="SU54" t="e">
        <f t="shared" si="242"/>
        <v>#N/A</v>
      </c>
      <c r="SV54" t="e">
        <f t="shared" si="242"/>
        <v>#N/A</v>
      </c>
      <c r="SW54" t="e">
        <f t="shared" si="242"/>
        <v>#N/A</v>
      </c>
      <c r="SX54" t="e">
        <f t="shared" si="242"/>
        <v>#N/A</v>
      </c>
      <c r="SY54" t="e">
        <f t="shared" si="242"/>
        <v>#N/A</v>
      </c>
    </row>
    <row r="55" spans="19:522" x14ac:dyDescent="0.15">
      <c r="S55">
        <f>IF($S13&gt;=グラフ!$J$43,0,IF($HK13&lt;=グラフ!$J$43,100,INDEX(csv!$L13:$HD13,1,MATCH(グラフ!$J$43,$S13:$HK13,1))))</f>
        <v>0</v>
      </c>
      <c r="T55">
        <f>IF($S26&gt;=グラフ!$R$43,0,IF($HK26&lt;=グラフ!$R$43,100,INDEX(csv!$L26:$HD26,1,MATCH(グラフ!$R$43,$S26:$HK26,1))))</f>
        <v>0</v>
      </c>
      <c r="U55">
        <f>IF($S39&gt;=グラフ!$B$43,0,IF($HK39&lt;=グラフ!$B$43,100,INDEX(csv!$L39:$HD39,1,MATCH(グラフ!$B$43,$S39:$HK39,1))))</f>
        <v>0</v>
      </c>
      <c r="V55">
        <f t="shared" si="11"/>
        <v>100</v>
      </c>
      <c r="W55">
        <f t="shared" si="12"/>
        <v>100</v>
      </c>
      <c r="X55">
        <f t="shared" si="13"/>
        <v>100</v>
      </c>
      <c r="HQ55" t="e">
        <f t="shared" si="47"/>
        <v>#N/A</v>
      </c>
      <c r="HR55" t="e">
        <f t="shared" si="48"/>
        <v>#N/A</v>
      </c>
      <c r="HS55" t="e">
        <f t="shared" si="49"/>
        <v>#N/A</v>
      </c>
      <c r="HT55" t="e">
        <f t="shared" si="50"/>
        <v>#N/A</v>
      </c>
      <c r="HU55" t="e">
        <f t="shared" si="51"/>
        <v>#N/A</v>
      </c>
      <c r="HV55" t="e">
        <f t="shared" si="52"/>
        <v>#N/A</v>
      </c>
      <c r="HW55" t="e">
        <f t="shared" si="53"/>
        <v>#N/A</v>
      </c>
      <c r="HX55" t="e">
        <f t="shared" si="54"/>
        <v>#N/A</v>
      </c>
      <c r="HY55" t="e">
        <f t="shared" si="55"/>
        <v>#N/A</v>
      </c>
      <c r="HZ55" t="e">
        <f t="shared" si="56"/>
        <v>#N/A</v>
      </c>
      <c r="IA55" t="e">
        <f t="shared" si="57"/>
        <v>#N/A</v>
      </c>
      <c r="IB55" t="e">
        <f t="shared" si="58"/>
        <v>#N/A</v>
      </c>
      <c r="IC55" t="e">
        <f t="shared" si="59"/>
        <v>#N/A</v>
      </c>
      <c r="ID55" t="e">
        <f t="shared" si="60"/>
        <v>#N/A</v>
      </c>
      <c r="IE55" t="e">
        <f t="shared" si="61"/>
        <v>#N/A</v>
      </c>
      <c r="IF55" t="e">
        <f t="shared" si="62"/>
        <v>#N/A</v>
      </c>
      <c r="IG55" t="e">
        <f t="shared" si="63"/>
        <v>#N/A</v>
      </c>
      <c r="IH55" t="e">
        <f t="shared" si="64"/>
        <v>#N/A</v>
      </c>
      <c r="II55" t="e">
        <f t="shared" si="65"/>
        <v>#N/A</v>
      </c>
      <c r="IJ55" t="e">
        <f t="shared" si="66"/>
        <v>#N/A</v>
      </c>
      <c r="IK55" t="e">
        <f t="shared" si="67"/>
        <v>#N/A</v>
      </c>
      <c r="IL55" t="e">
        <f t="shared" si="68"/>
        <v>#N/A</v>
      </c>
      <c r="IM55" t="e">
        <f t="shared" si="69"/>
        <v>#N/A</v>
      </c>
      <c r="IN55" t="e">
        <f t="shared" si="70"/>
        <v>#N/A</v>
      </c>
      <c r="IO55" t="e">
        <f t="shared" si="71"/>
        <v>#N/A</v>
      </c>
      <c r="IP55" t="e">
        <f t="shared" si="72"/>
        <v>#N/A</v>
      </c>
      <c r="IQ55" t="e">
        <f t="shared" si="73"/>
        <v>#N/A</v>
      </c>
      <c r="IR55" t="e">
        <f t="shared" si="74"/>
        <v>#N/A</v>
      </c>
      <c r="IS55" t="e">
        <f t="shared" si="75"/>
        <v>#N/A</v>
      </c>
      <c r="IT55" t="e">
        <f t="shared" si="76"/>
        <v>#N/A</v>
      </c>
      <c r="IU55" t="e">
        <f t="shared" si="77"/>
        <v>#N/A</v>
      </c>
      <c r="IV55" t="e">
        <f t="shared" si="78"/>
        <v>#N/A</v>
      </c>
      <c r="IW55" t="e">
        <f t="shared" si="79"/>
        <v>#N/A</v>
      </c>
      <c r="IX55" t="e">
        <f t="shared" si="80"/>
        <v>#N/A</v>
      </c>
      <c r="IY55" t="e">
        <f t="shared" si="81"/>
        <v>#N/A</v>
      </c>
      <c r="IZ55" t="e">
        <f t="shared" si="82"/>
        <v>#N/A</v>
      </c>
      <c r="JA55" t="e">
        <f t="shared" si="83"/>
        <v>#N/A</v>
      </c>
      <c r="JB55" t="e">
        <f t="shared" si="84"/>
        <v>#N/A</v>
      </c>
      <c r="JC55" t="e">
        <f t="shared" si="85"/>
        <v>#N/A</v>
      </c>
      <c r="JD55" t="e">
        <f t="shared" si="86"/>
        <v>#N/A</v>
      </c>
      <c r="JE55" t="e">
        <f t="shared" si="87"/>
        <v>#N/A</v>
      </c>
      <c r="JF55" t="e">
        <f t="shared" si="88"/>
        <v>#N/A</v>
      </c>
      <c r="JG55" t="e">
        <f t="shared" si="89"/>
        <v>#N/A</v>
      </c>
      <c r="JH55" t="e">
        <f t="shared" si="90"/>
        <v>#N/A</v>
      </c>
      <c r="JI55" t="e">
        <f t="shared" si="91"/>
        <v>#N/A</v>
      </c>
      <c r="JJ55" t="e">
        <f t="shared" si="92"/>
        <v>#N/A</v>
      </c>
      <c r="JK55" t="e">
        <f t="shared" si="93"/>
        <v>#N/A</v>
      </c>
      <c r="JL55" t="e">
        <f t="shared" si="94"/>
        <v>#N/A</v>
      </c>
      <c r="JM55" t="e">
        <f t="shared" si="95"/>
        <v>#N/A</v>
      </c>
      <c r="JN55" t="e">
        <f t="shared" si="96"/>
        <v>#N/A</v>
      </c>
      <c r="JO55" t="e">
        <f t="shared" si="97"/>
        <v>#N/A</v>
      </c>
      <c r="JP55" t="e">
        <f t="shared" si="98"/>
        <v>#N/A</v>
      </c>
      <c r="JQ55" t="e">
        <f t="shared" si="99"/>
        <v>#N/A</v>
      </c>
      <c r="JR55" t="e">
        <f t="shared" si="100"/>
        <v>#N/A</v>
      </c>
      <c r="JS55" t="e">
        <f t="shared" si="101"/>
        <v>#N/A</v>
      </c>
      <c r="JT55" t="e">
        <f t="shared" si="102"/>
        <v>#N/A</v>
      </c>
      <c r="JU55" t="e">
        <f t="shared" si="103"/>
        <v>#N/A</v>
      </c>
      <c r="JV55" t="e">
        <f t="shared" si="104"/>
        <v>#N/A</v>
      </c>
      <c r="JW55" t="e">
        <f t="shared" si="105"/>
        <v>#N/A</v>
      </c>
      <c r="JX55" t="e">
        <f t="shared" si="106"/>
        <v>#N/A</v>
      </c>
      <c r="JY55" t="e">
        <f t="shared" si="107"/>
        <v>#N/A</v>
      </c>
      <c r="JZ55" t="e">
        <f t="shared" si="108"/>
        <v>#N/A</v>
      </c>
      <c r="KA55" t="e">
        <f t="shared" si="109"/>
        <v>#N/A</v>
      </c>
      <c r="KB55" t="e">
        <f t="shared" si="110"/>
        <v>#N/A</v>
      </c>
      <c r="KC55" t="e">
        <f t="shared" si="111"/>
        <v>#N/A</v>
      </c>
      <c r="KD55" t="e">
        <f t="shared" si="112"/>
        <v>#N/A</v>
      </c>
      <c r="KE55" t="e">
        <f t="shared" si="113"/>
        <v>#N/A</v>
      </c>
      <c r="KF55" t="e">
        <f t="shared" si="114"/>
        <v>#N/A</v>
      </c>
      <c r="KG55" t="e">
        <f t="shared" si="115"/>
        <v>#N/A</v>
      </c>
      <c r="KH55" t="e">
        <f t="shared" si="116"/>
        <v>#N/A</v>
      </c>
      <c r="KI55" t="e">
        <f t="shared" si="117"/>
        <v>#N/A</v>
      </c>
      <c r="KJ55" t="e">
        <f t="shared" si="118"/>
        <v>#N/A</v>
      </c>
      <c r="KK55" t="e">
        <f t="shared" si="119"/>
        <v>#N/A</v>
      </c>
      <c r="KL55" t="e">
        <f t="shared" si="120"/>
        <v>#N/A</v>
      </c>
      <c r="KM55" t="e">
        <f t="shared" si="121"/>
        <v>#N/A</v>
      </c>
      <c r="KN55" t="e">
        <f t="shared" si="122"/>
        <v>#N/A</v>
      </c>
      <c r="KO55" t="e">
        <f t="shared" si="123"/>
        <v>#N/A</v>
      </c>
      <c r="KP55" t="e">
        <f t="shared" si="124"/>
        <v>#N/A</v>
      </c>
      <c r="KQ55" t="e">
        <f t="shared" si="125"/>
        <v>#N/A</v>
      </c>
      <c r="KR55" t="e">
        <f t="shared" si="126"/>
        <v>#N/A</v>
      </c>
      <c r="KS55" t="e">
        <f t="shared" si="127"/>
        <v>#N/A</v>
      </c>
      <c r="KT55" t="e">
        <f t="shared" si="128"/>
        <v>#N/A</v>
      </c>
      <c r="KU55" t="e">
        <f t="shared" si="129"/>
        <v>#N/A</v>
      </c>
      <c r="KV55" t="e">
        <f t="shared" si="130"/>
        <v>#N/A</v>
      </c>
      <c r="KW55" t="e">
        <f t="shared" si="131"/>
        <v>#N/A</v>
      </c>
      <c r="KX55" t="e">
        <f t="shared" si="132"/>
        <v>#N/A</v>
      </c>
      <c r="KY55" t="e">
        <f t="shared" si="133"/>
        <v>#N/A</v>
      </c>
      <c r="KZ55" t="e">
        <f t="shared" si="134"/>
        <v>#N/A</v>
      </c>
      <c r="LA55" t="e">
        <f t="shared" si="135"/>
        <v>#N/A</v>
      </c>
      <c r="LB55" t="e">
        <f t="shared" si="136"/>
        <v>#N/A</v>
      </c>
      <c r="LC55" t="e">
        <f t="shared" si="137"/>
        <v>#N/A</v>
      </c>
      <c r="LD55" t="e">
        <f t="shared" si="138"/>
        <v>#N/A</v>
      </c>
      <c r="LE55" t="e">
        <f t="shared" si="139"/>
        <v>#N/A</v>
      </c>
      <c r="LF55" t="e">
        <f t="shared" si="140"/>
        <v>#N/A</v>
      </c>
      <c r="LG55" t="e">
        <f t="shared" si="141"/>
        <v>#N/A</v>
      </c>
      <c r="LH55" t="e">
        <f t="shared" si="142"/>
        <v>#N/A</v>
      </c>
      <c r="LI55" t="e">
        <f t="shared" si="143"/>
        <v>#N/A</v>
      </c>
      <c r="LJ55" t="e">
        <f t="shared" si="144"/>
        <v>#N/A</v>
      </c>
      <c r="LK55" t="e">
        <f t="shared" si="145"/>
        <v>#N/A</v>
      </c>
      <c r="LL55" t="e">
        <f t="shared" si="146"/>
        <v>#N/A</v>
      </c>
      <c r="LM55" t="e">
        <f t="shared" si="147"/>
        <v>#N/A</v>
      </c>
      <c r="LN55" t="e">
        <f t="shared" si="148"/>
        <v>#N/A</v>
      </c>
      <c r="LO55" t="e">
        <f t="shared" si="149"/>
        <v>#N/A</v>
      </c>
      <c r="LP55" t="e">
        <f t="shared" si="150"/>
        <v>#N/A</v>
      </c>
      <c r="LQ55" t="e">
        <f t="shared" si="151"/>
        <v>#N/A</v>
      </c>
      <c r="LR55" t="e">
        <f t="shared" si="152"/>
        <v>#N/A</v>
      </c>
      <c r="LS55" t="e">
        <f t="shared" si="153"/>
        <v>#N/A</v>
      </c>
      <c r="LT55" t="e">
        <f t="shared" si="154"/>
        <v>#N/A</v>
      </c>
      <c r="LU55" t="e">
        <f t="shared" si="155"/>
        <v>#N/A</v>
      </c>
      <c r="LV55" t="e">
        <f t="shared" si="156"/>
        <v>#N/A</v>
      </c>
      <c r="LW55" t="e">
        <f t="shared" si="157"/>
        <v>#N/A</v>
      </c>
      <c r="LX55" t="e">
        <f t="shared" si="158"/>
        <v>#N/A</v>
      </c>
      <c r="LY55" t="e">
        <f t="shared" si="159"/>
        <v>#N/A</v>
      </c>
      <c r="LZ55" t="e">
        <f t="shared" si="160"/>
        <v>#N/A</v>
      </c>
      <c r="MA55" t="e">
        <f t="shared" si="161"/>
        <v>#N/A</v>
      </c>
      <c r="MB55" t="e">
        <f t="shared" si="162"/>
        <v>#N/A</v>
      </c>
      <c r="MC55" t="e">
        <f t="shared" si="163"/>
        <v>#N/A</v>
      </c>
      <c r="MD55" t="e">
        <f t="shared" si="164"/>
        <v>#N/A</v>
      </c>
      <c r="ME55" t="e">
        <f t="shared" si="165"/>
        <v>#N/A</v>
      </c>
      <c r="MF55" t="e">
        <f t="shared" si="166"/>
        <v>#N/A</v>
      </c>
      <c r="MG55" t="e">
        <f t="shared" si="167"/>
        <v>#N/A</v>
      </c>
      <c r="MH55" t="e">
        <f t="shared" si="168"/>
        <v>#N/A</v>
      </c>
      <c r="MI55" t="e">
        <f t="shared" si="169"/>
        <v>#N/A</v>
      </c>
      <c r="MJ55" t="e">
        <f t="shared" si="170"/>
        <v>#N/A</v>
      </c>
      <c r="MK55" t="e">
        <f t="shared" si="171"/>
        <v>#N/A</v>
      </c>
      <c r="ML55" t="e">
        <f t="shared" si="172"/>
        <v>#N/A</v>
      </c>
      <c r="MM55" t="e">
        <f t="shared" si="173"/>
        <v>#N/A</v>
      </c>
      <c r="MN55" t="e">
        <f t="shared" si="174"/>
        <v>#N/A</v>
      </c>
      <c r="MO55" t="e">
        <f t="shared" si="175"/>
        <v>#N/A</v>
      </c>
      <c r="MP55" t="e">
        <f t="shared" si="176"/>
        <v>#N/A</v>
      </c>
      <c r="MQ55" t="e">
        <f t="shared" si="177"/>
        <v>#N/A</v>
      </c>
      <c r="MR55" t="e">
        <f t="shared" si="178"/>
        <v>#N/A</v>
      </c>
      <c r="MS55" t="e">
        <f t="shared" si="179"/>
        <v>#N/A</v>
      </c>
      <c r="MT55" t="e">
        <f t="shared" si="180"/>
        <v>#N/A</v>
      </c>
      <c r="MU55" t="e">
        <f t="shared" si="181"/>
        <v>#N/A</v>
      </c>
      <c r="MV55" t="e">
        <f t="shared" si="182"/>
        <v>#N/A</v>
      </c>
      <c r="MW55" t="e">
        <f t="shared" si="183"/>
        <v>#N/A</v>
      </c>
      <c r="MX55" t="e">
        <f t="shared" si="184"/>
        <v>#N/A</v>
      </c>
      <c r="MY55" t="e">
        <f t="shared" si="185"/>
        <v>#N/A</v>
      </c>
      <c r="MZ55" t="e">
        <f t="shared" si="186"/>
        <v>#N/A</v>
      </c>
      <c r="NA55" t="e">
        <f t="shared" si="187"/>
        <v>#N/A</v>
      </c>
      <c r="NB55" t="e">
        <f t="shared" si="188"/>
        <v>#N/A</v>
      </c>
      <c r="NC55" t="e">
        <f t="shared" si="189"/>
        <v>#N/A</v>
      </c>
      <c r="ND55" t="e">
        <f t="shared" si="190"/>
        <v>#N/A</v>
      </c>
      <c r="NE55" t="e">
        <f t="shared" si="191"/>
        <v>#N/A</v>
      </c>
      <c r="NF55" t="e">
        <f t="shared" si="192"/>
        <v>#N/A</v>
      </c>
      <c r="NG55" t="e">
        <f t="shared" si="193"/>
        <v>#N/A</v>
      </c>
      <c r="NH55" t="e">
        <f t="shared" si="194"/>
        <v>#N/A</v>
      </c>
      <c r="NI55" t="e">
        <f t="shared" si="195"/>
        <v>#N/A</v>
      </c>
      <c r="NJ55" t="e">
        <f t="shared" si="196"/>
        <v>#N/A</v>
      </c>
      <c r="NK55" t="e">
        <f t="shared" si="197"/>
        <v>#N/A</v>
      </c>
      <c r="NL55" t="e">
        <f t="shared" si="198"/>
        <v>#N/A</v>
      </c>
      <c r="NM55" t="e">
        <f t="shared" si="199"/>
        <v>#N/A</v>
      </c>
      <c r="NN55" t="e">
        <f t="shared" si="200"/>
        <v>#N/A</v>
      </c>
      <c r="NO55" t="e">
        <f t="shared" si="201"/>
        <v>#N/A</v>
      </c>
      <c r="NP55" t="e">
        <f t="shared" si="202"/>
        <v>#N/A</v>
      </c>
      <c r="NQ55" t="e">
        <f t="shared" si="203"/>
        <v>#N/A</v>
      </c>
      <c r="NR55" t="e">
        <f t="shared" si="204"/>
        <v>#N/A</v>
      </c>
      <c r="NS55" t="e">
        <f t="shared" si="205"/>
        <v>#N/A</v>
      </c>
      <c r="NT55" t="e">
        <f t="shared" si="206"/>
        <v>#N/A</v>
      </c>
      <c r="NU55" t="e">
        <f t="shared" si="207"/>
        <v>#N/A</v>
      </c>
      <c r="NV55" t="e">
        <f t="shared" si="208"/>
        <v>#N/A</v>
      </c>
      <c r="NW55" t="e">
        <f t="shared" si="209"/>
        <v>#N/A</v>
      </c>
      <c r="NX55" t="e">
        <f t="shared" si="210"/>
        <v>#N/A</v>
      </c>
      <c r="NY55" t="e">
        <f t="shared" si="211"/>
        <v>#N/A</v>
      </c>
      <c r="NZ55" t="e">
        <f t="shared" si="212"/>
        <v>#N/A</v>
      </c>
      <c r="OA55" t="e">
        <f t="shared" si="213"/>
        <v>#N/A</v>
      </c>
      <c r="OB55" t="e">
        <f t="shared" si="214"/>
        <v>#N/A</v>
      </c>
      <c r="OC55" t="e">
        <f t="shared" si="215"/>
        <v>#N/A</v>
      </c>
      <c r="OD55" t="e">
        <f t="shared" si="216"/>
        <v>#N/A</v>
      </c>
      <c r="OE55" t="e">
        <f t="shared" si="217"/>
        <v>#N/A</v>
      </c>
      <c r="OF55" t="e">
        <f t="shared" si="218"/>
        <v>#N/A</v>
      </c>
      <c r="OG55" t="e">
        <f t="shared" si="219"/>
        <v>#N/A</v>
      </c>
      <c r="OH55" t="e">
        <f t="shared" si="220"/>
        <v>#N/A</v>
      </c>
      <c r="OI55" t="e">
        <f t="shared" si="221"/>
        <v>#N/A</v>
      </c>
      <c r="OJ55" t="e">
        <f t="shared" si="222"/>
        <v>#N/A</v>
      </c>
      <c r="OK55" t="e">
        <f t="shared" si="223"/>
        <v>#N/A</v>
      </c>
      <c r="OL55" t="e">
        <f t="shared" si="224"/>
        <v>#N/A</v>
      </c>
      <c r="OM55" t="e">
        <f t="shared" si="225"/>
        <v>#N/A</v>
      </c>
      <c r="ON55" t="e">
        <f t="shared" si="226"/>
        <v>#N/A</v>
      </c>
      <c r="OO55" t="e">
        <f t="shared" si="227"/>
        <v>#N/A</v>
      </c>
      <c r="OP55" t="e">
        <f t="shared" si="228"/>
        <v>#N/A</v>
      </c>
      <c r="OQ55" t="e">
        <f t="shared" si="229"/>
        <v>#N/A</v>
      </c>
      <c r="OR55" t="e">
        <f t="shared" si="230"/>
        <v>#N/A</v>
      </c>
      <c r="OS55" t="e">
        <f t="shared" si="231"/>
        <v>#N/A</v>
      </c>
      <c r="OT55" t="e">
        <f t="shared" si="232"/>
        <v>#N/A</v>
      </c>
      <c r="OU55" t="e">
        <f t="shared" si="233"/>
        <v>#N/A</v>
      </c>
      <c r="OV55" t="e">
        <f t="shared" si="234"/>
        <v>#N/A</v>
      </c>
      <c r="OW55" t="e">
        <f t="shared" si="235"/>
        <v>#N/A</v>
      </c>
      <c r="OX55" t="e">
        <f t="shared" si="236"/>
        <v>#N/A</v>
      </c>
      <c r="OY55" t="e">
        <f t="shared" si="237"/>
        <v>#N/A</v>
      </c>
      <c r="OZ55" t="e">
        <f t="shared" si="238"/>
        <v>#N/A</v>
      </c>
      <c r="PA55" t="e">
        <f t="shared" si="239"/>
        <v>#N/A</v>
      </c>
      <c r="PB55" t="e">
        <f t="shared" si="240"/>
        <v>#N/A</v>
      </c>
      <c r="PC55" t="e">
        <f t="shared" si="243"/>
        <v>#N/A</v>
      </c>
      <c r="PD55" t="e">
        <f t="shared" si="245"/>
        <v>#N/A</v>
      </c>
      <c r="PE55" t="e">
        <f t="shared" si="245"/>
        <v>#N/A</v>
      </c>
      <c r="PF55" t="e">
        <f t="shared" si="245"/>
        <v>#N/A</v>
      </c>
      <c r="PG55" t="e">
        <f t="shared" si="245"/>
        <v>#N/A</v>
      </c>
      <c r="PH55" t="e">
        <f t="shared" si="245"/>
        <v>#N/A</v>
      </c>
      <c r="PI55" t="e">
        <f t="shared" si="245"/>
        <v>#N/A</v>
      </c>
      <c r="PJ55" t="e">
        <f t="shared" si="245"/>
        <v>#N/A</v>
      </c>
      <c r="PK55" t="e">
        <f t="shared" si="245"/>
        <v>#N/A</v>
      </c>
      <c r="PL55" t="e">
        <f t="shared" si="245"/>
        <v>#N/A</v>
      </c>
      <c r="PM55" t="e">
        <f t="shared" si="245"/>
        <v>#N/A</v>
      </c>
      <c r="PN55" t="e">
        <f t="shared" si="246"/>
        <v>#N/A</v>
      </c>
      <c r="PO55" t="e">
        <f t="shared" si="246"/>
        <v>#N/A</v>
      </c>
      <c r="PP55" t="e">
        <f t="shared" si="246"/>
        <v>#N/A</v>
      </c>
      <c r="PQ55" t="e">
        <f t="shared" si="246"/>
        <v>#N/A</v>
      </c>
      <c r="PR55" t="e">
        <f t="shared" si="246"/>
        <v>#N/A</v>
      </c>
      <c r="PS55" t="e">
        <f t="shared" si="246"/>
        <v>#N/A</v>
      </c>
      <c r="PT55" t="e">
        <f t="shared" si="246"/>
        <v>#N/A</v>
      </c>
      <c r="PU55" t="e">
        <f t="shared" si="246"/>
        <v>#N/A</v>
      </c>
      <c r="PV55" t="e">
        <f t="shared" si="246"/>
        <v>#N/A</v>
      </c>
      <c r="PW55" t="e">
        <f t="shared" si="246"/>
        <v>#N/A</v>
      </c>
      <c r="PX55" t="e">
        <f t="shared" si="247"/>
        <v>#N/A</v>
      </c>
      <c r="PY55" t="e">
        <f t="shared" si="247"/>
        <v>#N/A</v>
      </c>
      <c r="PZ55" t="e">
        <f t="shared" si="247"/>
        <v>#N/A</v>
      </c>
      <c r="QA55" t="e">
        <f t="shared" si="247"/>
        <v>#N/A</v>
      </c>
      <c r="QB55" t="e">
        <f t="shared" si="247"/>
        <v>#N/A</v>
      </c>
      <c r="QC55" t="e">
        <f t="shared" si="247"/>
        <v>#N/A</v>
      </c>
      <c r="QD55" t="e">
        <f t="shared" si="247"/>
        <v>#N/A</v>
      </c>
      <c r="QE55" t="e">
        <f t="shared" si="247"/>
        <v>#N/A</v>
      </c>
      <c r="QF55" t="e">
        <f t="shared" si="247"/>
        <v>#N/A</v>
      </c>
      <c r="QG55" t="e">
        <f t="shared" si="247"/>
        <v>#N/A</v>
      </c>
      <c r="QH55" t="e">
        <f t="shared" si="248"/>
        <v>#N/A</v>
      </c>
      <c r="QI55" t="e">
        <f t="shared" si="248"/>
        <v>#N/A</v>
      </c>
      <c r="QJ55" t="e">
        <f t="shared" si="248"/>
        <v>#N/A</v>
      </c>
      <c r="QK55" t="e">
        <f t="shared" si="248"/>
        <v>#N/A</v>
      </c>
      <c r="QL55" t="e">
        <f t="shared" si="248"/>
        <v>#N/A</v>
      </c>
      <c r="QM55" t="e">
        <f t="shared" si="248"/>
        <v>#N/A</v>
      </c>
      <c r="QN55" t="e">
        <f t="shared" si="248"/>
        <v>#N/A</v>
      </c>
      <c r="QO55" t="e">
        <f t="shared" si="248"/>
        <v>#N/A</v>
      </c>
      <c r="QP55" t="e">
        <f t="shared" si="248"/>
        <v>#N/A</v>
      </c>
      <c r="QQ55" t="e">
        <f t="shared" si="248"/>
        <v>#N/A</v>
      </c>
      <c r="QR55" t="e">
        <f t="shared" si="249"/>
        <v>#N/A</v>
      </c>
      <c r="QS55" t="e">
        <f t="shared" si="249"/>
        <v>#N/A</v>
      </c>
      <c r="QT55" t="e">
        <f t="shared" si="249"/>
        <v>#N/A</v>
      </c>
      <c r="QU55" t="e">
        <f t="shared" si="249"/>
        <v>#N/A</v>
      </c>
      <c r="QV55" t="e">
        <f t="shared" si="249"/>
        <v>#N/A</v>
      </c>
      <c r="QW55" t="e">
        <f t="shared" si="249"/>
        <v>#N/A</v>
      </c>
      <c r="QX55" t="e">
        <f t="shared" si="249"/>
        <v>#N/A</v>
      </c>
      <c r="QY55" t="e">
        <f t="shared" si="249"/>
        <v>#N/A</v>
      </c>
      <c r="QZ55" t="e">
        <f t="shared" si="249"/>
        <v>#N/A</v>
      </c>
      <c r="RA55" t="e">
        <f t="shared" si="249"/>
        <v>#N/A</v>
      </c>
      <c r="RB55" t="e">
        <f t="shared" si="250"/>
        <v>#N/A</v>
      </c>
      <c r="RC55" t="e">
        <f t="shared" si="250"/>
        <v>#N/A</v>
      </c>
      <c r="RD55" t="e">
        <f t="shared" si="250"/>
        <v>#N/A</v>
      </c>
      <c r="RE55" t="e">
        <f t="shared" si="250"/>
        <v>#N/A</v>
      </c>
      <c r="RF55" t="e">
        <f t="shared" si="250"/>
        <v>#N/A</v>
      </c>
      <c r="RG55" t="e">
        <f t="shared" si="250"/>
        <v>#N/A</v>
      </c>
      <c r="RH55" t="e">
        <f t="shared" si="250"/>
        <v>#N/A</v>
      </c>
      <c r="RI55" t="e">
        <f t="shared" si="250"/>
        <v>#N/A</v>
      </c>
      <c r="RJ55" t="e">
        <f t="shared" si="250"/>
        <v>#N/A</v>
      </c>
      <c r="RK55" t="e">
        <f t="shared" si="250"/>
        <v>#N/A</v>
      </c>
      <c r="RL55" t="e">
        <f t="shared" si="251"/>
        <v>#N/A</v>
      </c>
      <c r="RM55" t="e">
        <f t="shared" si="251"/>
        <v>#N/A</v>
      </c>
      <c r="RN55" t="e">
        <f t="shared" si="251"/>
        <v>#N/A</v>
      </c>
      <c r="RO55" t="e">
        <f t="shared" si="244"/>
        <v>#N/A</v>
      </c>
      <c r="RP55" t="e">
        <f t="shared" si="242"/>
        <v>#N/A</v>
      </c>
      <c r="RQ55" t="e">
        <f t="shared" si="242"/>
        <v>#N/A</v>
      </c>
      <c r="RR55" t="e">
        <f t="shared" si="242"/>
        <v>#N/A</v>
      </c>
      <c r="RS55" t="e">
        <f t="shared" si="242"/>
        <v>#N/A</v>
      </c>
      <c r="RT55" t="e">
        <f t="shared" si="242"/>
        <v>#N/A</v>
      </c>
      <c r="RU55" t="e">
        <f t="shared" si="242"/>
        <v>#N/A</v>
      </c>
      <c r="RV55" t="e">
        <f t="shared" si="242"/>
        <v>#N/A</v>
      </c>
      <c r="RW55" t="e">
        <f t="shared" si="242"/>
        <v>#N/A</v>
      </c>
      <c r="RX55" t="e">
        <f t="shared" si="242"/>
        <v>#N/A</v>
      </c>
      <c r="RY55" t="e">
        <f t="shared" si="242"/>
        <v>#N/A</v>
      </c>
      <c r="RZ55" t="e">
        <f t="shared" si="242"/>
        <v>#N/A</v>
      </c>
      <c r="SA55" t="e">
        <f t="shared" si="242"/>
        <v>#N/A</v>
      </c>
      <c r="SB55" t="e">
        <f t="shared" si="242"/>
        <v>#N/A</v>
      </c>
      <c r="SC55" t="e">
        <f t="shared" si="242"/>
        <v>#N/A</v>
      </c>
      <c r="SD55" t="e">
        <f t="shared" si="242"/>
        <v>#N/A</v>
      </c>
      <c r="SE55" t="e">
        <f t="shared" si="242"/>
        <v>#N/A</v>
      </c>
      <c r="SF55" t="e">
        <f t="shared" si="242"/>
        <v>#N/A</v>
      </c>
      <c r="SG55" t="e">
        <f t="shared" si="242"/>
        <v>#N/A</v>
      </c>
      <c r="SH55" t="e">
        <f t="shared" si="242"/>
        <v>#N/A</v>
      </c>
      <c r="SI55" t="e">
        <f t="shared" si="242"/>
        <v>#N/A</v>
      </c>
      <c r="SJ55" t="e">
        <f t="shared" si="242"/>
        <v>#N/A</v>
      </c>
      <c r="SK55" t="e">
        <f t="shared" si="242"/>
        <v>#N/A</v>
      </c>
      <c r="SL55" t="e">
        <f t="shared" si="242"/>
        <v>#N/A</v>
      </c>
      <c r="SM55" t="e">
        <f t="shared" si="242"/>
        <v>#N/A</v>
      </c>
      <c r="SN55" t="e">
        <f t="shared" si="242"/>
        <v>#N/A</v>
      </c>
      <c r="SO55" t="e">
        <f t="shared" si="242"/>
        <v>#N/A</v>
      </c>
      <c r="SP55" t="e">
        <f t="shared" si="242"/>
        <v>#N/A</v>
      </c>
      <c r="SQ55" t="e">
        <f t="shared" si="242"/>
        <v>#N/A</v>
      </c>
      <c r="SR55" t="e">
        <f t="shared" si="242"/>
        <v>#N/A</v>
      </c>
      <c r="SS55" t="e">
        <f t="shared" si="242"/>
        <v>#N/A</v>
      </c>
      <c r="ST55" t="e">
        <f t="shared" si="242"/>
        <v>#N/A</v>
      </c>
      <c r="SU55" t="e">
        <f t="shared" si="242"/>
        <v>#N/A</v>
      </c>
      <c r="SV55" t="e">
        <f t="shared" si="242"/>
        <v>#N/A</v>
      </c>
      <c r="SW55" t="e">
        <f t="shared" si="242"/>
        <v>#N/A</v>
      </c>
      <c r="SX55" t="e">
        <f t="shared" si="242"/>
        <v>#N/A</v>
      </c>
      <c r="SY55" t="e">
        <f t="shared" si="242"/>
        <v>#N/A</v>
      </c>
    </row>
    <row r="56" spans="19:522" x14ac:dyDescent="0.15">
      <c r="S56">
        <f>IF($S14&gt;=グラフ!$J$43,0,IF($HK14&lt;=グラフ!$J$43,100,INDEX(csv!$L14:$HD14,1,MATCH(グラフ!$J$43,$S14:$HK14,1))))</f>
        <v>0</v>
      </c>
      <c r="T56">
        <f>IF($S27&gt;=グラフ!$R$43,0,IF($HK27&lt;=グラフ!$R$43,100,INDEX(csv!$L27:$HD27,1,MATCH(グラフ!$R$43,$S27:$HK27,1))))</f>
        <v>0</v>
      </c>
      <c r="U56">
        <f>IF($S40&gt;=グラフ!$B$43,0,IF($HK40&lt;=グラフ!$B$43,100,INDEX(csv!$L40:$HD40,1,MATCH(グラフ!$B$43,$S40:$HK40,1))))</f>
        <v>0</v>
      </c>
      <c r="V56">
        <f t="shared" ref="V56" si="252">100-S56</f>
        <v>100</v>
      </c>
      <c r="W56">
        <f t="shared" ref="W56" si="253">100-T56</f>
        <v>100</v>
      </c>
      <c r="X56">
        <f t="shared" ref="X56" si="254">100-U56</f>
        <v>100</v>
      </c>
      <c r="HM56" s="2" t="s">
        <v>199</v>
      </c>
      <c r="HN56" s="7"/>
      <c r="HO56" s="7"/>
      <c r="HP56" s="7"/>
      <c r="HQ56" s="7" t="e">
        <f t="shared" si="47"/>
        <v>#N/A</v>
      </c>
      <c r="HR56" s="7" t="e">
        <f t="shared" si="48"/>
        <v>#N/A</v>
      </c>
      <c r="HS56" s="7" t="e">
        <f t="shared" si="49"/>
        <v>#N/A</v>
      </c>
      <c r="HT56" s="7" t="e">
        <f t="shared" si="50"/>
        <v>#N/A</v>
      </c>
      <c r="HU56" s="7" t="e">
        <f t="shared" si="51"/>
        <v>#N/A</v>
      </c>
      <c r="HV56" s="7" t="e">
        <f t="shared" si="52"/>
        <v>#N/A</v>
      </c>
      <c r="HW56" s="7" t="e">
        <f t="shared" si="53"/>
        <v>#N/A</v>
      </c>
      <c r="HX56" s="7" t="e">
        <f t="shared" si="54"/>
        <v>#N/A</v>
      </c>
      <c r="HY56" s="7" t="e">
        <f t="shared" si="55"/>
        <v>#N/A</v>
      </c>
      <c r="HZ56" s="7" t="e">
        <f t="shared" si="56"/>
        <v>#N/A</v>
      </c>
      <c r="IA56" s="7" t="e">
        <f t="shared" si="57"/>
        <v>#N/A</v>
      </c>
      <c r="IB56" s="7" t="e">
        <f t="shared" si="58"/>
        <v>#N/A</v>
      </c>
      <c r="IC56" s="7" t="e">
        <f t="shared" si="59"/>
        <v>#N/A</v>
      </c>
      <c r="ID56" s="7" t="e">
        <f t="shared" si="60"/>
        <v>#N/A</v>
      </c>
      <c r="IE56" s="7" t="e">
        <f t="shared" si="61"/>
        <v>#N/A</v>
      </c>
      <c r="IF56" s="7" t="e">
        <f t="shared" si="62"/>
        <v>#N/A</v>
      </c>
      <c r="IG56" s="7" t="e">
        <f t="shared" si="63"/>
        <v>#N/A</v>
      </c>
      <c r="IH56" s="7" t="e">
        <f t="shared" si="64"/>
        <v>#N/A</v>
      </c>
      <c r="II56" s="7" t="e">
        <f t="shared" si="65"/>
        <v>#N/A</v>
      </c>
      <c r="IJ56" s="7" t="e">
        <f t="shared" si="66"/>
        <v>#N/A</v>
      </c>
      <c r="IK56" s="7" t="e">
        <f t="shared" si="67"/>
        <v>#N/A</v>
      </c>
      <c r="IL56" s="7" t="e">
        <f t="shared" si="68"/>
        <v>#N/A</v>
      </c>
      <c r="IM56" s="7" t="e">
        <f t="shared" si="69"/>
        <v>#N/A</v>
      </c>
      <c r="IN56" s="7" t="e">
        <f t="shared" si="70"/>
        <v>#N/A</v>
      </c>
      <c r="IO56" s="7" t="e">
        <f t="shared" si="71"/>
        <v>#N/A</v>
      </c>
      <c r="IP56" s="7" t="e">
        <f t="shared" si="72"/>
        <v>#N/A</v>
      </c>
      <c r="IQ56" s="7" t="e">
        <f t="shared" si="73"/>
        <v>#N/A</v>
      </c>
      <c r="IR56" s="7" t="e">
        <f t="shared" si="74"/>
        <v>#N/A</v>
      </c>
      <c r="IS56" s="7" t="e">
        <f t="shared" si="75"/>
        <v>#N/A</v>
      </c>
      <c r="IT56" s="7" t="e">
        <f t="shared" si="76"/>
        <v>#N/A</v>
      </c>
      <c r="IU56" s="7" t="e">
        <f t="shared" si="77"/>
        <v>#N/A</v>
      </c>
      <c r="IV56" s="7" t="e">
        <f t="shared" si="78"/>
        <v>#N/A</v>
      </c>
      <c r="IW56" s="7" t="e">
        <f t="shared" si="79"/>
        <v>#N/A</v>
      </c>
      <c r="IX56" s="7" t="e">
        <f t="shared" si="80"/>
        <v>#N/A</v>
      </c>
      <c r="IY56" s="7" t="e">
        <f t="shared" si="81"/>
        <v>#N/A</v>
      </c>
      <c r="IZ56" s="7" t="e">
        <f t="shared" si="82"/>
        <v>#N/A</v>
      </c>
      <c r="JA56" s="7" t="e">
        <f t="shared" si="83"/>
        <v>#N/A</v>
      </c>
      <c r="JB56" s="7" t="e">
        <f t="shared" si="84"/>
        <v>#N/A</v>
      </c>
      <c r="JC56" s="7" t="e">
        <f t="shared" si="85"/>
        <v>#N/A</v>
      </c>
      <c r="JD56" s="7" t="e">
        <f t="shared" si="86"/>
        <v>#N/A</v>
      </c>
      <c r="JE56" s="7" t="e">
        <f t="shared" si="87"/>
        <v>#N/A</v>
      </c>
      <c r="JF56" s="7" t="e">
        <f t="shared" si="88"/>
        <v>#N/A</v>
      </c>
      <c r="JG56" s="7" t="e">
        <f t="shared" si="89"/>
        <v>#N/A</v>
      </c>
      <c r="JH56" s="7" t="e">
        <f t="shared" si="90"/>
        <v>#N/A</v>
      </c>
      <c r="JI56" s="7" t="e">
        <f t="shared" si="91"/>
        <v>#N/A</v>
      </c>
      <c r="JJ56" s="7" t="e">
        <f t="shared" si="92"/>
        <v>#N/A</v>
      </c>
      <c r="JK56" s="7" t="e">
        <f t="shared" si="93"/>
        <v>#N/A</v>
      </c>
      <c r="JL56" s="7" t="e">
        <f t="shared" si="94"/>
        <v>#N/A</v>
      </c>
      <c r="JM56" s="7" t="e">
        <f t="shared" si="95"/>
        <v>#N/A</v>
      </c>
      <c r="JN56" s="7" t="e">
        <f t="shared" si="96"/>
        <v>#N/A</v>
      </c>
      <c r="JO56" s="7" t="e">
        <f t="shared" si="97"/>
        <v>#N/A</v>
      </c>
      <c r="JP56" s="7" t="e">
        <f t="shared" si="98"/>
        <v>#N/A</v>
      </c>
      <c r="JQ56" s="7" t="e">
        <f t="shared" si="99"/>
        <v>#N/A</v>
      </c>
      <c r="JR56" s="7" t="e">
        <f t="shared" si="100"/>
        <v>#N/A</v>
      </c>
      <c r="JS56" s="7" t="e">
        <f t="shared" si="101"/>
        <v>#N/A</v>
      </c>
      <c r="JT56" s="7" t="e">
        <f t="shared" si="102"/>
        <v>#N/A</v>
      </c>
      <c r="JU56" s="7" t="e">
        <f t="shared" si="103"/>
        <v>#N/A</v>
      </c>
      <c r="JV56" s="7" t="e">
        <f t="shared" si="104"/>
        <v>#N/A</v>
      </c>
      <c r="JW56" s="7" t="e">
        <f t="shared" si="105"/>
        <v>#N/A</v>
      </c>
      <c r="JX56" s="7" t="e">
        <f t="shared" si="106"/>
        <v>#N/A</v>
      </c>
      <c r="JY56" s="7" t="e">
        <f t="shared" si="107"/>
        <v>#N/A</v>
      </c>
      <c r="JZ56" s="7" t="e">
        <f t="shared" si="108"/>
        <v>#N/A</v>
      </c>
      <c r="KA56" s="7" t="e">
        <f t="shared" si="109"/>
        <v>#N/A</v>
      </c>
      <c r="KB56" s="7" t="e">
        <f t="shared" si="110"/>
        <v>#N/A</v>
      </c>
      <c r="KC56" s="7" t="e">
        <f t="shared" si="111"/>
        <v>#N/A</v>
      </c>
      <c r="KD56" s="7" t="e">
        <f t="shared" si="112"/>
        <v>#N/A</v>
      </c>
      <c r="KE56" s="7" t="e">
        <f t="shared" si="113"/>
        <v>#N/A</v>
      </c>
      <c r="KF56" s="7" t="e">
        <f t="shared" si="114"/>
        <v>#N/A</v>
      </c>
      <c r="KG56" s="7" t="e">
        <f t="shared" si="115"/>
        <v>#N/A</v>
      </c>
      <c r="KH56" s="7" t="e">
        <f t="shared" si="116"/>
        <v>#N/A</v>
      </c>
      <c r="KI56" s="7" t="e">
        <f t="shared" si="117"/>
        <v>#N/A</v>
      </c>
      <c r="KJ56" s="7" t="e">
        <f t="shared" si="118"/>
        <v>#N/A</v>
      </c>
      <c r="KK56" s="7" t="e">
        <f t="shared" si="119"/>
        <v>#N/A</v>
      </c>
      <c r="KL56" s="7" t="e">
        <f t="shared" si="120"/>
        <v>#N/A</v>
      </c>
      <c r="KM56" s="7" t="e">
        <f t="shared" si="121"/>
        <v>#N/A</v>
      </c>
      <c r="KN56" s="7" t="e">
        <f t="shared" si="122"/>
        <v>#N/A</v>
      </c>
      <c r="KO56" s="7" t="e">
        <f t="shared" si="123"/>
        <v>#N/A</v>
      </c>
      <c r="KP56" s="7" t="e">
        <f t="shared" si="124"/>
        <v>#N/A</v>
      </c>
      <c r="KQ56" s="7" t="e">
        <f t="shared" si="125"/>
        <v>#N/A</v>
      </c>
      <c r="KR56" s="7" t="e">
        <f t="shared" si="126"/>
        <v>#N/A</v>
      </c>
      <c r="KS56" s="7" t="e">
        <f t="shared" si="127"/>
        <v>#N/A</v>
      </c>
      <c r="KT56" s="7" t="e">
        <f t="shared" si="128"/>
        <v>#N/A</v>
      </c>
      <c r="KU56" s="7" t="e">
        <f t="shared" si="129"/>
        <v>#N/A</v>
      </c>
      <c r="KV56" s="7" t="e">
        <f t="shared" si="130"/>
        <v>#N/A</v>
      </c>
      <c r="KW56" s="7" t="e">
        <f t="shared" si="131"/>
        <v>#N/A</v>
      </c>
      <c r="KX56" s="7" t="e">
        <f t="shared" si="132"/>
        <v>#N/A</v>
      </c>
      <c r="KY56" s="7" t="e">
        <f t="shared" si="133"/>
        <v>#N/A</v>
      </c>
      <c r="KZ56" s="7" t="e">
        <f t="shared" si="134"/>
        <v>#N/A</v>
      </c>
      <c r="LA56" s="7" t="e">
        <f t="shared" si="135"/>
        <v>#N/A</v>
      </c>
      <c r="LB56" s="7" t="e">
        <f t="shared" si="136"/>
        <v>#N/A</v>
      </c>
      <c r="LC56" s="7" t="e">
        <f t="shared" si="137"/>
        <v>#N/A</v>
      </c>
      <c r="LD56" s="7" t="e">
        <f t="shared" si="138"/>
        <v>#N/A</v>
      </c>
      <c r="LE56" s="7" t="e">
        <f t="shared" si="139"/>
        <v>#N/A</v>
      </c>
      <c r="LF56" s="7" t="e">
        <f t="shared" si="140"/>
        <v>#N/A</v>
      </c>
      <c r="LG56" s="7" t="e">
        <f t="shared" si="141"/>
        <v>#N/A</v>
      </c>
      <c r="LH56" s="7" t="e">
        <f t="shared" si="142"/>
        <v>#N/A</v>
      </c>
      <c r="LI56" s="7" t="e">
        <f t="shared" si="143"/>
        <v>#N/A</v>
      </c>
      <c r="LJ56" s="7" t="e">
        <f t="shared" si="144"/>
        <v>#N/A</v>
      </c>
      <c r="LK56" s="7" t="e">
        <f t="shared" si="145"/>
        <v>#N/A</v>
      </c>
      <c r="LL56" s="7" t="e">
        <f t="shared" si="146"/>
        <v>#N/A</v>
      </c>
      <c r="LM56" s="7" t="e">
        <f t="shared" si="147"/>
        <v>#N/A</v>
      </c>
      <c r="LN56" s="7" t="e">
        <f t="shared" si="148"/>
        <v>#N/A</v>
      </c>
      <c r="LO56" s="7" t="e">
        <f t="shared" si="149"/>
        <v>#N/A</v>
      </c>
      <c r="LP56" s="7" t="e">
        <f t="shared" si="150"/>
        <v>#N/A</v>
      </c>
      <c r="LQ56" s="7" t="e">
        <f t="shared" si="151"/>
        <v>#N/A</v>
      </c>
      <c r="LR56" s="7" t="e">
        <f t="shared" si="152"/>
        <v>#N/A</v>
      </c>
      <c r="LS56" s="7" t="e">
        <f t="shared" si="153"/>
        <v>#N/A</v>
      </c>
      <c r="LT56" s="7" t="e">
        <f t="shared" si="154"/>
        <v>#N/A</v>
      </c>
      <c r="LU56" s="7" t="e">
        <f t="shared" si="155"/>
        <v>#N/A</v>
      </c>
      <c r="LV56" s="7" t="e">
        <f t="shared" si="156"/>
        <v>#N/A</v>
      </c>
      <c r="LW56" s="7" t="e">
        <f t="shared" si="157"/>
        <v>#N/A</v>
      </c>
      <c r="LX56" s="7" t="e">
        <f t="shared" si="158"/>
        <v>#N/A</v>
      </c>
      <c r="LY56" s="7" t="e">
        <f t="shared" si="159"/>
        <v>#N/A</v>
      </c>
      <c r="LZ56" s="7" t="e">
        <f t="shared" si="160"/>
        <v>#N/A</v>
      </c>
      <c r="MA56" s="7" t="e">
        <f t="shared" si="161"/>
        <v>#N/A</v>
      </c>
      <c r="MB56" s="7" t="e">
        <f t="shared" si="162"/>
        <v>#N/A</v>
      </c>
      <c r="MC56" s="7" t="e">
        <f t="shared" si="163"/>
        <v>#N/A</v>
      </c>
      <c r="MD56" s="7" t="e">
        <f t="shared" si="164"/>
        <v>#N/A</v>
      </c>
      <c r="ME56" s="7" t="e">
        <f t="shared" si="165"/>
        <v>#N/A</v>
      </c>
      <c r="MF56" s="7" t="e">
        <f t="shared" si="166"/>
        <v>#N/A</v>
      </c>
      <c r="MG56" s="7" t="e">
        <f t="shared" si="167"/>
        <v>#N/A</v>
      </c>
      <c r="MH56" s="7" t="e">
        <f t="shared" si="168"/>
        <v>#N/A</v>
      </c>
      <c r="MI56" s="7" t="e">
        <f t="shared" si="169"/>
        <v>#N/A</v>
      </c>
      <c r="MJ56" s="7" t="e">
        <f t="shared" si="170"/>
        <v>#N/A</v>
      </c>
      <c r="MK56" s="7" t="e">
        <f t="shared" si="171"/>
        <v>#N/A</v>
      </c>
      <c r="ML56" s="7" t="e">
        <f t="shared" si="172"/>
        <v>#N/A</v>
      </c>
      <c r="MM56" s="7" t="e">
        <f t="shared" si="173"/>
        <v>#N/A</v>
      </c>
      <c r="MN56" s="7" t="e">
        <f t="shared" si="174"/>
        <v>#N/A</v>
      </c>
      <c r="MO56" s="7" t="e">
        <f t="shared" si="175"/>
        <v>#N/A</v>
      </c>
      <c r="MP56" s="7" t="e">
        <f t="shared" si="176"/>
        <v>#N/A</v>
      </c>
      <c r="MQ56" s="7" t="e">
        <f t="shared" si="177"/>
        <v>#N/A</v>
      </c>
      <c r="MR56" s="7" t="e">
        <f t="shared" si="178"/>
        <v>#N/A</v>
      </c>
      <c r="MS56" s="7" t="e">
        <f t="shared" si="179"/>
        <v>#N/A</v>
      </c>
      <c r="MT56" s="7" t="e">
        <f t="shared" si="180"/>
        <v>#N/A</v>
      </c>
      <c r="MU56" s="7" t="e">
        <f t="shared" si="181"/>
        <v>#N/A</v>
      </c>
      <c r="MV56" s="7" t="e">
        <f t="shared" si="182"/>
        <v>#N/A</v>
      </c>
      <c r="MW56" s="7" t="e">
        <f t="shared" si="183"/>
        <v>#N/A</v>
      </c>
      <c r="MX56" s="7" t="e">
        <f t="shared" si="184"/>
        <v>#N/A</v>
      </c>
      <c r="MY56" s="7" t="e">
        <f t="shared" si="185"/>
        <v>#N/A</v>
      </c>
      <c r="MZ56" s="7" t="e">
        <f t="shared" si="186"/>
        <v>#N/A</v>
      </c>
      <c r="NA56" s="7" t="e">
        <f t="shared" si="187"/>
        <v>#N/A</v>
      </c>
      <c r="NB56" s="7" t="e">
        <f t="shared" si="188"/>
        <v>#N/A</v>
      </c>
      <c r="NC56" s="7" t="e">
        <f t="shared" si="189"/>
        <v>#N/A</v>
      </c>
      <c r="ND56" s="7" t="e">
        <f t="shared" si="190"/>
        <v>#N/A</v>
      </c>
      <c r="NE56" s="7" t="e">
        <f t="shared" si="191"/>
        <v>#N/A</v>
      </c>
      <c r="NF56" s="7" t="e">
        <f t="shared" si="192"/>
        <v>#N/A</v>
      </c>
      <c r="NG56" s="7" t="e">
        <f t="shared" si="193"/>
        <v>#N/A</v>
      </c>
      <c r="NH56" s="7" t="e">
        <f t="shared" si="194"/>
        <v>#N/A</v>
      </c>
      <c r="NI56" s="7" t="e">
        <f t="shared" si="195"/>
        <v>#N/A</v>
      </c>
      <c r="NJ56" s="7" t="e">
        <f t="shared" si="196"/>
        <v>#N/A</v>
      </c>
      <c r="NK56" s="7" t="e">
        <f t="shared" si="197"/>
        <v>#N/A</v>
      </c>
      <c r="NL56" s="7" t="e">
        <f t="shared" si="198"/>
        <v>#N/A</v>
      </c>
      <c r="NM56" s="7" t="e">
        <f t="shared" si="199"/>
        <v>#N/A</v>
      </c>
      <c r="NN56" s="7" t="e">
        <f t="shared" si="200"/>
        <v>#N/A</v>
      </c>
      <c r="NO56" s="7" t="e">
        <f t="shared" si="201"/>
        <v>#N/A</v>
      </c>
      <c r="NP56" s="7" t="e">
        <f t="shared" si="202"/>
        <v>#N/A</v>
      </c>
      <c r="NQ56" s="7" t="e">
        <f t="shared" si="203"/>
        <v>#N/A</v>
      </c>
      <c r="NR56" s="7" t="e">
        <f t="shared" si="204"/>
        <v>#N/A</v>
      </c>
      <c r="NS56" s="7" t="e">
        <f t="shared" si="205"/>
        <v>#N/A</v>
      </c>
      <c r="NT56" s="7" t="e">
        <f t="shared" si="206"/>
        <v>#N/A</v>
      </c>
      <c r="NU56" s="7" t="e">
        <f t="shared" si="207"/>
        <v>#N/A</v>
      </c>
      <c r="NV56" s="7" t="e">
        <f t="shared" si="208"/>
        <v>#N/A</v>
      </c>
      <c r="NW56" s="7" t="e">
        <f t="shared" si="209"/>
        <v>#N/A</v>
      </c>
      <c r="NX56" s="7" t="e">
        <f t="shared" si="210"/>
        <v>#N/A</v>
      </c>
      <c r="NY56" s="7" t="e">
        <f t="shared" si="211"/>
        <v>#N/A</v>
      </c>
      <c r="NZ56" s="7" t="e">
        <f t="shared" si="212"/>
        <v>#N/A</v>
      </c>
      <c r="OA56" s="7" t="e">
        <f t="shared" si="213"/>
        <v>#N/A</v>
      </c>
      <c r="OB56" s="7" t="e">
        <f t="shared" si="214"/>
        <v>#N/A</v>
      </c>
      <c r="OC56" s="7" t="e">
        <f t="shared" si="215"/>
        <v>#N/A</v>
      </c>
      <c r="OD56" s="7" t="e">
        <f t="shared" si="216"/>
        <v>#N/A</v>
      </c>
      <c r="OE56" s="7" t="e">
        <f t="shared" si="217"/>
        <v>#N/A</v>
      </c>
      <c r="OF56" s="7" t="e">
        <f t="shared" si="218"/>
        <v>#N/A</v>
      </c>
      <c r="OG56" s="7" t="e">
        <f t="shared" si="219"/>
        <v>#N/A</v>
      </c>
      <c r="OH56" s="7" t="e">
        <f t="shared" si="220"/>
        <v>#N/A</v>
      </c>
      <c r="OI56" s="7" t="e">
        <f t="shared" si="221"/>
        <v>#N/A</v>
      </c>
      <c r="OJ56" s="7" t="e">
        <f t="shared" si="222"/>
        <v>#N/A</v>
      </c>
      <c r="OK56" s="7" t="e">
        <f t="shared" si="223"/>
        <v>#N/A</v>
      </c>
      <c r="OL56" s="7" t="e">
        <f t="shared" si="224"/>
        <v>#N/A</v>
      </c>
      <c r="OM56" s="7" t="e">
        <f t="shared" si="225"/>
        <v>#N/A</v>
      </c>
      <c r="ON56" s="7" t="e">
        <f t="shared" si="226"/>
        <v>#N/A</v>
      </c>
      <c r="OO56" s="7" t="e">
        <f t="shared" si="227"/>
        <v>#N/A</v>
      </c>
      <c r="OP56" s="7" t="e">
        <f t="shared" si="228"/>
        <v>#N/A</v>
      </c>
      <c r="OQ56" s="7" t="e">
        <f t="shared" si="229"/>
        <v>#N/A</v>
      </c>
      <c r="OR56" s="7" t="e">
        <f t="shared" si="230"/>
        <v>#N/A</v>
      </c>
      <c r="OS56" s="7" t="e">
        <f t="shared" si="231"/>
        <v>#N/A</v>
      </c>
      <c r="OT56" s="7" t="e">
        <f t="shared" si="232"/>
        <v>#N/A</v>
      </c>
      <c r="OU56" s="7" t="e">
        <f t="shared" si="233"/>
        <v>#N/A</v>
      </c>
      <c r="OV56" s="7" t="e">
        <f t="shared" si="234"/>
        <v>#N/A</v>
      </c>
      <c r="OW56" s="7" t="e">
        <f t="shared" si="235"/>
        <v>#N/A</v>
      </c>
      <c r="OX56" s="7" t="e">
        <f t="shared" si="236"/>
        <v>#N/A</v>
      </c>
      <c r="OY56" s="7" t="e">
        <f t="shared" si="237"/>
        <v>#N/A</v>
      </c>
      <c r="OZ56" s="7" t="e">
        <f t="shared" si="238"/>
        <v>#N/A</v>
      </c>
      <c r="PA56" s="7" t="e">
        <f t="shared" si="239"/>
        <v>#N/A</v>
      </c>
      <c r="PB56" s="7" t="e">
        <f t="shared" si="240"/>
        <v>#N/A</v>
      </c>
      <c r="PC56" s="7" t="e">
        <f t="shared" si="243"/>
        <v>#N/A</v>
      </c>
      <c r="PD56" s="7" t="e">
        <f t="shared" si="245"/>
        <v>#N/A</v>
      </c>
      <c r="PE56" s="7" t="e">
        <f t="shared" si="245"/>
        <v>#N/A</v>
      </c>
      <c r="PF56" s="7" t="e">
        <f t="shared" si="245"/>
        <v>#N/A</v>
      </c>
      <c r="PG56" s="7" t="e">
        <f t="shared" si="245"/>
        <v>#N/A</v>
      </c>
      <c r="PH56" s="7" t="e">
        <f t="shared" si="245"/>
        <v>#N/A</v>
      </c>
      <c r="PI56" s="7" t="e">
        <f t="shared" si="245"/>
        <v>#N/A</v>
      </c>
      <c r="PJ56" s="7" t="e">
        <f t="shared" si="245"/>
        <v>#N/A</v>
      </c>
      <c r="PK56" s="7" t="e">
        <f t="shared" si="245"/>
        <v>#N/A</v>
      </c>
      <c r="PL56" s="7" t="e">
        <f t="shared" si="245"/>
        <v>#N/A</v>
      </c>
      <c r="PM56" s="7" t="e">
        <f t="shared" si="245"/>
        <v>#N/A</v>
      </c>
      <c r="PN56" s="7" t="e">
        <f t="shared" si="246"/>
        <v>#N/A</v>
      </c>
      <c r="PO56" s="7" t="e">
        <f t="shared" si="246"/>
        <v>#N/A</v>
      </c>
      <c r="PP56" s="7" t="e">
        <f t="shared" si="246"/>
        <v>#N/A</v>
      </c>
      <c r="PQ56" s="7" t="e">
        <f t="shared" si="246"/>
        <v>#N/A</v>
      </c>
      <c r="PR56" s="7" t="e">
        <f t="shared" si="246"/>
        <v>#N/A</v>
      </c>
      <c r="PS56" s="7" t="e">
        <f t="shared" si="246"/>
        <v>#N/A</v>
      </c>
      <c r="PT56" s="7" t="e">
        <f t="shared" si="246"/>
        <v>#N/A</v>
      </c>
      <c r="PU56" s="7" t="e">
        <f t="shared" si="246"/>
        <v>#N/A</v>
      </c>
      <c r="PV56" s="7" t="e">
        <f t="shared" si="246"/>
        <v>#N/A</v>
      </c>
      <c r="PW56" s="7" t="e">
        <f t="shared" si="246"/>
        <v>#N/A</v>
      </c>
      <c r="PX56" s="7" t="e">
        <f t="shared" si="247"/>
        <v>#N/A</v>
      </c>
      <c r="PY56" s="7" t="e">
        <f t="shared" si="247"/>
        <v>#N/A</v>
      </c>
      <c r="PZ56" s="7" t="e">
        <f t="shared" si="247"/>
        <v>#N/A</v>
      </c>
      <c r="QA56" s="7" t="e">
        <f t="shared" si="247"/>
        <v>#N/A</v>
      </c>
      <c r="QB56" s="7" t="e">
        <f t="shared" si="247"/>
        <v>#N/A</v>
      </c>
      <c r="QC56" s="7" t="e">
        <f t="shared" si="247"/>
        <v>#N/A</v>
      </c>
      <c r="QD56" s="7" t="e">
        <f t="shared" si="247"/>
        <v>#N/A</v>
      </c>
      <c r="QE56" s="7" t="e">
        <f t="shared" si="247"/>
        <v>#N/A</v>
      </c>
      <c r="QF56" s="7" t="e">
        <f t="shared" si="247"/>
        <v>#N/A</v>
      </c>
      <c r="QG56" s="7" t="e">
        <f t="shared" si="247"/>
        <v>#N/A</v>
      </c>
      <c r="QH56" s="7" t="e">
        <f t="shared" si="248"/>
        <v>#N/A</v>
      </c>
      <c r="QI56" s="7" t="e">
        <f t="shared" si="248"/>
        <v>#N/A</v>
      </c>
      <c r="QJ56" s="7" t="e">
        <f t="shared" si="248"/>
        <v>#N/A</v>
      </c>
      <c r="QK56" s="7" t="e">
        <f t="shared" si="248"/>
        <v>#N/A</v>
      </c>
      <c r="QL56" s="7" t="e">
        <f t="shared" si="248"/>
        <v>#N/A</v>
      </c>
      <c r="QM56" s="7" t="e">
        <f t="shared" si="248"/>
        <v>#N/A</v>
      </c>
      <c r="QN56" s="7" t="e">
        <f t="shared" si="248"/>
        <v>#N/A</v>
      </c>
      <c r="QO56" s="7" t="e">
        <f t="shared" si="248"/>
        <v>#N/A</v>
      </c>
      <c r="QP56" s="7" t="e">
        <f t="shared" si="248"/>
        <v>#N/A</v>
      </c>
      <c r="QQ56" s="7" t="e">
        <f t="shared" si="248"/>
        <v>#N/A</v>
      </c>
      <c r="QR56" s="7" t="e">
        <f t="shared" si="249"/>
        <v>#N/A</v>
      </c>
      <c r="QS56" s="7" t="e">
        <f t="shared" si="249"/>
        <v>#N/A</v>
      </c>
      <c r="QT56" s="7" t="e">
        <f t="shared" si="249"/>
        <v>#N/A</v>
      </c>
      <c r="QU56" s="7" t="e">
        <f t="shared" si="249"/>
        <v>#N/A</v>
      </c>
      <c r="QV56" s="7" t="e">
        <f t="shared" si="249"/>
        <v>#N/A</v>
      </c>
      <c r="QW56" s="7" t="e">
        <f t="shared" si="249"/>
        <v>#N/A</v>
      </c>
      <c r="QX56" s="7" t="e">
        <f t="shared" si="249"/>
        <v>#N/A</v>
      </c>
      <c r="QY56" s="7" t="e">
        <f t="shared" si="249"/>
        <v>#N/A</v>
      </c>
      <c r="QZ56" s="7" t="e">
        <f t="shared" si="249"/>
        <v>#N/A</v>
      </c>
      <c r="RA56" s="7" t="e">
        <f t="shared" si="249"/>
        <v>#N/A</v>
      </c>
      <c r="RB56" s="7" t="e">
        <f t="shared" si="250"/>
        <v>#N/A</v>
      </c>
      <c r="RC56" s="7" t="e">
        <f t="shared" si="250"/>
        <v>#N/A</v>
      </c>
      <c r="RD56" s="7" t="e">
        <f t="shared" si="250"/>
        <v>#N/A</v>
      </c>
      <c r="RE56" s="7" t="e">
        <f t="shared" si="250"/>
        <v>#N/A</v>
      </c>
      <c r="RF56" s="7" t="e">
        <f t="shared" si="250"/>
        <v>#N/A</v>
      </c>
      <c r="RG56" s="7" t="e">
        <f t="shared" si="250"/>
        <v>#N/A</v>
      </c>
      <c r="RH56" s="7" t="e">
        <f t="shared" si="250"/>
        <v>#N/A</v>
      </c>
      <c r="RI56" s="7" t="e">
        <f t="shared" si="250"/>
        <v>#N/A</v>
      </c>
      <c r="RJ56" s="7" t="e">
        <f t="shared" si="250"/>
        <v>#N/A</v>
      </c>
      <c r="RK56" s="7" t="e">
        <f t="shared" si="250"/>
        <v>#N/A</v>
      </c>
      <c r="RL56" s="7" t="e">
        <f t="shared" si="251"/>
        <v>#N/A</v>
      </c>
      <c r="RM56" s="7" t="e">
        <f t="shared" si="251"/>
        <v>#N/A</v>
      </c>
      <c r="RN56" s="7" t="e">
        <f t="shared" si="251"/>
        <v>#N/A</v>
      </c>
      <c r="RO56" s="7" t="e">
        <f t="shared" si="244"/>
        <v>#N/A</v>
      </c>
      <c r="RP56" s="7" t="e">
        <f t="shared" si="242"/>
        <v>#N/A</v>
      </c>
      <c r="RQ56" s="7" t="e">
        <f t="shared" si="242"/>
        <v>#N/A</v>
      </c>
      <c r="RR56" s="7" t="e">
        <f t="shared" si="242"/>
        <v>#N/A</v>
      </c>
      <c r="RS56" s="7" t="e">
        <f t="shared" si="242"/>
        <v>#N/A</v>
      </c>
      <c r="RT56" s="7" t="e">
        <f t="shared" si="242"/>
        <v>#N/A</v>
      </c>
      <c r="RU56" s="7" t="e">
        <f t="shared" si="242"/>
        <v>#N/A</v>
      </c>
      <c r="RV56" s="7" t="e">
        <f t="shared" si="242"/>
        <v>#N/A</v>
      </c>
      <c r="RW56" s="7" t="e">
        <f t="shared" si="242"/>
        <v>#N/A</v>
      </c>
      <c r="RX56" s="7" t="e">
        <f t="shared" si="242"/>
        <v>#N/A</v>
      </c>
      <c r="RY56" s="7" t="e">
        <f t="shared" si="242"/>
        <v>#N/A</v>
      </c>
      <c r="RZ56" s="7" t="e">
        <f t="shared" si="242"/>
        <v>#N/A</v>
      </c>
      <c r="SA56" s="7" t="e">
        <f t="shared" si="242"/>
        <v>#N/A</v>
      </c>
      <c r="SB56" s="7" t="e">
        <f t="shared" si="242"/>
        <v>#N/A</v>
      </c>
      <c r="SC56" s="7" t="e">
        <f t="shared" si="242"/>
        <v>#N/A</v>
      </c>
      <c r="SD56" s="7" t="e">
        <f t="shared" si="242"/>
        <v>#N/A</v>
      </c>
      <c r="SE56" s="7" t="e">
        <f t="shared" si="242"/>
        <v>#N/A</v>
      </c>
      <c r="SF56" s="7" t="e">
        <f t="shared" si="242"/>
        <v>#N/A</v>
      </c>
      <c r="SG56" s="7" t="e">
        <f t="shared" si="242"/>
        <v>#N/A</v>
      </c>
      <c r="SH56" s="7" t="e">
        <f t="shared" si="242"/>
        <v>#N/A</v>
      </c>
      <c r="SI56" s="7" t="e">
        <f t="shared" si="242"/>
        <v>#N/A</v>
      </c>
      <c r="SJ56" s="7" t="e">
        <f t="shared" si="242"/>
        <v>#N/A</v>
      </c>
      <c r="SK56" s="7" t="e">
        <f t="shared" ref="SK56:SY58" si="255">IF(ISERROR(AVERAGE(SH53:SN53)),NA(),AVERAGE(SH53:SN53))</f>
        <v>#N/A</v>
      </c>
      <c r="SL56" s="7" t="e">
        <f t="shared" si="255"/>
        <v>#N/A</v>
      </c>
      <c r="SM56" s="7" t="e">
        <f t="shared" si="255"/>
        <v>#N/A</v>
      </c>
      <c r="SN56" s="7" t="e">
        <f t="shared" si="255"/>
        <v>#N/A</v>
      </c>
      <c r="SO56" s="7" t="e">
        <f t="shared" si="255"/>
        <v>#N/A</v>
      </c>
      <c r="SP56" s="7" t="e">
        <f t="shared" si="255"/>
        <v>#N/A</v>
      </c>
      <c r="SQ56" s="7" t="e">
        <f t="shared" si="255"/>
        <v>#N/A</v>
      </c>
      <c r="SR56" s="7" t="e">
        <f t="shared" si="255"/>
        <v>#N/A</v>
      </c>
      <c r="SS56" s="7" t="e">
        <f t="shared" si="255"/>
        <v>#N/A</v>
      </c>
      <c r="ST56" s="7" t="e">
        <f t="shared" si="255"/>
        <v>#N/A</v>
      </c>
      <c r="SU56" s="7" t="e">
        <f t="shared" si="255"/>
        <v>#N/A</v>
      </c>
      <c r="SV56" s="7" t="e">
        <f t="shared" si="255"/>
        <v>#N/A</v>
      </c>
      <c r="SW56" s="7" t="e">
        <f t="shared" si="255"/>
        <v>#N/A</v>
      </c>
      <c r="SX56" s="7" t="e">
        <f t="shared" si="255"/>
        <v>#N/A</v>
      </c>
      <c r="SY56" s="7" t="e">
        <f t="shared" si="255"/>
        <v>#N/A</v>
      </c>
      <c r="SZ56" s="7"/>
      <c r="TA56" s="7"/>
      <c r="TB56" s="7"/>
    </row>
    <row r="57" spans="19:522" x14ac:dyDescent="0.15">
      <c r="HN57" s="7"/>
      <c r="HO57" s="7"/>
      <c r="HP57" s="7"/>
      <c r="HQ57" s="7" t="e">
        <f t="shared" si="47"/>
        <v>#N/A</v>
      </c>
      <c r="HR57" s="7" t="e">
        <f t="shared" si="48"/>
        <v>#N/A</v>
      </c>
      <c r="HS57" s="7" t="e">
        <f t="shared" si="49"/>
        <v>#N/A</v>
      </c>
      <c r="HT57" s="7" t="e">
        <f t="shared" si="50"/>
        <v>#N/A</v>
      </c>
      <c r="HU57" s="7" t="e">
        <f t="shared" si="51"/>
        <v>#N/A</v>
      </c>
      <c r="HV57" s="7" t="e">
        <f t="shared" si="52"/>
        <v>#N/A</v>
      </c>
      <c r="HW57" s="7" t="e">
        <f t="shared" si="53"/>
        <v>#N/A</v>
      </c>
      <c r="HX57" s="7" t="e">
        <f t="shared" si="54"/>
        <v>#N/A</v>
      </c>
      <c r="HY57" s="7" t="e">
        <f t="shared" si="55"/>
        <v>#N/A</v>
      </c>
      <c r="HZ57" s="7" t="e">
        <f t="shared" si="56"/>
        <v>#N/A</v>
      </c>
      <c r="IA57" s="7" t="e">
        <f t="shared" si="57"/>
        <v>#N/A</v>
      </c>
      <c r="IB57" s="7" t="e">
        <f t="shared" si="58"/>
        <v>#N/A</v>
      </c>
      <c r="IC57" s="7" t="e">
        <f t="shared" si="59"/>
        <v>#N/A</v>
      </c>
      <c r="ID57" s="7" t="e">
        <f t="shared" si="60"/>
        <v>#N/A</v>
      </c>
      <c r="IE57" s="7" t="e">
        <f t="shared" si="61"/>
        <v>#N/A</v>
      </c>
      <c r="IF57" s="7" t="e">
        <f t="shared" si="62"/>
        <v>#N/A</v>
      </c>
      <c r="IG57" s="7" t="e">
        <f t="shared" si="63"/>
        <v>#N/A</v>
      </c>
      <c r="IH57" s="7" t="e">
        <f t="shared" si="64"/>
        <v>#N/A</v>
      </c>
      <c r="II57" s="7" t="e">
        <f t="shared" si="65"/>
        <v>#N/A</v>
      </c>
      <c r="IJ57" s="7" t="e">
        <f t="shared" si="66"/>
        <v>#N/A</v>
      </c>
      <c r="IK57" s="7" t="e">
        <f t="shared" si="67"/>
        <v>#N/A</v>
      </c>
      <c r="IL57" s="7" t="e">
        <f t="shared" si="68"/>
        <v>#N/A</v>
      </c>
      <c r="IM57" s="7" t="e">
        <f t="shared" si="69"/>
        <v>#N/A</v>
      </c>
      <c r="IN57" s="7" t="e">
        <f t="shared" si="70"/>
        <v>#N/A</v>
      </c>
      <c r="IO57" s="7" t="e">
        <f t="shared" si="71"/>
        <v>#N/A</v>
      </c>
      <c r="IP57" s="7" t="e">
        <f t="shared" si="72"/>
        <v>#N/A</v>
      </c>
      <c r="IQ57" s="7" t="e">
        <f t="shared" si="73"/>
        <v>#N/A</v>
      </c>
      <c r="IR57" s="7" t="e">
        <f t="shared" si="74"/>
        <v>#N/A</v>
      </c>
      <c r="IS57" s="7" t="e">
        <f t="shared" si="75"/>
        <v>#N/A</v>
      </c>
      <c r="IT57" s="7" t="e">
        <f t="shared" si="76"/>
        <v>#N/A</v>
      </c>
      <c r="IU57" s="7" t="e">
        <f t="shared" si="77"/>
        <v>#N/A</v>
      </c>
      <c r="IV57" s="7" t="e">
        <f t="shared" si="78"/>
        <v>#N/A</v>
      </c>
      <c r="IW57" s="7" t="e">
        <f t="shared" si="79"/>
        <v>#N/A</v>
      </c>
      <c r="IX57" s="7" t="e">
        <f t="shared" si="80"/>
        <v>#N/A</v>
      </c>
      <c r="IY57" s="7" t="e">
        <f t="shared" si="81"/>
        <v>#N/A</v>
      </c>
      <c r="IZ57" s="7" t="e">
        <f t="shared" si="82"/>
        <v>#N/A</v>
      </c>
      <c r="JA57" s="7" t="e">
        <f t="shared" si="83"/>
        <v>#N/A</v>
      </c>
      <c r="JB57" s="7" t="e">
        <f t="shared" si="84"/>
        <v>#N/A</v>
      </c>
      <c r="JC57" s="7" t="e">
        <f t="shared" si="85"/>
        <v>#N/A</v>
      </c>
      <c r="JD57" s="7" t="e">
        <f t="shared" si="86"/>
        <v>#N/A</v>
      </c>
      <c r="JE57" s="7" t="e">
        <f t="shared" si="87"/>
        <v>#N/A</v>
      </c>
      <c r="JF57" s="7" t="e">
        <f t="shared" si="88"/>
        <v>#N/A</v>
      </c>
      <c r="JG57" s="7" t="e">
        <f t="shared" si="89"/>
        <v>#N/A</v>
      </c>
      <c r="JH57" s="7" t="e">
        <f t="shared" si="90"/>
        <v>#N/A</v>
      </c>
      <c r="JI57" s="7" t="e">
        <f t="shared" si="91"/>
        <v>#N/A</v>
      </c>
      <c r="JJ57" s="7" t="e">
        <f t="shared" si="92"/>
        <v>#N/A</v>
      </c>
      <c r="JK57" s="7" t="e">
        <f t="shared" si="93"/>
        <v>#N/A</v>
      </c>
      <c r="JL57" s="7" t="e">
        <f t="shared" si="94"/>
        <v>#N/A</v>
      </c>
      <c r="JM57" s="7" t="e">
        <f t="shared" si="95"/>
        <v>#N/A</v>
      </c>
      <c r="JN57" s="7" t="e">
        <f t="shared" si="96"/>
        <v>#N/A</v>
      </c>
      <c r="JO57" s="7" t="e">
        <f t="shared" si="97"/>
        <v>#N/A</v>
      </c>
      <c r="JP57" s="7" t="e">
        <f t="shared" si="98"/>
        <v>#N/A</v>
      </c>
      <c r="JQ57" s="7" t="e">
        <f t="shared" si="99"/>
        <v>#N/A</v>
      </c>
      <c r="JR57" s="7" t="e">
        <f t="shared" si="100"/>
        <v>#N/A</v>
      </c>
      <c r="JS57" s="7" t="e">
        <f t="shared" si="101"/>
        <v>#N/A</v>
      </c>
      <c r="JT57" s="7" t="e">
        <f t="shared" si="102"/>
        <v>#N/A</v>
      </c>
      <c r="JU57" s="7" t="e">
        <f t="shared" si="103"/>
        <v>#N/A</v>
      </c>
      <c r="JV57" s="7" t="e">
        <f t="shared" si="104"/>
        <v>#N/A</v>
      </c>
      <c r="JW57" s="7" t="e">
        <f t="shared" si="105"/>
        <v>#N/A</v>
      </c>
      <c r="JX57" s="7" t="e">
        <f t="shared" si="106"/>
        <v>#N/A</v>
      </c>
      <c r="JY57" s="7" t="e">
        <f t="shared" si="107"/>
        <v>#N/A</v>
      </c>
      <c r="JZ57" s="7" t="e">
        <f t="shared" si="108"/>
        <v>#N/A</v>
      </c>
      <c r="KA57" s="7" t="e">
        <f t="shared" si="109"/>
        <v>#N/A</v>
      </c>
      <c r="KB57" s="7" t="e">
        <f t="shared" si="110"/>
        <v>#N/A</v>
      </c>
      <c r="KC57" s="7" t="e">
        <f t="shared" si="111"/>
        <v>#N/A</v>
      </c>
      <c r="KD57" s="7" t="e">
        <f t="shared" si="112"/>
        <v>#N/A</v>
      </c>
      <c r="KE57" s="7" t="e">
        <f t="shared" si="113"/>
        <v>#N/A</v>
      </c>
      <c r="KF57" s="7" t="e">
        <f t="shared" si="114"/>
        <v>#N/A</v>
      </c>
      <c r="KG57" s="7" t="e">
        <f t="shared" si="115"/>
        <v>#N/A</v>
      </c>
      <c r="KH57" s="7" t="e">
        <f t="shared" si="116"/>
        <v>#N/A</v>
      </c>
      <c r="KI57" s="7" t="e">
        <f t="shared" si="117"/>
        <v>#N/A</v>
      </c>
      <c r="KJ57" s="7" t="e">
        <f t="shared" si="118"/>
        <v>#N/A</v>
      </c>
      <c r="KK57" s="7" t="e">
        <f t="shared" si="119"/>
        <v>#N/A</v>
      </c>
      <c r="KL57" s="7" t="e">
        <f t="shared" si="120"/>
        <v>#N/A</v>
      </c>
      <c r="KM57" s="7" t="e">
        <f t="shared" si="121"/>
        <v>#N/A</v>
      </c>
      <c r="KN57" s="7" t="e">
        <f t="shared" si="122"/>
        <v>#N/A</v>
      </c>
      <c r="KO57" s="7" t="e">
        <f t="shared" si="123"/>
        <v>#N/A</v>
      </c>
      <c r="KP57" s="7" t="e">
        <f t="shared" si="124"/>
        <v>#N/A</v>
      </c>
      <c r="KQ57" s="7" t="e">
        <f t="shared" si="125"/>
        <v>#N/A</v>
      </c>
      <c r="KR57" s="7" t="e">
        <f t="shared" si="126"/>
        <v>#N/A</v>
      </c>
      <c r="KS57" s="7" t="e">
        <f t="shared" si="127"/>
        <v>#N/A</v>
      </c>
      <c r="KT57" s="7" t="e">
        <f t="shared" si="128"/>
        <v>#N/A</v>
      </c>
      <c r="KU57" s="7" t="e">
        <f t="shared" si="129"/>
        <v>#N/A</v>
      </c>
      <c r="KV57" s="7" t="e">
        <f t="shared" si="130"/>
        <v>#N/A</v>
      </c>
      <c r="KW57" s="7" t="e">
        <f t="shared" si="131"/>
        <v>#N/A</v>
      </c>
      <c r="KX57" s="7" t="e">
        <f t="shared" si="132"/>
        <v>#N/A</v>
      </c>
      <c r="KY57" s="7" t="e">
        <f t="shared" si="133"/>
        <v>#N/A</v>
      </c>
      <c r="KZ57" s="7" t="e">
        <f t="shared" si="134"/>
        <v>#N/A</v>
      </c>
      <c r="LA57" s="7" t="e">
        <f t="shared" si="135"/>
        <v>#N/A</v>
      </c>
      <c r="LB57" s="7" t="e">
        <f t="shared" si="136"/>
        <v>#N/A</v>
      </c>
      <c r="LC57" s="7" t="e">
        <f t="shared" si="137"/>
        <v>#N/A</v>
      </c>
      <c r="LD57" s="7" t="e">
        <f t="shared" si="138"/>
        <v>#N/A</v>
      </c>
      <c r="LE57" s="7" t="e">
        <f t="shared" si="139"/>
        <v>#N/A</v>
      </c>
      <c r="LF57" s="7" t="e">
        <f t="shared" si="140"/>
        <v>#N/A</v>
      </c>
      <c r="LG57" s="7" t="e">
        <f t="shared" si="141"/>
        <v>#N/A</v>
      </c>
      <c r="LH57" s="7" t="e">
        <f t="shared" si="142"/>
        <v>#N/A</v>
      </c>
      <c r="LI57" s="7" t="e">
        <f t="shared" si="143"/>
        <v>#N/A</v>
      </c>
      <c r="LJ57" s="7" t="e">
        <f t="shared" si="144"/>
        <v>#N/A</v>
      </c>
      <c r="LK57" s="7" t="e">
        <f t="shared" si="145"/>
        <v>#N/A</v>
      </c>
      <c r="LL57" s="7" t="e">
        <f t="shared" si="146"/>
        <v>#N/A</v>
      </c>
      <c r="LM57" s="7" t="e">
        <f t="shared" si="147"/>
        <v>#N/A</v>
      </c>
      <c r="LN57" s="7" t="e">
        <f t="shared" si="148"/>
        <v>#N/A</v>
      </c>
      <c r="LO57" s="7" t="e">
        <f t="shared" si="149"/>
        <v>#N/A</v>
      </c>
      <c r="LP57" s="7" t="e">
        <f t="shared" si="150"/>
        <v>#N/A</v>
      </c>
      <c r="LQ57" s="7" t="e">
        <f t="shared" si="151"/>
        <v>#N/A</v>
      </c>
      <c r="LR57" s="7" t="e">
        <f t="shared" si="152"/>
        <v>#N/A</v>
      </c>
      <c r="LS57" s="7" t="e">
        <f t="shared" si="153"/>
        <v>#N/A</v>
      </c>
      <c r="LT57" s="7" t="e">
        <f t="shared" si="154"/>
        <v>#N/A</v>
      </c>
      <c r="LU57" s="7" t="e">
        <f t="shared" si="155"/>
        <v>#N/A</v>
      </c>
      <c r="LV57" s="7" t="e">
        <f t="shared" si="156"/>
        <v>#N/A</v>
      </c>
      <c r="LW57" s="7" t="e">
        <f t="shared" si="157"/>
        <v>#N/A</v>
      </c>
      <c r="LX57" s="7" t="e">
        <f t="shared" si="158"/>
        <v>#N/A</v>
      </c>
      <c r="LY57" s="7" t="e">
        <f t="shared" si="159"/>
        <v>#N/A</v>
      </c>
      <c r="LZ57" s="7" t="e">
        <f t="shared" si="160"/>
        <v>#N/A</v>
      </c>
      <c r="MA57" s="7" t="e">
        <f t="shared" si="161"/>
        <v>#N/A</v>
      </c>
      <c r="MB57" s="7" t="e">
        <f t="shared" si="162"/>
        <v>#N/A</v>
      </c>
      <c r="MC57" s="7" t="e">
        <f t="shared" si="163"/>
        <v>#N/A</v>
      </c>
      <c r="MD57" s="7" t="e">
        <f t="shared" si="164"/>
        <v>#N/A</v>
      </c>
      <c r="ME57" s="7" t="e">
        <f t="shared" si="165"/>
        <v>#N/A</v>
      </c>
      <c r="MF57" s="7" t="e">
        <f t="shared" si="166"/>
        <v>#N/A</v>
      </c>
      <c r="MG57" s="7" t="e">
        <f t="shared" si="167"/>
        <v>#N/A</v>
      </c>
      <c r="MH57" s="7" t="e">
        <f t="shared" si="168"/>
        <v>#N/A</v>
      </c>
      <c r="MI57" s="7" t="e">
        <f t="shared" si="169"/>
        <v>#N/A</v>
      </c>
      <c r="MJ57" s="7" t="e">
        <f t="shared" si="170"/>
        <v>#N/A</v>
      </c>
      <c r="MK57" s="7" t="e">
        <f t="shared" si="171"/>
        <v>#N/A</v>
      </c>
      <c r="ML57" s="7" t="e">
        <f t="shared" si="172"/>
        <v>#N/A</v>
      </c>
      <c r="MM57" s="7" t="e">
        <f t="shared" si="173"/>
        <v>#N/A</v>
      </c>
      <c r="MN57" s="7" t="e">
        <f t="shared" si="174"/>
        <v>#N/A</v>
      </c>
      <c r="MO57" s="7" t="e">
        <f t="shared" si="175"/>
        <v>#N/A</v>
      </c>
      <c r="MP57" s="7" t="e">
        <f t="shared" si="176"/>
        <v>#N/A</v>
      </c>
      <c r="MQ57" s="7" t="e">
        <f t="shared" si="177"/>
        <v>#N/A</v>
      </c>
      <c r="MR57" s="7" t="e">
        <f t="shared" si="178"/>
        <v>#N/A</v>
      </c>
      <c r="MS57" s="7" t="e">
        <f t="shared" si="179"/>
        <v>#N/A</v>
      </c>
      <c r="MT57" s="7" t="e">
        <f t="shared" si="180"/>
        <v>#N/A</v>
      </c>
      <c r="MU57" s="7" t="e">
        <f t="shared" si="181"/>
        <v>#N/A</v>
      </c>
      <c r="MV57" s="7" t="e">
        <f t="shared" si="182"/>
        <v>#N/A</v>
      </c>
      <c r="MW57" s="7" t="e">
        <f t="shared" si="183"/>
        <v>#N/A</v>
      </c>
      <c r="MX57" s="7" t="e">
        <f t="shared" si="184"/>
        <v>#N/A</v>
      </c>
      <c r="MY57" s="7" t="e">
        <f t="shared" si="185"/>
        <v>#N/A</v>
      </c>
      <c r="MZ57" s="7" t="e">
        <f t="shared" si="186"/>
        <v>#N/A</v>
      </c>
      <c r="NA57" s="7" t="e">
        <f t="shared" si="187"/>
        <v>#N/A</v>
      </c>
      <c r="NB57" s="7" t="e">
        <f t="shared" si="188"/>
        <v>#N/A</v>
      </c>
      <c r="NC57" s="7" t="e">
        <f t="shared" si="189"/>
        <v>#N/A</v>
      </c>
      <c r="ND57" s="7" t="e">
        <f t="shared" si="190"/>
        <v>#N/A</v>
      </c>
      <c r="NE57" s="7" t="e">
        <f t="shared" si="191"/>
        <v>#N/A</v>
      </c>
      <c r="NF57" s="7" t="e">
        <f t="shared" si="192"/>
        <v>#N/A</v>
      </c>
      <c r="NG57" s="7" t="e">
        <f t="shared" si="193"/>
        <v>#N/A</v>
      </c>
      <c r="NH57" s="7" t="e">
        <f t="shared" si="194"/>
        <v>#N/A</v>
      </c>
      <c r="NI57" s="7" t="e">
        <f t="shared" si="195"/>
        <v>#N/A</v>
      </c>
      <c r="NJ57" s="7" t="e">
        <f t="shared" si="196"/>
        <v>#N/A</v>
      </c>
      <c r="NK57" s="7" t="e">
        <f t="shared" si="197"/>
        <v>#N/A</v>
      </c>
      <c r="NL57" s="7" t="e">
        <f t="shared" si="198"/>
        <v>#N/A</v>
      </c>
      <c r="NM57" s="7" t="e">
        <f t="shared" si="199"/>
        <v>#N/A</v>
      </c>
      <c r="NN57" s="7" t="e">
        <f t="shared" si="200"/>
        <v>#N/A</v>
      </c>
      <c r="NO57" s="7" t="e">
        <f t="shared" si="201"/>
        <v>#N/A</v>
      </c>
      <c r="NP57" s="7" t="e">
        <f t="shared" si="202"/>
        <v>#N/A</v>
      </c>
      <c r="NQ57" s="7" t="e">
        <f t="shared" si="203"/>
        <v>#N/A</v>
      </c>
      <c r="NR57" s="7" t="e">
        <f t="shared" si="204"/>
        <v>#N/A</v>
      </c>
      <c r="NS57" s="7" t="e">
        <f t="shared" si="205"/>
        <v>#N/A</v>
      </c>
      <c r="NT57" s="7" t="e">
        <f t="shared" si="206"/>
        <v>#N/A</v>
      </c>
      <c r="NU57" s="7" t="e">
        <f t="shared" si="207"/>
        <v>#N/A</v>
      </c>
      <c r="NV57" s="7" t="e">
        <f t="shared" si="208"/>
        <v>#N/A</v>
      </c>
      <c r="NW57" s="7" t="e">
        <f t="shared" si="209"/>
        <v>#N/A</v>
      </c>
      <c r="NX57" s="7" t="e">
        <f t="shared" si="210"/>
        <v>#N/A</v>
      </c>
      <c r="NY57" s="7" t="e">
        <f t="shared" si="211"/>
        <v>#N/A</v>
      </c>
      <c r="NZ57" s="7" t="e">
        <f t="shared" si="212"/>
        <v>#N/A</v>
      </c>
      <c r="OA57" s="7" t="e">
        <f t="shared" si="213"/>
        <v>#N/A</v>
      </c>
      <c r="OB57" s="7" t="e">
        <f t="shared" si="214"/>
        <v>#N/A</v>
      </c>
      <c r="OC57" s="7" t="e">
        <f t="shared" si="215"/>
        <v>#N/A</v>
      </c>
      <c r="OD57" s="7" t="e">
        <f t="shared" si="216"/>
        <v>#N/A</v>
      </c>
      <c r="OE57" s="7" t="e">
        <f t="shared" si="217"/>
        <v>#N/A</v>
      </c>
      <c r="OF57" s="7" t="e">
        <f t="shared" si="218"/>
        <v>#N/A</v>
      </c>
      <c r="OG57" s="7" t="e">
        <f t="shared" si="219"/>
        <v>#N/A</v>
      </c>
      <c r="OH57" s="7" t="e">
        <f t="shared" si="220"/>
        <v>#N/A</v>
      </c>
      <c r="OI57" s="7" t="e">
        <f t="shared" si="221"/>
        <v>#N/A</v>
      </c>
      <c r="OJ57" s="7" t="e">
        <f t="shared" si="222"/>
        <v>#N/A</v>
      </c>
      <c r="OK57" s="7" t="e">
        <f t="shared" si="223"/>
        <v>#N/A</v>
      </c>
      <c r="OL57" s="7" t="e">
        <f t="shared" si="224"/>
        <v>#N/A</v>
      </c>
      <c r="OM57" s="7" t="e">
        <f t="shared" si="225"/>
        <v>#N/A</v>
      </c>
      <c r="ON57" s="7" t="e">
        <f t="shared" si="226"/>
        <v>#N/A</v>
      </c>
      <c r="OO57" s="7" t="e">
        <f t="shared" si="227"/>
        <v>#N/A</v>
      </c>
      <c r="OP57" s="7" t="e">
        <f t="shared" si="228"/>
        <v>#N/A</v>
      </c>
      <c r="OQ57" s="7" t="e">
        <f t="shared" si="229"/>
        <v>#N/A</v>
      </c>
      <c r="OR57" s="7" t="e">
        <f t="shared" si="230"/>
        <v>#N/A</v>
      </c>
      <c r="OS57" s="7" t="e">
        <f t="shared" si="231"/>
        <v>#N/A</v>
      </c>
      <c r="OT57" s="7" t="e">
        <f t="shared" si="232"/>
        <v>#N/A</v>
      </c>
      <c r="OU57" s="7" t="e">
        <f t="shared" si="233"/>
        <v>#N/A</v>
      </c>
      <c r="OV57" s="7" t="e">
        <f t="shared" si="234"/>
        <v>#N/A</v>
      </c>
      <c r="OW57" s="7" t="e">
        <f t="shared" si="235"/>
        <v>#N/A</v>
      </c>
      <c r="OX57" s="7" t="e">
        <f t="shared" si="236"/>
        <v>#N/A</v>
      </c>
      <c r="OY57" s="7" t="e">
        <f t="shared" si="237"/>
        <v>#N/A</v>
      </c>
      <c r="OZ57" s="7" t="e">
        <f t="shared" si="238"/>
        <v>#N/A</v>
      </c>
      <c r="PA57" s="7" t="e">
        <f t="shared" si="239"/>
        <v>#N/A</v>
      </c>
      <c r="PB57" s="7" t="e">
        <f t="shared" si="240"/>
        <v>#N/A</v>
      </c>
      <c r="PC57" s="7" t="e">
        <f t="shared" si="243"/>
        <v>#N/A</v>
      </c>
      <c r="PD57" s="7" t="e">
        <f t="shared" si="245"/>
        <v>#N/A</v>
      </c>
      <c r="PE57" s="7" t="e">
        <f t="shared" si="245"/>
        <v>#N/A</v>
      </c>
      <c r="PF57" s="7" t="e">
        <f t="shared" si="245"/>
        <v>#N/A</v>
      </c>
      <c r="PG57" s="7" t="e">
        <f t="shared" si="245"/>
        <v>#N/A</v>
      </c>
      <c r="PH57" s="7" t="e">
        <f t="shared" si="245"/>
        <v>#N/A</v>
      </c>
      <c r="PI57" s="7" t="e">
        <f t="shared" si="245"/>
        <v>#N/A</v>
      </c>
      <c r="PJ57" s="7" t="e">
        <f t="shared" si="245"/>
        <v>#N/A</v>
      </c>
      <c r="PK57" s="7" t="e">
        <f t="shared" si="245"/>
        <v>#N/A</v>
      </c>
      <c r="PL57" s="7" t="e">
        <f t="shared" si="245"/>
        <v>#N/A</v>
      </c>
      <c r="PM57" s="7" t="e">
        <f t="shared" si="245"/>
        <v>#N/A</v>
      </c>
      <c r="PN57" s="7" t="e">
        <f t="shared" si="246"/>
        <v>#N/A</v>
      </c>
      <c r="PO57" s="7" t="e">
        <f t="shared" si="246"/>
        <v>#N/A</v>
      </c>
      <c r="PP57" s="7" t="e">
        <f t="shared" si="246"/>
        <v>#N/A</v>
      </c>
      <c r="PQ57" s="7" t="e">
        <f t="shared" si="246"/>
        <v>#N/A</v>
      </c>
      <c r="PR57" s="7" t="e">
        <f t="shared" si="246"/>
        <v>#N/A</v>
      </c>
      <c r="PS57" s="7" t="e">
        <f t="shared" si="246"/>
        <v>#N/A</v>
      </c>
      <c r="PT57" s="7" t="e">
        <f t="shared" si="246"/>
        <v>#N/A</v>
      </c>
      <c r="PU57" s="7" t="e">
        <f t="shared" si="246"/>
        <v>#N/A</v>
      </c>
      <c r="PV57" s="7" t="e">
        <f t="shared" si="246"/>
        <v>#N/A</v>
      </c>
      <c r="PW57" s="7" t="e">
        <f t="shared" si="246"/>
        <v>#N/A</v>
      </c>
      <c r="PX57" s="7" t="e">
        <f t="shared" si="247"/>
        <v>#N/A</v>
      </c>
      <c r="PY57" s="7" t="e">
        <f t="shared" si="247"/>
        <v>#N/A</v>
      </c>
      <c r="PZ57" s="7" t="e">
        <f t="shared" si="247"/>
        <v>#N/A</v>
      </c>
      <c r="QA57" s="7" t="e">
        <f t="shared" si="247"/>
        <v>#N/A</v>
      </c>
      <c r="QB57" s="7" t="e">
        <f t="shared" si="247"/>
        <v>#N/A</v>
      </c>
      <c r="QC57" s="7" t="e">
        <f t="shared" si="247"/>
        <v>#N/A</v>
      </c>
      <c r="QD57" s="7" t="e">
        <f t="shared" si="247"/>
        <v>#N/A</v>
      </c>
      <c r="QE57" s="7" t="e">
        <f t="shared" si="247"/>
        <v>#N/A</v>
      </c>
      <c r="QF57" s="7" t="e">
        <f t="shared" si="247"/>
        <v>#N/A</v>
      </c>
      <c r="QG57" s="7" t="e">
        <f t="shared" si="247"/>
        <v>#N/A</v>
      </c>
      <c r="QH57" s="7" t="e">
        <f t="shared" si="248"/>
        <v>#N/A</v>
      </c>
      <c r="QI57" s="7" t="e">
        <f t="shared" si="248"/>
        <v>#N/A</v>
      </c>
      <c r="QJ57" s="7" t="e">
        <f t="shared" si="248"/>
        <v>#N/A</v>
      </c>
      <c r="QK57" s="7" t="e">
        <f t="shared" si="248"/>
        <v>#N/A</v>
      </c>
      <c r="QL57" s="7" t="e">
        <f t="shared" si="248"/>
        <v>#N/A</v>
      </c>
      <c r="QM57" s="7" t="e">
        <f t="shared" si="248"/>
        <v>#N/A</v>
      </c>
      <c r="QN57" s="7" t="e">
        <f t="shared" si="248"/>
        <v>#N/A</v>
      </c>
      <c r="QO57" s="7" t="e">
        <f t="shared" si="248"/>
        <v>#N/A</v>
      </c>
      <c r="QP57" s="7" t="e">
        <f t="shared" si="248"/>
        <v>#N/A</v>
      </c>
      <c r="QQ57" s="7" t="e">
        <f t="shared" si="248"/>
        <v>#N/A</v>
      </c>
      <c r="QR57" s="7" t="e">
        <f t="shared" si="249"/>
        <v>#N/A</v>
      </c>
      <c r="QS57" s="7" t="e">
        <f t="shared" si="249"/>
        <v>#N/A</v>
      </c>
      <c r="QT57" s="7" t="e">
        <f t="shared" si="249"/>
        <v>#N/A</v>
      </c>
      <c r="QU57" s="7" t="e">
        <f t="shared" si="249"/>
        <v>#N/A</v>
      </c>
      <c r="QV57" s="7" t="e">
        <f t="shared" si="249"/>
        <v>#N/A</v>
      </c>
      <c r="QW57" s="7" t="e">
        <f t="shared" si="249"/>
        <v>#N/A</v>
      </c>
      <c r="QX57" s="7" t="e">
        <f t="shared" si="249"/>
        <v>#N/A</v>
      </c>
      <c r="QY57" s="7" t="e">
        <f t="shared" si="249"/>
        <v>#N/A</v>
      </c>
      <c r="QZ57" s="7" t="e">
        <f t="shared" si="249"/>
        <v>#N/A</v>
      </c>
      <c r="RA57" s="7" t="e">
        <f t="shared" si="249"/>
        <v>#N/A</v>
      </c>
      <c r="RB57" s="7" t="e">
        <f t="shared" si="250"/>
        <v>#N/A</v>
      </c>
      <c r="RC57" s="7" t="e">
        <f t="shared" si="250"/>
        <v>#N/A</v>
      </c>
      <c r="RD57" s="7" t="e">
        <f t="shared" si="250"/>
        <v>#N/A</v>
      </c>
      <c r="RE57" s="7" t="e">
        <f t="shared" si="250"/>
        <v>#N/A</v>
      </c>
      <c r="RF57" s="7" t="e">
        <f t="shared" si="250"/>
        <v>#N/A</v>
      </c>
      <c r="RG57" s="7" t="e">
        <f t="shared" si="250"/>
        <v>#N/A</v>
      </c>
      <c r="RH57" s="7" t="e">
        <f t="shared" si="250"/>
        <v>#N/A</v>
      </c>
      <c r="RI57" s="7" t="e">
        <f t="shared" si="250"/>
        <v>#N/A</v>
      </c>
      <c r="RJ57" s="7" t="e">
        <f t="shared" si="250"/>
        <v>#N/A</v>
      </c>
      <c r="RK57" s="7" t="e">
        <f t="shared" si="250"/>
        <v>#N/A</v>
      </c>
      <c r="RL57" s="7" t="e">
        <f t="shared" si="251"/>
        <v>#N/A</v>
      </c>
      <c r="RM57" s="7" t="e">
        <f t="shared" si="251"/>
        <v>#N/A</v>
      </c>
      <c r="RN57" s="7" t="e">
        <f t="shared" si="251"/>
        <v>#N/A</v>
      </c>
      <c r="RO57" s="7" t="e">
        <f t="shared" si="244"/>
        <v>#N/A</v>
      </c>
      <c r="RP57" s="7" t="e">
        <f t="shared" ref="RP57:RY58" si="256">IF(ISERROR(AVERAGE(RM54:RS54)),NA(),AVERAGE(RM54:RS54))</f>
        <v>#N/A</v>
      </c>
      <c r="RQ57" s="7" t="e">
        <f t="shared" si="256"/>
        <v>#N/A</v>
      </c>
      <c r="RR57" s="7" t="e">
        <f t="shared" si="256"/>
        <v>#N/A</v>
      </c>
      <c r="RS57" s="7" t="e">
        <f t="shared" si="256"/>
        <v>#N/A</v>
      </c>
      <c r="RT57" s="7" t="e">
        <f t="shared" si="256"/>
        <v>#N/A</v>
      </c>
      <c r="RU57" s="7" t="e">
        <f t="shared" si="256"/>
        <v>#N/A</v>
      </c>
      <c r="RV57" s="7" t="e">
        <f t="shared" si="256"/>
        <v>#N/A</v>
      </c>
      <c r="RW57" s="7" t="e">
        <f t="shared" si="256"/>
        <v>#N/A</v>
      </c>
      <c r="RX57" s="7" t="e">
        <f t="shared" si="256"/>
        <v>#N/A</v>
      </c>
      <c r="RY57" s="7" t="e">
        <f t="shared" si="256"/>
        <v>#N/A</v>
      </c>
      <c r="RZ57" s="7" t="e">
        <f t="shared" ref="RZ57:SI58" si="257">IF(ISERROR(AVERAGE(RW54:SC54)),NA(),AVERAGE(RW54:SC54))</f>
        <v>#N/A</v>
      </c>
      <c r="SA57" s="7" t="e">
        <f t="shared" si="257"/>
        <v>#N/A</v>
      </c>
      <c r="SB57" s="7" t="e">
        <f t="shared" si="257"/>
        <v>#N/A</v>
      </c>
      <c r="SC57" s="7" t="e">
        <f t="shared" si="257"/>
        <v>#N/A</v>
      </c>
      <c r="SD57" s="7" t="e">
        <f t="shared" si="257"/>
        <v>#N/A</v>
      </c>
      <c r="SE57" s="7" t="e">
        <f t="shared" si="257"/>
        <v>#N/A</v>
      </c>
      <c r="SF57" s="7" t="e">
        <f t="shared" si="257"/>
        <v>#N/A</v>
      </c>
      <c r="SG57" s="7" t="e">
        <f t="shared" si="257"/>
        <v>#N/A</v>
      </c>
      <c r="SH57" s="7" t="e">
        <f t="shared" si="257"/>
        <v>#N/A</v>
      </c>
      <c r="SI57" s="7" t="e">
        <f t="shared" si="257"/>
        <v>#N/A</v>
      </c>
      <c r="SJ57" s="7" t="e">
        <f t="shared" ref="SJ57:SJ58" si="258">IF(ISERROR(AVERAGE(SG54:SM54)),NA(),AVERAGE(SG54:SM54))</f>
        <v>#N/A</v>
      </c>
      <c r="SK57" s="7" t="e">
        <f t="shared" si="255"/>
        <v>#N/A</v>
      </c>
      <c r="SL57" s="7" t="e">
        <f t="shared" si="255"/>
        <v>#N/A</v>
      </c>
      <c r="SM57" s="7" t="e">
        <f t="shared" si="255"/>
        <v>#N/A</v>
      </c>
      <c r="SN57" s="7" t="e">
        <f t="shared" si="255"/>
        <v>#N/A</v>
      </c>
      <c r="SO57" s="7" t="e">
        <f t="shared" si="255"/>
        <v>#N/A</v>
      </c>
      <c r="SP57" s="7" t="e">
        <f t="shared" si="255"/>
        <v>#N/A</v>
      </c>
      <c r="SQ57" s="7" t="e">
        <f t="shared" si="255"/>
        <v>#N/A</v>
      </c>
      <c r="SR57" s="7" t="e">
        <f t="shared" si="255"/>
        <v>#N/A</v>
      </c>
      <c r="SS57" s="7" t="e">
        <f t="shared" si="255"/>
        <v>#N/A</v>
      </c>
      <c r="ST57" s="7" t="e">
        <f t="shared" si="255"/>
        <v>#N/A</v>
      </c>
      <c r="SU57" s="7" t="e">
        <f t="shared" si="255"/>
        <v>#N/A</v>
      </c>
      <c r="SV57" s="7" t="e">
        <f t="shared" si="255"/>
        <v>#N/A</v>
      </c>
      <c r="SW57" s="7" t="e">
        <f t="shared" si="255"/>
        <v>#N/A</v>
      </c>
      <c r="SX57" s="7" t="e">
        <f t="shared" si="255"/>
        <v>#N/A</v>
      </c>
      <c r="SY57" s="7" t="e">
        <f t="shared" si="255"/>
        <v>#N/A</v>
      </c>
      <c r="SZ57" s="7"/>
      <c r="TA57" s="7"/>
      <c r="TB57" s="7"/>
    </row>
    <row r="58" spans="19:522" x14ac:dyDescent="0.15">
      <c r="HN58" s="7"/>
      <c r="HO58" s="7"/>
      <c r="HP58" s="7"/>
      <c r="HQ58" s="7" t="e">
        <f t="shared" si="47"/>
        <v>#N/A</v>
      </c>
      <c r="HR58" s="7" t="e">
        <f t="shared" si="48"/>
        <v>#N/A</v>
      </c>
      <c r="HS58" s="7" t="e">
        <f t="shared" si="49"/>
        <v>#N/A</v>
      </c>
      <c r="HT58" s="7" t="e">
        <f t="shared" si="50"/>
        <v>#N/A</v>
      </c>
      <c r="HU58" s="7" t="e">
        <f t="shared" si="51"/>
        <v>#N/A</v>
      </c>
      <c r="HV58" s="7" t="e">
        <f t="shared" si="52"/>
        <v>#N/A</v>
      </c>
      <c r="HW58" s="7" t="e">
        <f t="shared" si="53"/>
        <v>#N/A</v>
      </c>
      <c r="HX58" s="7" t="e">
        <f t="shared" si="54"/>
        <v>#N/A</v>
      </c>
      <c r="HY58" s="7" t="e">
        <f t="shared" si="55"/>
        <v>#N/A</v>
      </c>
      <c r="HZ58" s="7" t="e">
        <f t="shared" si="56"/>
        <v>#N/A</v>
      </c>
      <c r="IA58" s="7" t="e">
        <f t="shared" si="57"/>
        <v>#N/A</v>
      </c>
      <c r="IB58" s="7" t="e">
        <f t="shared" si="58"/>
        <v>#N/A</v>
      </c>
      <c r="IC58" s="7" t="e">
        <f t="shared" si="59"/>
        <v>#N/A</v>
      </c>
      <c r="ID58" s="7" t="e">
        <f t="shared" si="60"/>
        <v>#N/A</v>
      </c>
      <c r="IE58" s="7" t="e">
        <f t="shared" si="61"/>
        <v>#N/A</v>
      </c>
      <c r="IF58" s="7" t="e">
        <f t="shared" si="62"/>
        <v>#N/A</v>
      </c>
      <c r="IG58" s="7" t="e">
        <f t="shared" si="63"/>
        <v>#N/A</v>
      </c>
      <c r="IH58" s="7" t="e">
        <f t="shared" si="64"/>
        <v>#N/A</v>
      </c>
      <c r="II58" s="7" t="e">
        <f t="shared" si="65"/>
        <v>#N/A</v>
      </c>
      <c r="IJ58" s="7" t="e">
        <f t="shared" si="66"/>
        <v>#N/A</v>
      </c>
      <c r="IK58" s="7" t="e">
        <f t="shared" si="67"/>
        <v>#N/A</v>
      </c>
      <c r="IL58" s="7" t="e">
        <f t="shared" si="68"/>
        <v>#N/A</v>
      </c>
      <c r="IM58" s="7" t="e">
        <f t="shared" si="69"/>
        <v>#N/A</v>
      </c>
      <c r="IN58" s="7" t="e">
        <f t="shared" si="70"/>
        <v>#N/A</v>
      </c>
      <c r="IO58" s="7" t="e">
        <f t="shared" si="71"/>
        <v>#N/A</v>
      </c>
      <c r="IP58" s="7" t="e">
        <f t="shared" si="72"/>
        <v>#N/A</v>
      </c>
      <c r="IQ58" s="7" t="e">
        <f t="shared" si="73"/>
        <v>#N/A</v>
      </c>
      <c r="IR58" s="7" t="e">
        <f t="shared" si="74"/>
        <v>#N/A</v>
      </c>
      <c r="IS58" s="7" t="e">
        <f t="shared" si="75"/>
        <v>#N/A</v>
      </c>
      <c r="IT58" s="7" t="e">
        <f t="shared" si="76"/>
        <v>#N/A</v>
      </c>
      <c r="IU58" s="7" t="e">
        <f t="shared" si="77"/>
        <v>#N/A</v>
      </c>
      <c r="IV58" s="7" t="e">
        <f t="shared" si="78"/>
        <v>#N/A</v>
      </c>
      <c r="IW58" s="7" t="e">
        <f t="shared" si="79"/>
        <v>#N/A</v>
      </c>
      <c r="IX58" s="7" t="e">
        <f t="shared" si="80"/>
        <v>#N/A</v>
      </c>
      <c r="IY58" s="7" t="e">
        <f t="shared" si="81"/>
        <v>#N/A</v>
      </c>
      <c r="IZ58" s="7" t="e">
        <f t="shared" si="82"/>
        <v>#N/A</v>
      </c>
      <c r="JA58" s="7" t="e">
        <f t="shared" si="83"/>
        <v>#N/A</v>
      </c>
      <c r="JB58" s="7" t="e">
        <f t="shared" si="84"/>
        <v>#N/A</v>
      </c>
      <c r="JC58" s="7" t="e">
        <f t="shared" si="85"/>
        <v>#N/A</v>
      </c>
      <c r="JD58" s="7" t="e">
        <f t="shared" si="86"/>
        <v>#N/A</v>
      </c>
      <c r="JE58" s="7" t="e">
        <f t="shared" si="87"/>
        <v>#N/A</v>
      </c>
      <c r="JF58" s="7" t="e">
        <f t="shared" si="88"/>
        <v>#N/A</v>
      </c>
      <c r="JG58" s="7" t="e">
        <f t="shared" si="89"/>
        <v>#N/A</v>
      </c>
      <c r="JH58" s="7" t="e">
        <f t="shared" si="90"/>
        <v>#N/A</v>
      </c>
      <c r="JI58" s="7" t="e">
        <f t="shared" si="91"/>
        <v>#N/A</v>
      </c>
      <c r="JJ58" s="7" t="e">
        <f t="shared" si="92"/>
        <v>#N/A</v>
      </c>
      <c r="JK58" s="7" t="e">
        <f t="shared" si="93"/>
        <v>#N/A</v>
      </c>
      <c r="JL58" s="7" t="e">
        <f t="shared" si="94"/>
        <v>#N/A</v>
      </c>
      <c r="JM58" s="7" t="e">
        <f t="shared" si="95"/>
        <v>#N/A</v>
      </c>
      <c r="JN58" s="7" t="e">
        <f t="shared" si="96"/>
        <v>#N/A</v>
      </c>
      <c r="JO58" s="7" t="e">
        <f t="shared" si="97"/>
        <v>#N/A</v>
      </c>
      <c r="JP58" s="7" t="e">
        <f t="shared" si="98"/>
        <v>#N/A</v>
      </c>
      <c r="JQ58" s="7" t="e">
        <f t="shared" si="99"/>
        <v>#N/A</v>
      </c>
      <c r="JR58" s="7" t="e">
        <f t="shared" si="100"/>
        <v>#N/A</v>
      </c>
      <c r="JS58" s="7" t="e">
        <f t="shared" si="101"/>
        <v>#N/A</v>
      </c>
      <c r="JT58" s="7" t="e">
        <f t="shared" si="102"/>
        <v>#N/A</v>
      </c>
      <c r="JU58" s="7" t="e">
        <f t="shared" si="103"/>
        <v>#N/A</v>
      </c>
      <c r="JV58" s="7" t="e">
        <f t="shared" si="104"/>
        <v>#N/A</v>
      </c>
      <c r="JW58" s="7" t="e">
        <f t="shared" si="105"/>
        <v>#N/A</v>
      </c>
      <c r="JX58" s="7" t="e">
        <f t="shared" si="106"/>
        <v>#N/A</v>
      </c>
      <c r="JY58" s="7" t="e">
        <f t="shared" si="107"/>
        <v>#N/A</v>
      </c>
      <c r="JZ58" s="7" t="e">
        <f t="shared" si="108"/>
        <v>#N/A</v>
      </c>
      <c r="KA58" s="7" t="e">
        <f t="shared" si="109"/>
        <v>#N/A</v>
      </c>
      <c r="KB58" s="7" t="e">
        <f t="shared" si="110"/>
        <v>#N/A</v>
      </c>
      <c r="KC58" s="7" t="e">
        <f t="shared" si="111"/>
        <v>#N/A</v>
      </c>
      <c r="KD58" s="7" t="e">
        <f t="shared" si="112"/>
        <v>#N/A</v>
      </c>
      <c r="KE58" s="7" t="e">
        <f t="shared" si="113"/>
        <v>#N/A</v>
      </c>
      <c r="KF58" s="7" t="e">
        <f t="shared" si="114"/>
        <v>#N/A</v>
      </c>
      <c r="KG58" s="7" t="e">
        <f t="shared" si="115"/>
        <v>#N/A</v>
      </c>
      <c r="KH58" s="7" t="e">
        <f t="shared" si="116"/>
        <v>#N/A</v>
      </c>
      <c r="KI58" s="7" t="e">
        <f t="shared" si="117"/>
        <v>#N/A</v>
      </c>
      <c r="KJ58" s="7" t="e">
        <f t="shared" si="118"/>
        <v>#N/A</v>
      </c>
      <c r="KK58" s="7" t="e">
        <f t="shared" si="119"/>
        <v>#N/A</v>
      </c>
      <c r="KL58" s="7" t="e">
        <f t="shared" si="120"/>
        <v>#N/A</v>
      </c>
      <c r="KM58" s="7" t="e">
        <f t="shared" si="121"/>
        <v>#N/A</v>
      </c>
      <c r="KN58" s="7" t="e">
        <f t="shared" si="122"/>
        <v>#N/A</v>
      </c>
      <c r="KO58" s="7" t="e">
        <f t="shared" si="123"/>
        <v>#N/A</v>
      </c>
      <c r="KP58" s="7" t="e">
        <f t="shared" si="124"/>
        <v>#N/A</v>
      </c>
      <c r="KQ58" s="7" t="e">
        <f t="shared" si="125"/>
        <v>#N/A</v>
      </c>
      <c r="KR58" s="7" t="e">
        <f t="shared" si="126"/>
        <v>#N/A</v>
      </c>
      <c r="KS58" s="7" t="e">
        <f t="shared" si="127"/>
        <v>#N/A</v>
      </c>
      <c r="KT58" s="7" t="e">
        <f t="shared" si="128"/>
        <v>#N/A</v>
      </c>
      <c r="KU58" s="7" t="e">
        <f t="shared" si="129"/>
        <v>#N/A</v>
      </c>
      <c r="KV58" s="7" t="e">
        <f t="shared" si="130"/>
        <v>#N/A</v>
      </c>
      <c r="KW58" s="7" t="e">
        <f t="shared" si="131"/>
        <v>#N/A</v>
      </c>
      <c r="KX58" s="7" t="e">
        <f t="shared" si="132"/>
        <v>#N/A</v>
      </c>
      <c r="KY58" s="7" t="e">
        <f t="shared" si="133"/>
        <v>#N/A</v>
      </c>
      <c r="KZ58" s="7" t="e">
        <f t="shared" si="134"/>
        <v>#N/A</v>
      </c>
      <c r="LA58" s="7" t="e">
        <f t="shared" si="135"/>
        <v>#N/A</v>
      </c>
      <c r="LB58" s="7" t="e">
        <f t="shared" si="136"/>
        <v>#N/A</v>
      </c>
      <c r="LC58" s="7" t="e">
        <f t="shared" si="137"/>
        <v>#N/A</v>
      </c>
      <c r="LD58" s="7" t="e">
        <f t="shared" si="138"/>
        <v>#N/A</v>
      </c>
      <c r="LE58" s="7" t="e">
        <f t="shared" si="139"/>
        <v>#N/A</v>
      </c>
      <c r="LF58" s="7" t="e">
        <f t="shared" si="140"/>
        <v>#N/A</v>
      </c>
      <c r="LG58" s="7" t="e">
        <f t="shared" si="141"/>
        <v>#N/A</v>
      </c>
      <c r="LH58" s="7" t="e">
        <f t="shared" si="142"/>
        <v>#N/A</v>
      </c>
      <c r="LI58" s="7" t="e">
        <f t="shared" si="143"/>
        <v>#N/A</v>
      </c>
      <c r="LJ58" s="7" t="e">
        <f t="shared" si="144"/>
        <v>#N/A</v>
      </c>
      <c r="LK58" s="7" t="e">
        <f t="shared" si="145"/>
        <v>#N/A</v>
      </c>
      <c r="LL58" s="7" t="e">
        <f t="shared" si="146"/>
        <v>#N/A</v>
      </c>
      <c r="LM58" s="7" t="e">
        <f t="shared" si="147"/>
        <v>#N/A</v>
      </c>
      <c r="LN58" s="7" t="e">
        <f t="shared" si="148"/>
        <v>#N/A</v>
      </c>
      <c r="LO58" s="7" t="e">
        <f t="shared" si="149"/>
        <v>#N/A</v>
      </c>
      <c r="LP58" s="7" t="e">
        <f t="shared" si="150"/>
        <v>#N/A</v>
      </c>
      <c r="LQ58" s="7" t="e">
        <f t="shared" si="151"/>
        <v>#N/A</v>
      </c>
      <c r="LR58" s="7" t="e">
        <f t="shared" si="152"/>
        <v>#N/A</v>
      </c>
      <c r="LS58" s="7" t="e">
        <f t="shared" si="153"/>
        <v>#N/A</v>
      </c>
      <c r="LT58" s="7" t="e">
        <f t="shared" si="154"/>
        <v>#N/A</v>
      </c>
      <c r="LU58" s="7" t="e">
        <f t="shared" si="155"/>
        <v>#N/A</v>
      </c>
      <c r="LV58" s="7" t="e">
        <f t="shared" si="156"/>
        <v>#N/A</v>
      </c>
      <c r="LW58" s="7" t="e">
        <f t="shared" si="157"/>
        <v>#N/A</v>
      </c>
      <c r="LX58" s="7" t="e">
        <f t="shared" si="158"/>
        <v>#N/A</v>
      </c>
      <c r="LY58" s="7" t="e">
        <f t="shared" si="159"/>
        <v>#N/A</v>
      </c>
      <c r="LZ58" s="7" t="e">
        <f t="shared" si="160"/>
        <v>#N/A</v>
      </c>
      <c r="MA58" s="7" t="e">
        <f t="shared" si="161"/>
        <v>#N/A</v>
      </c>
      <c r="MB58" s="7" t="e">
        <f t="shared" si="162"/>
        <v>#N/A</v>
      </c>
      <c r="MC58" s="7" t="e">
        <f t="shared" si="163"/>
        <v>#N/A</v>
      </c>
      <c r="MD58" s="7" t="e">
        <f t="shared" si="164"/>
        <v>#N/A</v>
      </c>
      <c r="ME58" s="7" t="e">
        <f t="shared" si="165"/>
        <v>#N/A</v>
      </c>
      <c r="MF58" s="7" t="e">
        <f t="shared" si="166"/>
        <v>#N/A</v>
      </c>
      <c r="MG58" s="7" t="e">
        <f t="shared" si="167"/>
        <v>#N/A</v>
      </c>
      <c r="MH58" s="7" t="e">
        <f t="shared" si="168"/>
        <v>#N/A</v>
      </c>
      <c r="MI58" s="7" t="e">
        <f t="shared" si="169"/>
        <v>#N/A</v>
      </c>
      <c r="MJ58" s="7" t="e">
        <f t="shared" si="170"/>
        <v>#N/A</v>
      </c>
      <c r="MK58" s="7" t="e">
        <f t="shared" si="171"/>
        <v>#N/A</v>
      </c>
      <c r="ML58" s="7" t="e">
        <f t="shared" si="172"/>
        <v>#N/A</v>
      </c>
      <c r="MM58" s="7" t="e">
        <f t="shared" si="173"/>
        <v>#N/A</v>
      </c>
      <c r="MN58" s="7" t="e">
        <f t="shared" si="174"/>
        <v>#N/A</v>
      </c>
      <c r="MO58" s="7" t="e">
        <f t="shared" si="175"/>
        <v>#N/A</v>
      </c>
      <c r="MP58" s="7" t="e">
        <f t="shared" si="176"/>
        <v>#N/A</v>
      </c>
      <c r="MQ58" s="7" t="e">
        <f t="shared" si="177"/>
        <v>#N/A</v>
      </c>
      <c r="MR58" s="7" t="e">
        <f t="shared" si="178"/>
        <v>#N/A</v>
      </c>
      <c r="MS58" s="7" t="e">
        <f t="shared" si="179"/>
        <v>#N/A</v>
      </c>
      <c r="MT58" s="7" t="e">
        <f t="shared" si="180"/>
        <v>#N/A</v>
      </c>
      <c r="MU58" s="7" t="e">
        <f t="shared" si="181"/>
        <v>#N/A</v>
      </c>
      <c r="MV58" s="7" t="e">
        <f t="shared" si="182"/>
        <v>#N/A</v>
      </c>
      <c r="MW58" s="7" t="e">
        <f t="shared" si="183"/>
        <v>#N/A</v>
      </c>
      <c r="MX58" s="7" t="e">
        <f t="shared" si="184"/>
        <v>#N/A</v>
      </c>
      <c r="MY58" s="7" t="e">
        <f t="shared" si="185"/>
        <v>#N/A</v>
      </c>
      <c r="MZ58" s="7" t="e">
        <f t="shared" si="186"/>
        <v>#N/A</v>
      </c>
      <c r="NA58" s="7" t="e">
        <f t="shared" si="187"/>
        <v>#N/A</v>
      </c>
      <c r="NB58" s="7" t="e">
        <f t="shared" si="188"/>
        <v>#N/A</v>
      </c>
      <c r="NC58" s="7" t="e">
        <f t="shared" si="189"/>
        <v>#N/A</v>
      </c>
      <c r="ND58" s="7" t="e">
        <f t="shared" si="190"/>
        <v>#N/A</v>
      </c>
      <c r="NE58" s="7" t="e">
        <f t="shared" si="191"/>
        <v>#N/A</v>
      </c>
      <c r="NF58" s="7" t="e">
        <f t="shared" si="192"/>
        <v>#N/A</v>
      </c>
      <c r="NG58" s="7" t="e">
        <f t="shared" si="193"/>
        <v>#N/A</v>
      </c>
      <c r="NH58" s="7" t="e">
        <f t="shared" si="194"/>
        <v>#N/A</v>
      </c>
      <c r="NI58" s="7" t="e">
        <f t="shared" si="195"/>
        <v>#N/A</v>
      </c>
      <c r="NJ58" s="7" t="e">
        <f t="shared" si="196"/>
        <v>#N/A</v>
      </c>
      <c r="NK58" s="7" t="e">
        <f t="shared" si="197"/>
        <v>#N/A</v>
      </c>
      <c r="NL58" s="7" t="e">
        <f t="shared" si="198"/>
        <v>#N/A</v>
      </c>
      <c r="NM58" s="7" t="e">
        <f t="shared" si="199"/>
        <v>#N/A</v>
      </c>
      <c r="NN58" s="7" t="e">
        <f t="shared" si="200"/>
        <v>#N/A</v>
      </c>
      <c r="NO58" s="7" t="e">
        <f t="shared" si="201"/>
        <v>#N/A</v>
      </c>
      <c r="NP58" s="7" t="e">
        <f t="shared" si="202"/>
        <v>#N/A</v>
      </c>
      <c r="NQ58" s="7" t="e">
        <f t="shared" si="203"/>
        <v>#N/A</v>
      </c>
      <c r="NR58" s="7" t="e">
        <f t="shared" si="204"/>
        <v>#N/A</v>
      </c>
      <c r="NS58" s="7" t="e">
        <f t="shared" si="205"/>
        <v>#N/A</v>
      </c>
      <c r="NT58" s="7" t="e">
        <f t="shared" si="206"/>
        <v>#N/A</v>
      </c>
      <c r="NU58" s="7" t="e">
        <f t="shared" si="207"/>
        <v>#N/A</v>
      </c>
      <c r="NV58" s="7" t="e">
        <f t="shared" si="208"/>
        <v>#N/A</v>
      </c>
      <c r="NW58" s="7" t="e">
        <f t="shared" si="209"/>
        <v>#N/A</v>
      </c>
      <c r="NX58" s="7" t="e">
        <f t="shared" si="210"/>
        <v>#N/A</v>
      </c>
      <c r="NY58" s="7" t="e">
        <f t="shared" si="211"/>
        <v>#N/A</v>
      </c>
      <c r="NZ58" s="7" t="e">
        <f t="shared" si="212"/>
        <v>#N/A</v>
      </c>
      <c r="OA58" s="7" t="e">
        <f t="shared" si="213"/>
        <v>#N/A</v>
      </c>
      <c r="OB58" s="7" t="e">
        <f t="shared" si="214"/>
        <v>#N/A</v>
      </c>
      <c r="OC58" s="7" t="e">
        <f t="shared" si="215"/>
        <v>#N/A</v>
      </c>
      <c r="OD58" s="7" t="e">
        <f t="shared" si="216"/>
        <v>#N/A</v>
      </c>
      <c r="OE58" s="7" t="e">
        <f t="shared" si="217"/>
        <v>#N/A</v>
      </c>
      <c r="OF58" s="7" t="e">
        <f t="shared" si="218"/>
        <v>#N/A</v>
      </c>
      <c r="OG58" s="7" t="e">
        <f t="shared" si="219"/>
        <v>#N/A</v>
      </c>
      <c r="OH58" s="7" t="e">
        <f t="shared" si="220"/>
        <v>#N/A</v>
      </c>
      <c r="OI58" s="7" t="e">
        <f t="shared" si="221"/>
        <v>#N/A</v>
      </c>
      <c r="OJ58" s="7" t="e">
        <f t="shared" si="222"/>
        <v>#N/A</v>
      </c>
      <c r="OK58" s="7" t="e">
        <f t="shared" si="223"/>
        <v>#N/A</v>
      </c>
      <c r="OL58" s="7" t="e">
        <f t="shared" si="224"/>
        <v>#N/A</v>
      </c>
      <c r="OM58" s="7" t="e">
        <f t="shared" si="225"/>
        <v>#N/A</v>
      </c>
      <c r="ON58" s="7" t="e">
        <f t="shared" si="226"/>
        <v>#N/A</v>
      </c>
      <c r="OO58" s="7" t="e">
        <f t="shared" si="227"/>
        <v>#N/A</v>
      </c>
      <c r="OP58" s="7" t="e">
        <f t="shared" si="228"/>
        <v>#N/A</v>
      </c>
      <c r="OQ58" s="7" t="e">
        <f t="shared" si="229"/>
        <v>#N/A</v>
      </c>
      <c r="OR58" s="7" t="e">
        <f t="shared" si="230"/>
        <v>#N/A</v>
      </c>
      <c r="OS58" s="7" t="e">
        <f t="shared" si="231"/>
        <v>#N/A</v>
      </c>
      <c r="OT58" s="7" t="e">
        <f t="shared" si="232"/>
        <v>#N/A</v>
      </c>
      <c r="OU58" s="7" t="e">
        <f t="shared" si="233"/>
        <v>#N/A</v>
      </c>
      <c r="OV58" s="7" t="e">
        <f t="shared" si="234"/>
        <v>#N/A</v>
      </c>
      <c r="OW58" s="7" t="e">
        <f t="shared" si="235"/>
        <v>#N/A</v>
      </c>
      <c r="OX58" s="7" t="e">
        <f t="shared" si="236"/>
        <v>#N/A</v>
      </c>
      <c r="OY58" s="7" t="e">
        <f t="shared" si="237"/>
        <v>#N/A</v>
      </c>
      <c r="OZ58" s="7" t="e">
        <f t="shared" si="238"/>
        <v>#N/A</v>
      </c>
      <c r="PA58" s="7" t="e">
        <f t="shared" si="239"/>
        <v>#N/A</v>
      </c>
      <c r="PB58" s="7" t="e">
        <f t="shared" si="240"/>
        <v>#N/A</v>
      </c>
      <c r="PC58" s="7" t="e">
        <f t="shared" si="243"/>
        <v>#N/A</v>
      </c>
      <c r="PD58" s="7" t="e">
        <f t="shared" si="245"/>
        <v>#N/A</v>
      </c>
      <c r="PE58" s="7" t="e">
        <f t="shared" si="245"/>
        <v>#N/A</v>
      </c>
      <c r="PF58" s="7" t="e">
        <f t="shared" si="245"/>
        <v>#N/A</v>
      </c>
      <c r="PG58" s="7" t="e">
        <f t="shared" si="245"/>
        <v>#N/A</v>
      </c>
      <c r="PH58" s="7" t="e">
        <f t="shared" si="245"/>
        <v>#N/A</v>
      </c>
      <c r="PI58" s="7" t="e">
        <f t="shared" si="245"/>
        <v>#N/A</v>
      </c>
      <c r="PJ58" s="7" t="e">
        <f t="shared" si="245"/>
        <v>#N/A</v>
      </c>
      <c r="PK58" s="7" t="e">
        <f t="shared" si="245"/>
        <v>#N/A</v>
      </c>
      <c r="PL58" s="7" t="e">
        <f t="shared" si="245"/>
        <v>#N/A</v>
      </c>
      <c r="PM58" s="7" t="e">
        <f t="shared" si="245"/>
        <v>#N/A</v>
      </c>
      <c r="PN58" s="7" t="e">
        <f t="shared" si="246"/>
        <v>#N/A</v>
      </c>
      <c r="PO58" s="7" t="e">
        <f t="shared" si="246"/>
        <v>#N/A</v>
      </c>
      <c r="PP58" s="7" t="e">
        <f t="shared" si="246"/>
        <v>#N/A</v>
      </c>
      <c r="PQ58" s="7" t="e">
        <f t="shared" si="246"/>
        <v>#N/A</v>
      </c>
      <c r="PR58" s="7" t="e">
        <f t="shared" si="246"/>
        <v>#N/A</v>
      </c>
      <c r="PS58" s="7" t="e">
        <f t="shared" si="246"/>
        <v>#N/A</v>
      </c>
      <c r="PT58" s="7" t="e">
        <f t="shared" si="246"/>
        <v>#N/A</v>
      </c>
      <c r="PU58" s="7" t="e">
        <f t="shared" si="246"/>
        <v>#N/A</v>
      </c>
      <c r="PV58" s="7" t="e">
        <f t="shared" si="246"/>
        <v>#N/A</v>
      </c>
      <c r="PW58" s="7" t="e">
        <f t="shared" si="246"/>
        <v>#N/A</v>
      </c>
      <c r="PX58" s="7" t="e">
        <f t="shared" si="247"/>
        <v>#N/A</v>
      </c>
      <c r="PY58" s="7" t="e">
        <f t="shared" si="247"/>
        <v>#N/A</v>
      </c>
      <c r="PZ58" s="7" t="e">
        <f t="shared" si="247"/>
        <v>#N/A</v>
      </c>
      <c r="QA58" s="7" t="e">
        <f t="shared" si="247"/>
        <v>#N/A</v>
      </c>
      <c r="QB58" s="7" t="e">
        <f t="shared" si="247"/>
        <v>#N/A</v>
      </c>
      <c r="QC58" s="7" t="e">
        <f t="shared" si="247"/>
        <v>#N/A</v>
      </c>
      <c r="QD58" s="7" t="e">
        <f t="shared" si="247"/>
        <v>#N/A</v>
      </c>
      <c r="QE58" s="7" t="e">
        <f t="shared" si="247"/>
        <v>#N/A</v>
      </c>
      <c r="QF58" s="7" t="e">
        <f t="shared" si="247"/>
        <v>#N/A</v>
      </c>
      <c r="QG58" s="7" t="e">
        <f t="shared" si="247"/>
        <v>#N/A</v>
      </c>
      <c r="QH58" s="7" t="e">
        <f t="shared" si="248"/>
        <v>#N/A</v>
      </c>
      <c r="QI58" s="7" t="e">
        <f t="shared" si="248"/>
        <v>#N/A</v>
      </c>
      <c r="QJ58" s="7" t="e">
        <f t="shared" si="248"/>
        <v>#N/A</v>
      </c>
      <c r="QK58" s="7" t="e">
        <f t="shared" si="248"/>
        <v>#N/A</v>
      </c>
      <c r="QL58" s="7" t="e">
        <f t="shared" si="248"/>
        <v>#N/A</v>
      </c>
      <c r="QM58" s="7" t="e">
        <f t="shared" si="248"/>
        <v>#N/A</v>
      </c>
      <c r="QN58" s="7" t="e">
        <f t="shared" si="248"/>
        <v>#N/A</v>
      </c>
      <c r="QO58" s="7" t="e">
        <f t="shared" si="248"/>
        <v>#N/A</v>
      </c>
      <c r="QP58" s="7" t="e">
        <f t="shared" si="248"/>
        <v>#N/A</v>
      </c>
      <c r="QQ58" s="7" t="e">
        <f t="shared" si="248"/>
        <v>#N/A</v>
      </c>
      <c r="QR58" s="7" t="e">
        <f t="shared" si="249"/>
        <v>#N/A</v>
      </c>
      <c r="QS58" s="7" t="e">
        <f t="shared" si="249"/>
        <v>#N/A</v>
      </c>
      <c r="QT58" s="7" t="e">
        <f t="shared" si="249"/>
        <v>#N/A</v>
      </c>
      <c r="QU58" s="7" t="e">
        <f t="shared" si="249"/>
        <v>#N/A</v>
      </c>
      <c r="QV58" s="7" t="e">
        <f t="shared" si="249"/>
        <v>#N/A</v>
      </c>
      <c r="QW58" s="7" t="e">
        <f t="shared" si="249"/>
        <v>#N/A</v>
      </c>
      <c r="QX58" s="7" t="e">
        <f t="shared" si="249"/>
        <v>#N/A</v>
      </c>
      <c r="QY58" s="7" t="e">
        <f t="shared" si="249"/>
        <v>#N/A</v>
      </c>
      <c r="QZ58" s="7" t="e">
        <f t="shared" si="249"/>
        <v>#N/A</v>
      </c>
      <c r="RA58" s="7" t="e">
        <f t="shared" si="249"/>
        <v>#N/A</v>
      </c>
      <c r="RB58" s="7" t="e">
        <f t="shared" si="250"/>
        <v>#N/A</v>
      </c>
      <c r="RC58" s="7" t="e">
        <f t="shared" si="250"/>
        <v>#N/A</v>
      </c>
      <c r="RD58" s="7" t="e">
        <f t="shared" si="250"/>
        <v>#N/A</v>
      </c>
      <c r="RE58" s="7" t="e">
        <f t="shared" si="250"/>
        <v>#N/A</v>
      </c>
      <c r="RF58" s="7" t="e">
        <f t="shared" si="250"/>
        <v>#N/A</v>
      </c>
      <c r="RG58" s="7" t="e">
        <f t="shared" si="250"/>
        <v>#N/A</v>
      </c>
      <c r="RH58" s="7" t="e">
        <f t="shared" si="250"/>
        <v>#N/A</v>
      </c>
      <c r="RI58" s="7" t="e">
        <f t="shared" si="250"/>
        <v>#N/A</v>
      </c>
      <c r="RJ58" s="7" t="e">
        <f t="shared" si="250"/>
        <v>#N/A</v>
      </c>
      <c r="RK58" s="7" t="e">
        <f t="shared" si="250"/>
        <v>#N/A</v>
      </c>
      <c r="RL58" s="7" t="e">
        <f t="shared" si="251"/>
        <v>#N/A</v>
      </c>
      <c r="RM58" s="7" t="e">
        <f t="shared" si="251"/>
        <v>#N/A</v>
      </c>
      <c r="RN58" s="7" t="e">
        <f t="shared" si="251"/>
        <v>#N/A</v>
      </c>
      <c r="RO58" s="7" t="e">
        <f t="shared" si="244"/>
        <v>#N/A</v>
      </c>
      <c r="RP58" s="7" t="e">
        <f t="shared" si="256"/>
        <v>#N/A</v>
      </c>
      <c r="RQ58" s="7" t="e">
        <f t="shared" si="256"/>
        <v>#N/A</v>
      </c>
      <c r="RR58" s="7" t="e">
        <f t="shared" si="256"/>
        <v>#N/A</v>
      </c>
      <c r="RS58" s="7" t="e">
        <f t="shared" si="256"/>
        <v>#N/A</v>
      </c>
      <c r="RT58" s="7" t="e">
        <f t="shared" si="256"/>
        <v>#N/A</v>
      </c>
      <c r="RU58" s="7" t="e">
        <f t="shared" si="256"/>
        <v>#N/A</v>
      </c>
      <c r="RV58" s="7" t="e">
        <f t="shared" si="256"/>
        <v>#N/A</v>
      </c>
      <c r="RW58" s="7" t="e">
        <f t="shared" si="256"/>
        <v>#N/A</v>
      </c>
      <c r="RX58" s="7" t="e">
        <f t="shared" si="256"/>
        <v>#N/A</v>
      </c>
      <c r="RY58" s="7" t="e">
        <f t="shared" si="256"/>
        <v>#N/A</v>
      </c>
      <c r="RZ58" s="7" t="e">
        <f t="shared" si="257"/>
        <v>#N/A</v>
      </c>
      <c r="SA58" s="7" t="e">
        <f t="shared" si="257"/>
        <v>#N/A</v>
      </c>
      <c r="SB58" s="7" t="e">
        <f t="shared" si="257"/>
        <v>#N/A</v>
      </c>
      <c r="SC58" s="7" t="e">
        <f t="shared" si="257"/>
        <v>#N/A</v>
      </c>
      <c r="SD58" s="7" t="e">
        <f t="shared" si="257"/>
        <v>#N/A</v>
      </c>
      <c r="SE58" s="7" t="e">
        <f t="shared" si="257"/>
        <v>#N/A</v>
      </c>
      <c r="SF58" s="7" t="e">
        <f t="shared" si="257"/>
        <v>#N/A</v>
      </c>
      <c r="SG58" s="7" t="e">
        <f t="shared" si="257"/>
        <v>#N/A</v>
      </c>
      <c r="SH58" s="7" t="e">
        <f t="shared" si="257"/>
        <v>#N/A</v>
      </c>
      <c r="SI58" s="7" t="e">
        <f t="shared" si="257"/>
        <v>#N/A</v>
      </c>
      <c r="SJ58" s="7" t="e">
        <f t="shared" si="258"/>
        <v>#N/A</v>
      </c>
      <c r="SK58" s="7" t="e">
        <f t="shared" si="255"/>
        <v>#N/A</v>
      </c>
      <c r="SL58" s="7" t="e">
        <f t="shared" si="255"/>
        <v>#N/A</v>
      </c>
      <c r="SM58" s="7" t="e">
        <f t="shared" si="255"/>
        <v>#N/A</v>
      </c>
      <c r="SN58" s="7" t="e">
        <f t="shared" si="255"/>
        <v>#N/A</v>
      </c>
      <c r="SO58" s="7" t="e">
        <f t="shared" si="255"/>
        <v>#N/A</v>
      </c>
      <c r="SP58" s="7" t="e">
        <f t="shared" si="255"/>
        <v>#N/A</v>
      </c>
      <c r="SQ58" s="7" t="e">
        <f t="shared" si="255"/>
        <v>#N/A</v>
      </c>
      <c r="SR58" s="7" t="e">
        <f t="shared" si="255"/>
        <v>#N/A</v>
      </c>
      <c r="SS58" s="7" t="e">
        <f t="shared" si="255"/>
        <v>#N/A</v>
      </c>
      <c r="ST58" s="7" t="e">
        <f t="shared" si="255"/>
        <v>#N/A</v>
      </c>
      <c r="SU58" s="7" t="e">
        <f t="shared" si="255"/>
        <v>#N/A</v>
      </c>
      <c r="SV58" s="7" t="e">
        <f t="shared" si="255"/>
        <v>#N/A</v>
      </c>
      <c r="SW58" s="7" t="e">
        <f t="shared" si="255"/>
        <v>#N/A</v>
      </c>
      <c r="SX58" s="7" t="e">
        <f t="shared" si="255"/>
        <v>#N/A</v>
      </c>
      <c r="SY58" s="7" t="e">
        <f>IF(ISERROR(AVERAGE(SV55:TB55)),NA(),AVERAGE(SV55:TB55))</f>
        <v>#N/A</v>
      </c>
      <c r="SZ58" s="7"/>
      <c r="TA58" s="7"/>
      <c r="TB58" s="7"/>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290"/>
  <sheetViews>
    <sheetView topLeftCell="G1" zoomScale="85" zoomScaleNormal="85" workbookViewId="0">
      <selection activeCell="AF2" sqref="AF2"/>
    </sheetView>
  </sheetViews>
  <sheetFormatPr defaultRowHeight="13.5" x14ac:dyDescent="0.15"/>
  <cols>
    <col min="1" max="1" width="20.25" style="2" bestFit="1" customWidth="1"/>
    <col min="2" max="2" width="9.375" customWidth="1"/>
    <col min="4" max="4" width="22.625" bestFit="1" customWidth="1"/>
    <col min="31" max="31" width="16.625" bestFit="1" customWidth="1"/>
  </cols>
  <sheetData>
    <row r="1" spans="1:32" x14ac:dyDescent="0.15">
      <c r="A1" s="6" t="s">
        <v>1</v>
      </c>
      <c r="B1" s="6" t="s">
        <v>0</v>
      </c>
      <c r="D1" s="2" t="s">
        <v>229</v>
      </c>
      <c r="E1" s="2" t="s">
        <v>234</v>
      </c>
      <c r="F1" s="2" t="s">
        <v>2</v>
      </c>
      <c r="G1" s="2" t="s">
        <v>3</v>
      </c>
      <c r="H1" s="2" t="s">
        <v>4</v>
      </c>
      <c r="I1" s="2" t="s">
        <v>5</v>
      </c>
      <c r="J1" s="2" t="s">
        <v>6</v>
      </c>
      <c r="K1" s="2" t="s">
        <v>7</v>
      </c>
      <c r="L1" s="2" t="s">
        <v>8</v>
      </c>
      <c r="M1" s="2" t="s">
        <v>9</v>
      </c>
      <c r="N1" s="2" t="s">
        <v>10</v>
      </c>
      <c r="O1" s="2" t="s">
        <v>11</v>
      </c>
      <c r="P1" s="2" t="s">
        <v>12</v>
      </c>
      <c r="Q1" s="2" t="s">
        <v>13</v>
      </c>
      <c r="R1" s="2" t="s">
        <v>14</v>
      </c>
      <c r="S1" s="2" t="s">
        <v>15</v>
      </c>
      <c r="T1" s="2" t="s">
        <v>16</v>
      </c>
      <c r="U1" s="2" t="s">
        <v>17</v>
      </c>
      <c r="V1" s="2" t="s">
        <v>18</v>
      </c>
      <c r="W1" s="2" t="s">
        <v>19</v>
      </c>
      <c r="X1" s="2" t="s">
        <v>20</v>
      </c>
      <c r="Y1" s="2" t="s">
        <v>21</v>
      </c>
      <c r="Z1" s="2" t="s">
        <v>22</v>
      </c>
      <c r="AA1" s="2" t="s">
        <v>23</v>
      </c>
      <c r="AB1" s="2" t="s">
        <v>24</v>
      </c>
      <c r="AC1" s="2" t="s">
        <v>25</v>
      </c>
      <c r="AE1" s="2" t="s">
        <v>227</v>
      </c>
      <c r="AF1" t="str">
        <f>"http://www.data.jma.go.jp/risk/probability/guidance/download2w.php?2week_t_" &amp; VLOOKUP(グラフ!$E$7,table!$A$2:$B$176,2,FALSE) &amp; ".csv"</f>
        <v>http://www.data.jma.go.jp/risk/probability/guidance/download2w.php?2week_t_47662.csv</v>
      </c>
    </row>
    <row r="2" spans="1:32" x14ac:dyDescent="0.15">
      <c r="A2" s="2" t="s">
        <v>2</v>
      </c>
      <c r="B2">
        <v>11</v>
      </c>
      <c r="E2" s="2" t="s">
        <v>235</v>
      </c>
      <c r="F2" s="2" t="s">
        <v>26</v>
      </c>
      <c r="G2" s="2" t="s">
        <v>27</v>
      </c>
      <c r="H2" s="2" t="s">
        <v>28</v>
      </c>
      <c r="I2" s="2" t="s">
        <v>29</v>
      </c>
      <c r="J2" s="2" t="s">
        <v>30</v>
      </c>
      <c r="K2" s="2" t="s">
        <v>31</v>
      </c>
      <c r="L2" s="2" t="s">
        <v>32</v>
      </c>
      <c r="M2" s="2" t="s">
        <v>33</v>
      </c>
      <c r="N2" s="2" t="s">
        <v>34</v>
      </c>
      <c r="O2" s="2" t="s">
        <v>35</v>
      </c>
      <c r="P2" s="2" t="s">
        <v>36</v>
      </c>
      <c r="Q2" s="2" t="s">
        <v>37</v>
      </c>
      <c r="R2" s="2" t="s">
        <v>38</v>
      </c>
      <c r="S2" s="2" t="s">
        <v>39</v>
      </c>
      <c r="T2" s="2" t="s">
        <v>40</v>
      </c>
      <c r="U2" s="2" t="s">
        <v>41</v>
      </c>
      <c r="V2" s="2" t="s">
        <v>42</v>
      </c>
      <c r="W2" s="2" t="s">
        <v>43</v>
      </c>
      <c r="X2" s="2" t="s">
        <v>44</v>
      </c>
      <c r="Y2" s="2" t="s">
        <v>45</v>
      </c>
      <c r="Z2" s="2" t="s">
        <v>46</v>
      </c>
      <c r="AA2" s="2" t="s">
        <v>47</v>
      </c>
    </row>
    <row r="3" spans="1:32" x14ac:dyDescent="0.15">
      <c r="A3" s="2" t="s">
        <v>3</v>
      </c>
      <c r="B3">
        <v>12</v>
      </c>
      <c r="E3" s="2" t="s">
        <v>236</v>
      </c>
      <c r="F3" s="2" t="s">
        <v>51</v>
      </c>
      <c r="G3" s="2" t="s">
        <v>52</v>
      </c>
      <c r="H3" s="2" t="s">
        <v>53</v>
      </c>
      <c r="I3" s="2" t="s">
        <v>54</v>
      </c>
    </row>
    <row r="4" spans="1:32" x14ac:dyDescent="0.15">
      <c r="A4" s="2" t="s">
        <v>4</v>
      </c>
      <c r="B4">
        <v>13</v>
      </c>
      <c r="E4" s="2" t="s">
        <v>237</v>
      </c>
      <c r="F4" s="2" t="s">
        <v>48</v>
      </c>
      <c r="G4" s="2" t="s">
        <v>56</v>
      </c>
      <c r="H4" s="2" t="s">
        <v>57</v>
      </c>
    </row>
    <row r="5" spans="1:32" x14ac:dyDescent="0.15">
      <c r="A5" s="2" t="s">
        <v>5</v>
      </c>
      <c r="B5">
        <v>14</v>
      </c>
      <c r="E5" s="2" t="s">
        <v>238</v>
      </c>
      <c r="F5" s="2" t="s">
        <v>60</v>
      </c>
      <c r="G5" s="2" t="s">
        <v>61</v>
      </c>
    </row>
    <row r="6" spans="1:32" x14ac:dyDescent="0.15">
      <c r="A6" s="2" t="s">
        <v>6</v>
      </c>
      <c r="B6">
        <v>15</v>
      </c>
      <c r="E6" s="2" t="s">
        <v>239</v>
      </c>
      <c r="F6" s="2" t="s">
        <v>55</v>
      </c>
    </row>
    <row r="7" spans="1:32" x14ac:dyDescent="0.15">
      <c r="A7" s="2" t="s">
        <v>7</v>
      </c>
      <c r="B7">
        <v>16</v>
      </c>
      <c r="E7" s="2" t="s">
        <v>240</v>
      </c>
      <c r="F7" s="2" t="s">
        <v>49</v>
      </c>
      <c r="G7" s="2" t="s">
        <v>58</v>
      </c>
      <c r="H7" s="2" t="s">
        <v>59</v>
      </c>
    </row>
    <row r="8" spans="1:32" x14ac:dyDescent="0.15">
      <c r="A8" s="2" t="s">
        <v>8</v>
      </c>
      <c r="B8">
        <v>17</v>
      </c>
      <c r="E8" s="2" t="s">
        <v>241</v>
      </c>
      <c r="F8" s="2" t="s">
        <v>50</v>
      </c>
      <c r="G8" s="2" t="s">
        <v>62</v>
      </c>
      <c r="H8" s="2" t="s">
        <v>63</v>
      </c>
      <c r="I8" s="2" t="s">
        <v>64</v>
      </c>
    </row>
    <row r="9" spans="1:32" x14ac:dyDescent="0.15">
      <c r="A9" s="2" t="s">
        <v>9</v>
      </c>
      <c r="B9">
        <v>18</v>
      </c>
      <c r="E9" s="2" t="s">
        <v>242</v>
      </c>
      <c r="F9" s="2" t="s">
        <v>81</v>
      </c>
      <c r="G9" s="2" t="s">
        <v>89</v>
      </c>
    </row>
    <row r="10" spans="1:32" x14ac:dyDescent="0.15">
      <c r="A10" s="2" t="s">
        <v>10</v>
      </c>
      <c r="B10">
        <v>19</v>
      </c>
      <c r="E10" s="2" t="s">
        <v>243</v>
      </c>
      <c r="F10" s="2" t="s">
        <v>73</v>
      </c>
      <c r="G10" s="2" t="s">
        <v>110</v>
      </c>
    </row>
    <row r="11" spans="1:32" x14ac:dyDescent="0.15">
      <c r="A11" s="2" t="s">
        <v>11</v>
      </c>
      <c r="B11">
        <v>20</v>
      </c>
      <c r="E11" s="2" t="s">
        <v>244</v>
      </c>
      <c r="F11" s="2" t="s">
        <v>79</v>
      </c>
    </row>
    <row r="12" spans="1:32" x14ac:dyDescent="0.15">
      <c r="A12" s="2" t="s">
        <v>12</v>
      </c>
      <c r="B12">
        <v>21</v>
      </c>
      <c r="E12" s="2" t="s">
        <v>245</v>
      </c>
      <c r="F12" s="2" t="s">
        <v>80</v>
      </c>
      <c r="G12" s="2" t="s">
        <v>88</v>
      </c>
    </row>
    <row r="13" spans="1:32" x14ac:dyDescent="0.15">
      <c r="A13" s="2" t="s">
        <v>13</v>
      </c>
      <c r="B13">
        <v>22</v>
      </c>
      <c r="E13" s="2" t="s">
        <v>246</v>
      </c>
      <c r="F13" s="2" t="s">
        <v>90</v>
      </c>
      <c r="G13" s="2" t="s">
        <v>103</v>
      </c>
      <c r="H13" s="2" t="s">
        <v>104</v>
      </c>
      <c r="I13" s="2" t="s">
        <v>108</v>
      </c>
    </row>
    <row r="14" spans="1:32" x14ac:dyDescent="0.15">
      <c r="A14" s="2" t="s">
        <v>14</v>
      </c>
      <c r="B14">
        <v>23</v>
      </c>
      <c r="E14" s="2" t="s">
        <v>247</v>
      </c>
      <c r="F14" s="2" t="s">
        <v>98</v>
      </c>
      <c r="G14" s="2" t="s">
        <v>105</v>
      </c>
      <c r="H14" s="2" t="s">
        <v>106</v>
      </c>
      <c r="I14" s="2" t="s">
        <v>107</v>
      </c>
      <c r="J14" s="2" t="s">
        <v>176</v>
      </c>
    </row>
    <row r="15" spans="1:32" x14ac:dyDescent="0.15">
      <c r="A15" s="2" t="s">
        <v>15</v>
      </c>
      <c r="B15">
        <v>24</v>
      </c>
      <c r="E15" s="2" t="s">
        <v>248</v>
      </c>
      <c r="F15" s="2" t="s">
        <v>102</v>
      </c>
    </row>
    <row r="16" spans="1:32" x14ac:dyDescent="0.15">
      <c r="A16" s="2" t="s">
        <v>16</v>
      </c>
      <c r="B16">
        <v>25</v>
      </c>
      <c r="E16" s="2" t="s">
        <v>249</v>
      </c>
      <c r="F16" s="2" t="s">
        <v>66</v>
      </c>
      <c r="G16" s="2" t="s">
        <v>67</v>
      </c>
      <c r="H16" s="2" t="s">
        <v>72</v>
      </c>
    </row>
    <row r="17" spans="1:11" x14ac:dyDescent="0.15">
      <c r="A17" s="2" t="s">
        <v>17</v>
      </c>
      <c r="B17">
        <v>26</v>
      </c>
      <c r="E17" s="2" t="s">
        <v>250</v>
      </c>
      <c r="F17" s="2" t="s">
        <v>69</v>
      </c>
      <c r="G17" s="2" t="s">
        <v>70</v>
      </c>
    </row>
    <row r="18" spans="1:11" x14ac:dyDescent="0.15">
      <c r="A18" s="2" t="s">
        <v>18</v>
      </c>
      <c r="B18">
        <v>27</v>
      </c>
      <c r="E18" s="2" t="s">
        <v>251</v>
      </c>
      <c r="F18" s="2" t="s">
        <v>65</v>
      </c>
      <c r="G18" s="2" t="s">
        <v>68</v>
      </c>
    </row>
    <row r="19" spans="1:11" x14ac:dyDescent="0.15">
      <c r="A19" s="2" t="s">
        <v>19</v>
      </c>
      <c r="B19">
        <v>28</v>
      </c>
      <c r="E19" s="2" t="s">
        <v>252</v>
      </c>
      <c r="F19" s="2" t="s">
        <v>74</v>
      </c>
      <c r="G19" s="2" t="s">
        <v>82</v>
      </c>
    </row>
    <row r="20" spans="1:11" x14ac:dyDescent="0.15">
      <c r="A20" s="2" t="s">
        <v>20</v>
      </c>
      <c r="B20">
        <v>29</v>
      </c>
      <c r="E20" s="2" t="s">
        <v>253</v>
      </c>
      <c r="F20" s="2" t="s">
        <v>86</v>
      </c>
      <c r="G20" s="2" t="s">
        <v>87</v>
      </c>
    </row>
    <row r="21" spans="1:11" x14ac:dyDescent="0.15">
      <c r="A21" s="2" t="s">
        <v>21</v>
      </c>
      <c r="B21">
        <v>30</v>
      </c>
      <c r="E21" s="2" t="s">
        <v>254</v>
      </c>
      <c r="F21" s="2" t="s">
        <v>71</v>
      </c>
      <c r="G21" s="2" t="s">
        <v>76</v>
      </c>
      <c r="H21" s="2" t="s">
        <v>77</v>
      </c>
      <c r="I21" s="2" t="s">
        <v>78</v>
      </c>
      <c r="J21" s="2" t="s">
        <v>85</v>
      </c>
    </row>
    <row r="22" spans="1:11" x14ac:dyDescent="0.15">
      <c r="A22" s="2" t="s">
        <v>22</v>
      </c>
      <c r="B22">
        <v>31</v>
      </c>
      <c r="E22" s="2" t="s">
        <v>255</v>
      </c>
      <c r="F22" s="2" t="s">
        <v>75</v>
      </c>
      <c r="G22" s="2" t="s">
        <v>83</v>
      </c>
    </row>
    <row r="23" spans="1:11" x14ac:dyDescent="0.15">
      <c r="A23" s="2" t="s">
        <v>23</v>
      </c>
      <c r="B23">
        <v>32</v>
      </c>
      <c r="E23" s="2" t="s">
        <v>256</v>
      </c>
      <c r="F23" s="2" t="s">
        <v>94</v>
      </c>
      <c r="G23" s="2" t="s">
        <v>95</v>
      </c>
      <c r="H23" s="2" t="s">
        <v>96</v>
      </c>
      <c r="I23" s="2" t="s">
        <v>97</v>
      </c>
      <c r="J23" s="2" t="s">
        <v>100</v>
      </c>
      <c r="K23" s="2" t="s">
        <v>101</v>
      </c>
    </row>
    <row r="24" spans="1:11" x14ac:dyDescent="0.15">
      <c r="A24" s="2" t="s">
        <v>24</v>
      </c>
      <c r="B24">
        <v>33</v>
      </c>
      <c r="E24" s="2" t="s">
        <v>257</v>
      </c>
      <c r="F24" s="2" t="s">
        <v>84</v>
      </c>
      <c r="G24" s="2" t="s">
        <v>93</v>
      </c>
    </row>
    <row r="25" spans="1:11" x14ac:dyDescent="0.15">
      <c r="A25" s="2" t="s">
        <v>25</v>
      </c>
      <c r="B25">
        <v>34</v>
      </c>
      <c r="E25" s="2" t="s">
        <v>258</v>
      </c>
      <c r="F25" s="2" t="s">
        <v>91</v>
      </c>
      <c r="G25" s="2" t="s">
        <v>92</v>
      </c>
      <c r="H25" s="2" t="s">
        <v>99</v>
      </c>
      <c r="I25" s="2" t="s">
        <v>109</v>
      </c>
    </row>
    <row r="26" spans="1:11" x14ac:dyDescent="0.15">
      <c r="A26" s="2" t="s">
        <v>26</v>
      </c>
      <c r="B26">
        <v>47401</v>
      </c>
      <c r="E26" s="2" t="s">
        <v>259</v>
      </c>
      <c r="F26" s="2" t="s">
        <v>122</v>
      </c>
    </row>
    <row r="27" spans="1:11" x14ac:dyDescent="0.15">
      <c r="A27" s="2" t="s">
        <v>27</v>
      </c>
      <c r="B27">
        <v>47402</v>
      </c>
      <c r="E27" s="2" t="s">
        <v>260</v>
      </c>
      <c r="F27" s="2" t="s">
        <v>117</v>
      </c>
      <c r="G27" s="2" t="s">
        <v>121</v>
      </c>
    </row>
    <row r="28" spans="1:11" x14ac:dyDescent="0.15">
      <c r="A28" s="2" t="s">
        <v>28</v>
      </c>
      <c r="B28">
        <v>47404</v>
      </c>
      <c r="E28" s="2" t="s">
        <v>261</v>
      </c>
      <c r="F28" s="2" t="s">
        <v>130</v>
      </c>
    </row>
    <row r="29" spans="1:11" x14ac:dyDescent="0.15">
      <c r="A29" s="2" t="s">
        <v>29</v>
      </c>
      <c r="B29">
        <v>47405</v>
      </c>
      <c r="E29" s="2" t="s">
        <v>262</v>
      </c>
      <c r="F29" s="2" t="s">
        <v>116</v>
      </c>
      <c r="G29" s="2" t="s">
        <v>128</v>
      </c>
      <c r="H29" s="2" t="s">
        <v>129</v>
      </c>
      <c r="I29" s="2" t="s">
        <v>131</v>
      </c>
    </row>
    <row r="30" spans="1:11" x14ac:dyDescent="0.15">
      <c r="A30" s="2" t="s">
        <v>30</v>
      </c>
      <c r="B30">
        <v>47406</v>
      </c>
      <c r="E30" s="2" t="s">
        <v>263</v>
      </c>
      <c r="F30" s="2" t="s">
        <v>134</v>
      </c>
    </row>
    <row r="31" spans="1:11" x14ac:dyDescent="0.15">
      <c r="A31" s="2" t="s">
        <v>31</v>
      </c>
      <c r="B31">
        <v>47407</v>
      </c>
      <c r="E31" s="2" t="s">
        <v>264</v>
      </c>
      <c r="F31" s="2" t="s">
        <v>132</v>
      </c>
      <c r="G31" s="2" t="s">
        <v>133</v>
      </c>
    </row>
    <row r="32" spans="1:11" x14ac:dyDescent="0.15">
      <c r="A32" s="2" t="s">
        <v>32</v>
      </c>
      <c r="B32">
        <v>47409</v>
      </c>
      <c r="E32" s="2" t="s">
        <v>265</v>
      </c>
      <c r="F32" s="2" t="s">
        <v>113</v>
      </c>
      <c r="G32" s="2" t="s">
        <v>114</v>
      </c>
      <c r="H32" s="2" t="s">
        <v>115</v>
      </c>
    </row>
    <row r="33" spans="1:12" x14ac:dyDescent="0.15">
      <c r="A33" s="2" t="s">
        <v>33</v>
      </c>
      <c r="B33">
        <v>47411</v>
      </c>
      <c r="E33" s="2" t="s">
        <v>266</v>
      </c>
      <c r="F33" s="2" t="s">
        <v>111</v>
      </c>
      <c r="G33" s="2" t="s">
        <v>112</v>
      </c>
      <c r="H33" s="2" t="s">
        <v>119</v>
      </c>
    </row>
    <row r="34" spans="1:12" x14ac:dyDescent="0.15">
      <c r="A34" s="2" t="s">
        <v>34</v>
      </c>
      <c r="B34">
        <v>47412</v>
      </c>
      <c r="E34" s="2" t="s">
        <v>267</v>
      </c>
      <c r="F34" s="2" t="s">
        <v>120</v>
      </c>
      <c r="G34" s="2" t="s">
        <v>127</v>
      </c>
    </row>
    <row r="35" spans="1:12" x14ac:dyDescent="0.15">
      <c r="A35" s="2" t="s">
        <v>35</v>
      </c>
      <c r="B35">
        <v>47413</v>
      </c>
      <c r="E35" s="2" t="s">
        <v>268</v>
      </c>
      <c r="F35" s="2" t="s">
        <v>124</v>
      </c>
      <c r="G35" s="2" t="s">
        <v>125</v>
      </c>
      <c r="H35" s="2" t="s">
        <v>126</v>
      </c>
    </row>
    <row r="36" spans="1:12" x14ac:dyDescent="0.15">
      <c r="A36" s="2" t="s">
        <v>36</v>
      </c>
      <c r="B36">
        <v>47417</v>
      </c>
      <c r="E36" s="2" t="s">
        <v>269</v>
      </c>
      <c r="F36" s="2" t="s">
        <v>118</v>
      </c>
      <c r="G36" s="2" t="s">
        <v>123</v>
      </c>
      <c r="H36" s="2" t="s">
        <v>135</v>
      </c>
    </row>
    <row r="37" spans="1:12" x14ac:dyDescent="0.15">
      <c r="A37" s="2" t="s">
        <v>37</v>
      </c>
      <c r="B37">
        <v>47418</v>
      </c>
      <c r="E37" s="2" t="s">
        <v>270</v>
      </c>
      <c r="F37" s="2" t="s">
        <v>163</v>
      </c>
    </row>
    <row r="38" spans="1:12" x14ac:dyDescent="0.15">
      <c r="A38" s="2" t="s">
        <v>38</v>
      </c>
      <c r="B38">
        <v>47420</v>
      </c>
      <c r="E38" s="2" t="s">
        <v>271</v>
      </c>
      <c r="F38" s="2" t="s">
        <v>159</v>
      </c>
      <c r="G38" s="2" t="s">
        <v>160</v>
      </c>
    </row>
    <row r="39" spans="1:12" x14ac:dyDescent="0.15">
      <c r="A39" s="2" t="s">
        <v>39</v>
      </c>
      <c r="B39">
        <v>47421</v>
      </c>
      <c r="E39" s="2" t="s">
        <v>272</v>
      </c>
      <c r="F39" s="2" t="s">
        <v>158</v>
      </c>
      <c r="G39" s="2" t="s">
        <v>161</v>
      </c>
    </row>
    <row r="40" spans="1:12" x14ac:dyDescent="0.15">
      <c r="A40" s="2" t="s">
        <v>40</v>
      </c>
      <c r="B40">
        <v>47423</v>
      </c>
      <c r="E40" s="2" t="s">
        <v>273</v>
      </c>
      <c r="F40" s="2" t="s">
        <v>162</v>
      </c>
      <c r="G40" s="2" t="s">
        <v>164</v>
      </c>
      <c r="H40" s="2" t="s">
        <v>165</v>
      </c>
      <c r="I40" s="2" t="s">
        <v>166</v>
      </c>
    </row>
    <row r="41" spans="1:12" x14ac:dyDescent="0.15">
      <c r="A41" s="2" t="s">
        <v>41</v>
      </c>
      <c r="B41">
        <v>47424</v>
      </c>
      <c r="E41" s="2" t="s">
        <v>274</v>
      </c>
      <c r="F41" s="2" t="s">
        <v>138</v>
      </c>
      <c r="G41" s="2" t="s">
        <v>139</v>
      </c>
    </row>
    <row r="42" spans="1:12" x14ac:dyDescent="0.15">
      <c r="A42" s="2" t="s">
        <v>42</v>
      </c>
      <c r="B42">
        <v>47426</v>
      </c>
      <c r="E42" s="2" t="s">
        <v>275</v>
      </c>
      <c r="F42" s="2" t="s">
        <v>228</v>
      </c>
    </row>
    <row r="43" spans="1:12" x14ac:dyDescent="0.15">
      <c r="A43" s="2" t="s">
        <v>43</v>
      </c>
      <c r="B43">
        <v>47428</v>
      </c>
      <c r="E43" s="2" t="s">
        <v>276</v>
      </c>
      <c r="F43" s="2" t="s">
        <v>136</v>
      </c>
      <c r="G43" s="2" t="s">
        <v>137</v>
      </c>
      <c r="H43" s="2" t="s">
        <v>140</v>
      </c>
      <c r="I43" s="2" t="s">
        <v>144</v>
      </c>
      <c r="J43" s="2" t="s">
        <v>157</v>
      </c>
    </row>
    <row r="44" spans="1:12" x14ac:dyDescent="0.15">
      <c r="A44" s="2" t="s">
        <v>44</v>
      </c>
      <c r="B44">
        <v>47430</v>
      </c>
      <c r="E44" s="2" t="s">
        <v>277</v>
      </c>
      <c r="F44" s="2" t="s">
        <v>145</v>
      </c>
      <c r="G44" s="2" t="s">
        <v>148</v>
      </c>
      <c r="H44" s="2" t="s">
        <v>156</v>
      </c>
    </row>
    <row r="45" spans="1:12" x14ac:dyDescent="0.15">
      <c r="A45" s="2" t="s">
        <v>45</v>
      </c>
      <c r="B45">
        <v>47433</v>
      </c>
      <c r="E45" s="2" t="s">
        <v>278</v>
      </c>
      <c r="F45" s="2" t="s">
        <v>142</v>
      </c>
      <c r="G45" s="2" t="s">
        <v>143</v>
      </c>
    </row>
    <row r="46" spans="1:12" x14ac:dyDescent="0.15">
      <c r="A46" s="2" t="s">
        <v>46</v>
      </c>
      <c r="B46">
        <v>47435</v>
      </c>
      <c r="E46" s="2" t="s">
        <v>279</v>
      </c>
      <c r="F46" s="2" t="s">
        <v>146</v>
      </c>
      <c r="G46" s="2" t="s">
        <v>150</v>
      </c>
      <c r="H46" s="2" t="s">
        <v>151</v>
      </c>
      <c r="I46" s="2" t="s">
        <v>153</v>
      </c>
    </row>
    <row r="47" spans="1:12" x14ac:dyDescent="0.15">
      <c r="A47" s="2" t="s">
        <v>47</v>
      </c>
      <c r="B47">
        <v>47440</v>
      </c>
      <c r="E47" s="2" t="s">
        <v>280</v>
      </c>
      <c r="F47" s="2" t="s">
        <v>147</v>
      </c>
      <c r="G47" s="2" t="s">
        <v>149</v>
      </c>
      <c r="H47" s="2" t="s">
        <v>152</v>
      </c>
      <c r="I47" s="2" t="s">
        <v>154</v>
      </c>
      <c r="J47" s="2" t="s">
        <v>155</v>
      </c>
      <c r="K47" s="2" t="s">
        <v>167</v>
      </c>
      <c r="L47" s="2" t="s">
        <v>174</v>
      </c>
    </row>
    <row r="48" spans="1:12" x14ac:dyDescent="0.15">
      <c r="A48" s="2" t="s">
        <v>48</v>
      </c>
      <c r="B48">
        <v>47512</v>
      </c>
      <c r="E48" s="2" t="s">
        <v>281</v>
      </c>
      <c r="F48" s="2" t="s">
        <v>168</v>
      </c>
      <c r="G48" s="2" t="s">
        <v>169</v>
      </c>
      <c r="H48" s="2" t="s">
        <v>170</v>
      </c>
      <c r="I48" s="2" t="s">
        <v>171</v>
      </c>
      <c r="J48" s="2" t="s">
        <v>172</v>
      </c>
      <c r="K48" s="2" t="s">
        <v>173</v>
      </c>
      <c r="L48" s="2" t="s">
        <v>175</v>
      </c>
    </row>
    <row r="49" spans="1:2" x14ac:dyDescent="0.15">
      <c r="A49" s="2" t="s">
        <v>49</v>
      </c>
      <c r="B49">
        <v>47520</v>
      </c>
    </row>
    <row r="50" spans="1:2" x14ac:dyDescent="0.15">
      <c r="A50" s="2" t="s">
        <v>50</v>
      </c>
      <c r="B50">
        <v>47570</v>
      </c>
    </row>
    <row r="51" spans="1:2" x14ac:dyDescent="0.15">
      <c r="A51" s="2" t="s">
        <v>51</v>
      </c>
      <c r="B51">
        <v>47574</v>
      </c>
    </row>
    <row r="52" spans="1:2" x14ac:dyDescent="0.15">
      <c r="A52" s="2" t="s">
        <v>52</v>
      </c>
      <c r="B52">
        <v>47575</v>
      </c>
    </row>
    <row r="53" spans="1:2" x14ac:dyDescent="0.15">
      <c r="A53" s="2" t="s">
        <v>53</v>
      </c>
      <c r="B53">
        <v>47576</v>
      </c>
    </row>
    <row r="54" spans="1:2" x14ac:dyDescent="0.15">
      <c r="A54" s="2" t="s">
        <v>54</v>
      </c>
      <c r="B54">
        <v>47581</v>
      </c>
    </row>
    <row r="55" spans="1:2" x14ac:dyDescent="0.15">
      <c r="A55" s="2" t="s">
        <v>55</v>
      </c>
      <c r="B55">
        <v>47582</v>
      </c>
    </row>
    <row r="56" spans="1:2" x14ac:dyDescent="0.15">
      <c r="A56" s="2" t="s">
        <v>56</v>
      </c>
      <c r="B56">
        <v>47584</v>
      </c>
    </row>
    <row r="57" spans="1:2" x14ac:dyDescent="0.15">
      <c r="A57" s="2" t="s">
        <v>57</v>
      </c>
      <c r="B57">
        <v>47585</v>
      </c>
    </row>
    <row r="58" spans="1:2" x14ac:dyDescent="0.15">
      <c r="A58" s="2" t="s">
        <v>58</v>
      </c>
      <c r="B58">
        <v>47587</v>
      </c>
    </row>
    <row r="59" spans="1:2" x14ac:dyDescent="0.15">
      <c r="A59" s="2" t="s">
        <v>59</v>
      </c>
      <c r="B59">
        <v>47588</v>
      </c>
    </row>
    <row r="60" spans="1:2" x14ac:dyDescent="0.15">
      <c r="A60" s="2" t="s">
        <v>60</v>
      </c>
      <c r="B60">
        <v>47590</v>
      </c>
    </row>
    <row r="61" spans="1:2" x14ac:dyDescent="0.15">
      <c r="A61" s="2" t="s">
        <v>61</v>
      </c>
      <c r="B61">
        <v>47592</v>
      </c>
    </row>
    <row r="62" spans="1:2" x14ac:dyDescent="0.15">
      <c r="A62" s="2" t="s">
        <v>62</v>
      </c>
      <c r="B62">
        <v>47595</v>
      </c>
    </row>
    <row r="63" spans="1:2" x14ac:dyDescent="0.15">
      <c r="A63" s="2" t="s">
        <v>63</v>
      </c>
      <c r="B63">
        <v>47597</v>
      </c>
    </row>
    <row r="64" spans="1:2" x14ac:dyDescent="0.15">
      <c r="A64" s="2" t="s">
        <v>64</v>
      </c>
      <c r="B64">
        <v>47598</v>
      </c>
    </row>
    <row r="65" spans="1:2" x14ac:dyDescent="0.15">
      <c r="A65" s="2" t="s">
        <v>65</v>
      </c>
      <c r="B65">
        <v>47600</v>
      </c>
    </row>
    <row r="66" spans="1:2" x14ac:dyDescent="0.15">
      <c r="A66" s="2" t="s">
        <v>66</v>
      </c>
      <c r="B66">
        <v>47602</v>
      </c>
    </row>
    <row r="67" spans="1:2" x14ac:dyDescent="0.15">
      <c r="A67" s="2" t="s">
        <v>67</v>
      </c>
      <c r="B67">
        <v>47604</v>
      </c>
    </row>
    <row r="68" spans="1:2" x14ac:dyDescent="0.15">
      <c r="A68" s="2" t="s">
        <v>68</v>
      </c>
      <c r="B68">
        <v>47605</v>
      </c>
    </row>
    <row r="69" spans="1:2" x14ac:dyDescent="0.15">
      <c r="A69" s="2" t="s">
        <v>69</v>
      </c>
      <c r="B69">
        <v>47606</v>
      </c>
    </row>
    <row r="70" spans="1:2" x14ac:dyDescent="0.15">
      <c r="A70" s="2" t="s">
        <v>70</v>
      </c>
      <c r="B70">
        <v>47607</v>
      </c>
    </row>
    <row r="71" spans="1:2" x14ac:dyDescent="0.15">
      <c r="A71" s="2" t="s">
        <v>71</v>
      </c>
      <c r="B71">
        <v>47610</v>
      </c>
    </row>
    <row r="72" spans="1:2" x14ac:dyDescent="0.15">
      <c r="A72" s="2" t="s">
        <v>72</v>
      </c>
      <c r="B72">
        <v>47612</v>
      </c>
    </row>
    <row r="73" spans="1:2" x14ac:dyDescent="0.15">
      <c r="A73" s="2" t="s">
        <v>73</v>
      </c>
      <c r="B73">
        <v>47615</v>
      </c>
    </row>
    <row r="74" spans="1:2" x14ac:dyDescent="0.15">
      <c r="A74" s="2" t="s">
        <v>74</v>
      </c>
      <c r="B74">
        <v>47616</v>
      </c>
    </row>
    <row r="75" spans="1:2" x14ac:dyDescent="0.15">
      <c r="A75" s="2" t="s">
        <v>75</v>
      </c>
      <c r="B75">
        <v>47617</v>
      </c>
    </row>
    <row r="76" spans="1:2" x14ac:dyDescent="0.15">
      <c r="A76" s="2" t="s">
        <v>76</v>
      </c>
      <c r="B76">
        <v>47618</v>
      </c>
    </row>
    <row r="77" spans="1:2" x14ac:dyDescent="0.15">
      <c r="A77" s="2" t="s">
        <v>77</v>
      </c>
      <c r="B77">
        <v>47620</v>
      </c>
    </row>
    <row r="78" spans="1:2" x14ac:dyDescent="0.15">
      <c r="A78" s="2" t="s">
        <v>78</v>
      </c>
      <c r="B78">
        <v>47622</v>
      </c>
    </row>
    <row r="79" spans="1:2" x14ac:dyDescent="0.15">
      <c r="A79" s="2" t="s">
        <v>79</v>
      </c>
      <c r="B79">
        <v>47624</v>
      </c>
    </row>
    <row r="80" spans="1:2" x14ac:dyDescent="0.15">
      <c r="A80" s="2" t="s">
        <v>80</v>
      </c>
      <c r="B80">
        <v>47626</v>
      </c>
    </row>
    <row r="81" spans="1:2" x14ac:dyDescent="0.15">
      <c r="A81" s="2" t="s">
        <v>81</v>
      </c>
      <c r="B81">
        <v>47629</v>
      </c>
    </row>
    <row r="82" spans="1:2" x14ac:dyDescent="0.15">
      <c r="A82" s="2" t="s">
        <v>82</v>
      </c>
      <c r="B82">
        <v>47631</v>
      </c>
    </row>
    <row r="83" spans="1:2" x14ac:dyDescent="0.15">
      <c r="A83" s="2" t="s">
        <v>83</v>
      </c>
      <c r="B83">
        <v>47632</v>
      </c>
    </row>
    <row r="84" spans="1:2" x14ac:dyDescent="0.15">
      <c r="A84" s="2" t="s">
        <v>84</v>
      </c>
      <c r="B84">
        <v>47636</v>
      </c>
    </row>
    <row r="85" spans="1:2" x14ac:dyDescent="0.15">
      <c r="A85" s="2" t="s">
        <v>85</v>
      </c>
      <c r="B85">
        <v>47637</v>
      </c>
    </row>
    <row r="86" spans="1:2" x14ac:dyDescent="0.15">
      <c r="A86" s="2" t="s">
        <v>86</v>
      </c>
      <c r="B86">
        <v>47638</v>
      </c>
    </row>
    <row r="87" spans="1:2" x14ac:dyDescent="0.15">
      <c r="A87" s="2" t="s">
        <v>87</v>
      </c>
      <c r="B87">
        <v>47640</v>
      </c>
    </row>
    <row r="88" spans="1:2" x14ac:dyDescent="0.15">
      <c r="A88" s="2" t="s">
        <v>88</v>
      </c>
      <c r="B88">
        <v>47641</v>
      </c>
    </row>
    <row r="89" spans="1:2" x14ac:dyDescent="0.15">
      <c r="A89" s="2" t="s">
        <v>89</v>
      </c>
      <c r="B89">
        <v>47646</v>
      </c>
    </row>
    <row r="90" spans="1:2" x14ac:dyDescent="0.15">
      <c r="A90" s="2" t="s">
        <v>90</v>
      </c>
      <c r="B90">
        <v>47648</v>
      </c>
    </row>
    <row r="91" spans="1:2" x14ac:dyDescent="0.15">
      <c r="A91" s="2" t="s">
        <v>91</v>
      </c>
      <c r="B91">
        <v>47649</v>
      </c>
    </row>
    <row r="92" spans="1:2" x14ac:dyDescent="0.15">
      <c r="A92" s="2" t="s">
        <v>92</v>
      </c>
      <c r="B92">
        <v>47651</v>
      </c>
    </row>
    <row r="93" spans="1:2" x14ac:dyDescent="0.15">
      <c r="A93" s="2" t="s">
        <v>93</v>
      </c>
      <c r="B93">
        <v>47653</v>
      </c>
    </row>
    <row r="94" spans="1:2" x14ac:dyDescent="0.15">
      <c r="A94" s="2" t="s">
        <v>94</v>
      </c>
      <c r="B94">
        <v>47654</v>
      </c>
    </row>
    <row r="95" spans="1:2" x14ac:dyDescent="0.15">
      <c r="A95" s="2" t="s">
        <v>95</v>
      </c>
      <c r="B95">
        <v>47655</v>
      </c>
    </row>
    <row r="96" spans="1:2" x14ac:dyDescent="0.15">
      <c r="A96" s="2" t="s">
        <v>96</v>
      </c>
      <c r="B96">
        <v>47656</v>
      </c>
    </row>
    <row r="97" spans="1:2" x14ac:dyDescent="0.15">
      <c r="A97" s="2" t="s">
        <v>97</v>
      </c>
      <c r="B97">
        <v>47657</v>
      </c>
    </row>
    <row r="98" spans="1:2" x14ac:dyDescent="0.15">
      <c r="A98" s="2" t="s">
        <v>98</v>
      </c>
      <c r="B98">
        <v>47662</v>
      </c>
    </row>
    <row r="99" spans="1:2" x14ac:dyDescent="0.15">
      <c r="A99" s="2" t="s">
        <v>99</v>
      </c>
      <c r="B99">
        <v>47663</v>
      </c>
    </row>
    <row r="100" spans="1:2" x14ac:dyDescent="0.15">
      <c r="A100" s="2" t="s">
        <v>100</v>
      </c>
      <c r="B100">
        <v>47666</v>
      </c>
    </row>
    <row r="101" spans="1:2" x14ac:dyDescent="0.15">
      <c r="A101" s="2" t="s">
        <v>101</v>
      </c>
      <c r="B101">
        <v>47668</v>
      </c>
    </row>
    <row r="102" spans="1:2" x14ac:dyDescent="0.15">
      <c r="A102" s="2" t="s">
        <v>102</v>
      </c>
      <c r="B102">
        <v>47670</v>
      </c>
    </row>
    <row r="103" spans="1:2" x14ac:dyDescent="0.15">
      <c r="A103" s="2" t="s">
        <v>103</v>
      </c>
      <c r="B103">
        <v>47672</v>
      </c>
    </row>
    <row r="104" spans="1:2" x14ac:dyDescent="0.15">
      <c r="A104" s="2" t="s">
        <v>104</v>
      </c>
      <c r="B104">
        <v>47674</v>
      </c>
    </row>
    <row r="105" spans="1:2" x14ac:dyDescent="0.15">
      <c r="A105" s="2" t="s">
        <v>105</v>
      </c>
      <c r="B105">
        <v>47675</v>
      </c>
    </row>
    <row r="106" spans="1:2" x14ac:dyDescent="0.15">
      <c r="A106" s="2" t="s">
        <v>106</v>
      </c>
      <c r="B106">
        <v>47677</v>
      </c>
    </row>
    <row r="107" spans="1:2" x14ac:dyDescent="0.15">
      <c r="A107" s="2" t="s">
        <v>107</v>
      </c>
      <c r="B107">
        <v>47678</v>
      </c>
    </row>
    <row r="108" spans="1:2" x14ac:dyDescent="0.15">
      <c r="A108" s="2" t="s">
        <v>108</v>
      </c>
      <c r="B108">
        <v>47682</v>
      </c>
    </row>
    <row r="109" spans="1:2" x14ac:dyDescent="0.15">
      <c r="A109" s="2" t="s">
        <v>109</v>
      </c>
      <c r="B109">
        <v>47684</v>
      </c>
    </row>
    <row r="110" spans="1:2" x14ac:dyDescent="0.15">
      <c r="A110" s="2" t="s">
        <v>110</v>
      </c>
      <c r="B110">
        <v>47690</v>
      </c>
    </row>
    <row r="111" spans="1:2" x14ac:dyDescent="0.15">
      <c r="A111" s="2" t="s">
        <v>111</v>
      </c>
      <c r="B111">
        <v>47740</v>
      </c>
    </row>
    <row r="112" spans="1:2" x14ac:dyDescent="0.15">
      <c r="A112" s="2" t="s">
        <v>112</v>
      </c>
      <c r="B112">
        <v>47741</v>
      </c>
    </row>
    <row r="113" spans="1:2" x14ac:dyDescent="0.15">
      <c r="A113" s="2" t="s">
        <v>113</v>
      </c>
      <c r="B113">
        <v>47742</v>
      </c>
    </row>
    <row r="114" spans="1:2" x14ac:dyDescent="0.15">
      <c r="A114" s="2" t="s">
        <v>114</v>
      </c>
      <c r="B114">
        <v>47744</v>
      </c>
    </row>
    <row r="115" spans="1:2" x14ac:dyDescent="0.15">
      <c r="A115" s="2" t="s">
        <v>115</v>
      </c>
      <c r="B115">
        <v>47746</v>
      </c>
    </row>
    <row r="116" spans="1:2" x14ac:dyDescent="0.15">
      <c r="A116" s="2" t="s">
        <v>116</v>
      </c>
      <c r="B116">
        <v>47747</v>
      </c>
    </row>
    <row r="117" spans="1:2" x14ac:dyDescent="0.15">
      <c r="A117" s="2" t="s">
        <v>117</v>
      </c>
      <c r="B117">
        <v>47750</v>
      </c>
    </row>
    <row r="118" spans="1:2" x14ac:dyDescent="0.15">
      <c r="A118" s="2" t="s">
        <v>118</v>
      </c>
      <c r="B118">
        <v>47754</v>
      </c>
    </row>
    <row r="119" spans="1:2" x14ac:dyDescent="0.15">
      <c r="A119" s="2" t="s">
        <v>119</v>
      </c>
      <c r="B119">
        <v>47755</v>
      </c>
    </row>
    <row r="120" spans="1:2" x14ac:dyDescent="0.15">
      <c r="A120" s="2" t="s">
        <v>120</v>
      </c>
      <c r="B120">
        <v>47756</v>
      </c>
    </row>
    <row r="121" spans="1:2" x14ac:dyDescent="0.15">
      <c r="A121" s="2" t="s">
        <v>121</v>
      </c>
      <c r="B121">
        <v>47759</v>
      </c>
    </row>
    <row r="122" spans="1:2" x14ac:dyDescent="0.15">
      <c r="A122" s="2" t="s">
        <v>122</v>
      </c>
      <c r="B122">
        <v>47761</v>
      </c>
    </row>
    <row r="123" spans="1:2" x14ac:dyDescent="0.15">
      <c r="A123" s="2" t="s">
        <v>123</v>
      </c>
      <c r="B123">
        <v>47762</v>
      </c>
    </row>
    <row r="124" spans="1:2" x14ac:dyDescent="0.15">
      <c r="A124" s="2" t="s">
        <v>124</v>
      </c>
      <c r="B124">
        <v>47765</v>
      </c>
    </row>
    <row r="125" spans="1:2" x14ac:dyDescent="0.15">
      <c r="A125" s="2" t="s">
        <v>125</v>
      </c>
      <c r="B125">
        <v>47766</v>
      </c>
    </row>
    <row r="126" spans="1:2" x14ac:dyDescent="0.15">
      <c r="A126" s="2" t="s">
        <v>126</v>
      </c>
      <c r="B126">
        <v>47767</v>
      </c>
    </row>
    <row r="127" spans="1:2" x14ac:dyDescent="0.15">
      <c r="A127" s="2" t="s">
        <v>127</v>
      </c>
      <c r="B127">
        <v>47768</v>
      </c>
    </row>
    <row r="128" spans="1:2" x14ac:dyDescent="0.15">
      <c r="A128" s="2" t="s">
        <v>128</v>
      </c>
      <c r="B128">
        <v>47769</v>
      </c>
    </row>
    <row r="129" spans="1:2" x14ac:dyDescent="0.15">
      <c r="A129" s="2" t="s">
        <v>129</v>
      </c>
      <c r="B129">
        <v>47770</v>
      </c>
    </row>
    <row r="130" spans="1:2" x14ac:dyDescent="0.15">
      <c r="A130" s="2" t="s">
        <v>130</v>
      </c>
      <c r="B130">
        <v>47772</v>
      </c>
    </row>
    <row r="131" spans="1:2" x14ac:dyDescent="0.15">
      <c r="A131" s="2" t="s">
        <v>131</v>
      </c>
      <c r="B131">
        <v>47776</v>
      </c>
    </row>
    <row r="132" spans="1:2" x14ac:dyDescent="0.15">
      <c r="A132" s="2" t="s">
        <v>132</v>
      </c>
      <c r="B132">
        <v>47777</v>
      </c>
    </row>
    <row r="133" spans="1:2" x14ac:dyDescent="0.15">
      <c r="A133" s="2" t="s">
        <v>133</v>
      </c>
      <c r="B133">
        <v>47778</v>
      </c>
    </row>
    <row r="134" spans="1:2" x14ac:dyDescent="0.15">
      <c r="A134" s="2" t="s">
        <v>134</v>
      </c>
      <c r="B134">
        <v>47780</v>
      </c>
    </row>
    <row r="135" spans="1:2" x14ac:dyDescent="0.15">
      <c r="A135" s="2" t="s">
        <v>135</v>
      </c>
      <c r="B135">
        <v>47784</v>
      </c>
    </row>
    <row r="136" spans="1:2" x14ac:dyDescent="0.15">
      <c r="A136" s="2" t="s">
        <v>136</v>
      </c>
      <c r="B136">
        <v>47800</v>
      </c>
    </row>
    <row r="137" spans="1:2" x14ac:dyDescent="0.15">
      <c r="A137" s="2" t="s">
        <v>137</v>
      </c>
      <c r="B137">
        <v>47805</v>
      </c>
    </row>
    <row r="138" spans="1:2" x14ac:dyDescent="0.15">
      <c r="A138" s="2" t="s">
        <v>138</v>
      </c>
      <c r="B138">
        <v>47807</v>
      </c>
    </row>
    <row r="139" spans="1:2" x14ac:dyDescent="0.15">
      <c r="A139" s="2" t="s">
        <v>139</v>
      </c>
      <c r="B139">
        <v>47809</v>
      </c>
    </row>
    <row r="140" spans="1:2" x14ac:dyDescent="0.15">
      <c r="A140" s="2" t="s">
        <v>140</v>
      </c>
      <c r="B140">
        <v>47812</v>
      </c>
    </row>
    <row r="141" spans="1:2" x14ac:dyDescent="0.15">
      <c r="A141" s="2" t="s">
        <v>141</v>
      </c>
      <c r="B141">
        <v>47813</v>
      </c>
    </row>
    <row r="142" spans="1:2" x14ac:dyDescent="0.15">
      <c r="A142" s="2" t="s">
        <v>142</v>
      </c>
      <c r="B142">
        <v>47814</v>
      </c>
    </row>
    <row r="143" spans="1:2" x14ac:dyDescent="0.15">
      <c r="A143" s="2" t="s">
        <v>143</v>
      </c>
      <c r="B143">
        <v>47815</v>
      </c>
    </row>
    <row r="144" spans="1:2" x14ac:dyDescent="0.15">
      <c r="A144" s="2" t="s">
        <v>144</v>
      </c>
      <c r="B144">
        <v>47817</v>
      </c>
    </row>
    <row r="145" spans="1:2" x14ac:dyDescent="0.15">
      <c r="A145" s="2" t="s">
        <v>145</v>
      </c>
      <c r="B145">
        <v>47819</v>
      </c>
    </row>
    <row r="146" spans="1:2" x14ac:dyDescent="0.15">
      <c r="A146" s="2" t="s">
        <v>146</v>
      </c>
      <c r="B146">
        <v>47822</v>
      </c>
    </row>
    <row r="147" spans="1:2" x14ac:dyDescent="0.15">
      <c r="A147" s="2" t="s">
        <v>147</v>
      </c>
      <c r="B147">
        <v>47823</v>
      </c>
    </row>
    <row r="148" spans="1:2" x14ac:dyDescent="0.15">
      <c r="A148" s="2" t="s">
        <v>148</v>
      </c>
      <c r="B148">
        <v>47824</v>
      </c>
    </row>
    <row r="149" spans="1:2" x14ac:dyDescent="0.15">
      <c r="A149" s="2" t="s">
        <v>149</v>
      </c>
      <c r="B149">
        <v>47827</v>
      </c>
    </row>
    <row r="150" spans="1:2" x14ac:dyDescent="0.15">
      <c r="A150" s="2" t="s">
        <v>150</v>
      </c>
      <c r="B150">
        <v>47829</v>
      </c>
    </row>
    <row r="151" spans="1:2" x14ac:dyDescent="0.15">
      <c r="A151" s="2" t="s">
        <v>151</v>
      </c>
      <c r="B151">
        <v>47830</v>
      </c>
    </row>
    <row r="152" spans="1:2" x14ac:dyDescent="0.15">
      <c r="A152" s="2" t="s">
        <v>152</v>
      </c>
      <c r="B152">
        <v>47831</v>
      </c>
    </row>
    <row r="153" spans="1:2" x14ac:dyDescent="0.15">
      <c r="A153" s="2" t="s">
        <v>153</v>
      </c>
      <c r="B153">
        <v>47835</v>
      </c>
    </row>
    <row r="154" spans="1:2" x14ac:dyDescent="0.15">
      <c r="A154" s="2" t="s">
        <v>154</v>
      </c>
      <c r="B154">
        <v>47836</v>
      </c>
    </row>
    <row r="155" spans="1:2" x14ac:dyDescent="0.15">
      <c r="A155" s="2" t="s">
        <v>155</v>
      </c>
      <c r="B155">
        <v>47837</v>
      </c>
    </row>
    <row r="156" spans="1:2" x14ac:dyDescent="0.15">
      <c r="A156" s="2" t="s">
        <v>156</v>
      </c>
      <c r="B156">
        <v>47838</v>
      </c>
    </row>
    <row r="157" spans="1:2" x14ac:dyDescent="0.15">
      <c r="A157" s="2" t="s">
        <v>157</v>
      </c>
      <c r="B157">
        <v>47843</v>
      </c>
    </row>
    <row r="158" spans="1:2" x14ac:dyDescent="0.15">
      <c r="A158" s="2" t="s">
        <v>158</v>
      </c>
      <c r="B158">
        <v>47887</v>
      </c>
    </row>
    <row r="159" spans="1:2" x14ac:dyDescent="0.15">
      <c r="A159" s="2" t="s">
        <v>159</v>
      </c>
      <c r="B159">
        <v>47890</v>
      </c>
    </row>
    <row r="160" spans="1:2" x14ac:dyDescent="0.15">
      <c r="A160" s="2" t="s">
        <v>160</v>
      </c>
      <c r="B160">
        <v>47891</v>
      </c>
    </row>
    <row r="161" spans="1:2" x14ac:dyDescent="0.15">
      <c r="A161" s="2" t="s">
        <v>161</v>
      </c>
      <c r="B161">
        <v>47892</v>
      </c>
    </row>
    <row r="162" spans="1:2" x14ac:dyDescent="0.15">
      <c r="A162" s="2" t="s">
        <v>162</v>
      </c>
      <c r="B162">
        <v>47893</v>
      </c>
    </row>
    <row r="163" spans="1:2" x14ac:dyDescent="0.15">
      <c r="A163" s="2" t="s">
        <v>163</v>
      </c>
      <c r="B163">
        <v>47895</v>
      </c>
    </row>
    <row r="164" spans="1:2" x14ac:dyDescent="0.15">
      <c r="A164" s="2" t="s">
        <v>164</v>
      </c>
      <c r="B164">
        <v>47897</v>
      </c>
    </row>
    <row r="165" spans="1:2" x14ac:dyDescent="0.15">
      <c r="A165" s="2" t="s">
        <v>165</v>
      </c>
      <c r="B165">
        <v>47898</v>
      </c>
    </row>
    <row r="166" spans="1:2" x14ac:dyDescent="0.15">
      <c r="A166" s="2" t="s">
        <v>166</v>
      </c>
      <c r="B166">
        <v>47899</v>
      </c>
    </row>
    <row r="167" spans="1:2" x14ac:dyDescent="0.15">
      <c r="A167" s="2" t="s">
        <v>167</v>
      </c>
      <c r="B167">
        <v>47909</v>
      </c>
    </row>
    <row r="168" spans="1:2" x14ac:dyDescent="0.15">
      <c r="A168" s="2" t="s">
        <v>168</v>
      </c>
      <c r="B168">
        <v>47912</v>
      </c>
    </row>
    <row r="169" spans="1:2" x14ac:dyDescent="0.15">
      <c r="A169" s="2" t="s">
        <v>169</v>
      </c>
      <c r="B169">
        <v>47918</v>
      </c>
    </row>
    <row r="170" spans="1:2" x14ac:dyDescent="0.15">
      <c r="A170" s="2" t="s">
        <v>170</v>
      </c>
      <c r="B170">
        <v>47927</v>
      </c>
    </row>
    <row r="171" spans="1:2" x14ac:dyDescent="0.15">
      <c r="A171" s="2" t="s">
        <v>171</v>
      </c>
      <c r="B171">
        <v>47929</v>
      </c>
    </row>
    <row r="172" spans="1:2" x14ac:dyDescent="0.15">
      <c r="A172" s="2" t="s">
        <v>172</v>
      </c>
      <c r="B172">
        <v>47936</v>
      </c>
    </row>
    <row r="173" spans="1:2" x14ac:dyDescent="0.15">
      <c r="A173" s="2" t="s">
        <v>173</v>
      </c>
      <c r="B173">
        <v>47940</v>
      </c>
    </row>
    <row r="174" spans="1:2" x14ac:dyDescent="0.15">
      <c r="A174" s="2" t="s">
        <v>174</v>
      </c>
      <c r="B174">
        <v>47942</v>
      </c>
    </row>
    <row r="175" spans="1:2" x14ac:dyDescent="0.15">
      <c r="A175" s="2" t="s">
        <v>175</v>
      </c>
      <c r="B175">
        <v>47945</v>
      </c>
    </row>
    <row r="176" spans="1:2" x14ac:dyDescent="0.15">
      <c r="A176" s="2" t="s">
        <v>176</v>
      </c>
      <c r="B176">
        <v>47971</v>
      </c>
    </row>
    <row r="179" spans="26:28" x14ac:dyDescent="0.15">
      <c r="Z179" s="2"/>
      <c r="AA179" s="2"/>
      <c r="AB179" s="2"/>
    </row>
    <row r="180" spans="26:28" x14ac:dyDescent="0.15">
      <c r="Z180" s="2"/>
      <c r="AA180" s="2"/>
      <c r="AB180" s="2"/>
    </row>
    <row r="227" spans="4:4" x14ac:dyDescent="0.15">
      <c r="D227" s="2"/>
    </row>
    <row r="228" spans="4:4" x14ac:dyDescent="0.15">
      <c r="D228" s="2"/>
    </row>
    <row r="229" spans="4:4" x14ac:dyDescent="0.15">
      <c r="D229" s="2"/>
    </row>
    <row r="230" spans="4:4" x14ac:dyDescent="0.15">
      <c r="D230" s="2"/>
    </row>
    <row r="232" spans="4:4" x14ac:dyDescent="0.15">
      <c r="D232" s="2"/>
    </row>
    <row r="233" spans="4:4" x14ac:dyDescent="0.15">
      <c r="D233" s="2"/>
    </row>
    <row r="234" spans="4:4" x14ac:dyDescent="0.15">
      <c r="D234" s="2"/>
    </row>
    <row r="237" spans="4:4" x14ac:dyDescent="0.15">
      <c r="D237" s="2"/>
    </row>
    <row r="238" spans="4:4" x14ac:dyDescent="0.15">
      <c r="D238" s="2"/>
    </row>
    <row r="239" spans="4:4" x14ac:dyDescent="0.15">
      <c r="D239" s="2"/>
    </row>
    <row r="240" spans="4:4" x14ac:dyDescent="0.15">
      <c r="D240" s="2"/>
    </row>
    <row r="241" spans="4:4" x14ac:dyDescent="0.15">
      <c r="D241" s="2"/>
    </row>
    <row r="242" spans="4:4" x14ac:dyDescent="0.15">
      <c r="D242" s="2"/>
    </row>
    <row r="243" spans="4:4" x14ac:dyDescent="0.15">
      <c r="D243" s="2"/>
    </row>
    <row r="245" spans="4:4" x14ac:dyDescent="0.15">
      <c r="D245" s="2"/>
    </row>
    <row r="246" spans="4:4" x14ac:dyDescent="0.15">
      <c r="D246" s="2"/>
    </row>
    <row r="247" spans="4:4" x14ac:dyDescent="0.15">
      <c r="D247" s="2"/>
    </row>
    <row r="249" spans="4:4" x14ac:dyDescent="0.15">
      <c r="D249" s="2"/>
    </row>
    <row r="250" spans="4:4" x14ac:dyDescent="0.15">
      <c r="D250" s="2"/>
    </row>
    <row r="251" spans="4:4" x14ac:dyDescent="0.15">
      <c r="D251" s="2"/>
    </row>
    <row r="252" spans="4:4" x14ac:dyDescent="0.15">
      <c r="D252" s="2"/>
    </row>
    <row r="253" spans="4:4" x14ac:dyDescent="0.15">
      <c r="D253" s="2"/>
    </row>
    <row r="254" spans="4:4" x14ac:dyDescent="0.15">
      <c r="D254" s="2"/>
    </row>
    <row r="256" spans="4:4" x14ac:dyDescent="0.15">
      <c r="D256" s="2"/>
    </row>
    <row r="257" spans="4:4" x14ac:dyDescent="0.15">
      <c r="D257" s="2"/>
    </row>
    <row r="258" spans="4:4" x14ac:dyDescent="0.15">
      <c r="D258" s="2"/>
    </row>
    <row r="259" spans="4:4" x14ac:dyDescent="0.15">
      <c r="D259" s="2"/>
    </row>
    <row r="260" spans="4:4" x14ac:dyDescent="0.15">
      <c r="D260" s="2"/>
    </row>
    <row r="261" spans="4:4" x14ac:dyDescent="0.15">
      <c r="D261" s="2"/>
    </row>
    <row r="262" spans="4:4" x14ac:dyDescent="0.15">
      <c r="D262" s="2"/>
    </row>
    <row r="263" spans="4:4" x14ac:dyDescent="0.15">
      <c r="D263" s="2"/>
    </row>
    <row r="264" spans="4:4" x14ac:dyDescent="0.15">
      <c r="D264" s="2"/>
    </row>
    <row r="265" spans="4:4" x14ac:dyDescent="0.15">
      <c r="D265" s="2"/>
    </row>
    <row r="266" spans="4:4" x14ac:dyDescent="0.15">
      <c r="D266" s="2"/>
    </row>
    <row r="267" spans="4:4" x14ac:dyDescent="0.15">
      <c r="D267" s="2"/>
    </row>
    <row r="268" spans="4:4" x14ac:dyDescent="0.15">
      <c r="D268" s="2"/>
    </row>
    <row r="269" spans="4:4" x14ac:dyDescent="0.15">
      <c r="D269" s="2"/>
    </row>
    <row r="270" spans="4:4" x14ac:dyDescent="0.15">
      <c r="D270" s="2"/>
    </row>
    <row r="271" spans="4:4" x14ac:dyDescent="0.15">
      <c r="D271" s="2"/>
    </row>
    <row r="272" spans="4:4" x14ac:dyDescent="0.15">
      <c r="D272" s="2"/>
    </row>
    <row r="273" spans="4:4" x14ac:dyDescent="0.15">
      <c r="D273" s="2"/>
    </row>
    <row r="274" spans="4:4" x14ac:dyDescent="0.15">
      <c r="D274" s="2"/>
    </row>
    <row r="275" spans="4:4" x14ac:dyDescent="0.15">
      <c r="D275" s="2"/>
    </row>
    <row r="276" spans="4:4" x14ac:dyDescent="0.15">
      <c r="D276" s="2"/>
    </row>
    <row r="277" spans="4:4" x14ac:dyDescent="0.15">
      <c r="D277" s="2"/>
    </row>
    <row r="278" spans="4:4" x14ac:dyDescent="0.15">
      <c r="D278" s="2"/>
    </row>
    <row r="279" spans="4:4" x14ac:dyDescent="0.15">
      <c r="D279" s="2"/>
    </row>
    <row r="280" spans="4:4" x14ac:dyDescent="0.15">
      <c r="D280" s="2"/>
    </row>
    <row r="281" spans="4:4" x14ac:dyDescent="0.15">
      <c r="D281" s="2"/>
    </row>
    <row r="282" spans="4:4" x14ac:dyDescent="0.15">
      <c r="D282" s="2"/>
    </row>
    <row r="283" spans="4:4" x14ac:dyDescent="0.15">
      <c r="D283" s="2"/>
    </row>
    <row r="284" spans="4:4" x14ac:dyDescent="0.15">
      <c r="D284" s="2"/>
    </row>
    <row r="285" spans="4:4" x14ac:dyDescent="0.15">
      <c r="D285" s="2"/>
    </row>
    <row r="286" spans="4:4" x14ac:dyDescent="0.15">
      <c r="D286" s="2"/>
    </row>
    <row r="287" spans="4:4" x14ac:dyDescent="0.15">
      <c r="D287" s="2"/>
    </row>
    <row r="288" spans="4:4" x14ac:dyDescent="0.15">
      <c r="D288" s="2"/>
    </row>
    <row r="289" spans="4:4" x14ac:dyDescent="0.15">
      <c r="D289" s="2"/>
    </row>
    <row r="290" spans="4:4" x14ac:dyDescent="0.15">
      <c r="D290" s="2"/>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50</vt:i4>
      </vt:variant>
    </vt:vector>
  </HeadingPairs>
  <TitlesOfParts>
    <vt:vector size="55" baseType="lpstr">
      <vt:lpstr>解説</vt:lpstr>
      <vt:lpstr>グラフ</vt:lpstr>
      <vt:lpstr>csv</vt:lpstr>
      <vt:lpstr>calc</vt:lpstr>
      <vt:lpstr>table</vt:lpstr>
      <vt:lpstr>URI</vt:lpstr>
      <vt:lpstr>愛知県</vt:lpstr>
      <vt:lpstr>愛媛県</vt:lpstr>
      <vt:lpstr>茨城県</vt:lpstr>
      <vt:lpstr>岡山県</vt:lpstr>
      <vt:lpstr>沖縄県</vt:lpstr>
      <vt:lpstr>岩手県</vt:lpstr>
      <vt:lpstr>岐阜県</vt:lpstr>
      <vt:lpstr>宮崎県</vt:lpstr>
      <vt:lpstr>宮城県</vt:lpstr>
      <vt:lpstr>京都府</vt:lpstr>
      <vt:lpstr>熊本県</vt:lpstr>
      <vt:lpstr>群馬県</vt:lpstr>
      <vt:lpstr>広島県</vt:lpstr>
      <vt:lpstr>香川県</vt:lpstr>
      <vt:lpstr>高知県</vt:lpstr>
      <vt:lpstr>佐賀県</vt:lpstr>
      <vt:lpstr>埼玉県</vt:lpstr>
      <vt:lpstr>三重県</vt:lpstr>
      <vt:lpstr>山形県</vt:lpstr>
      <vt:lpstr>山口県</vt:lpstr>
      <vt:lpstr>山梨県</vt:lpstr>
      <vt:lpstr>滋賀県</vt:lpstr>
      <vt:lpstr>鹿児島県</vt:lpstr>
      <vt:lpstr>秋田県</vt:lpstr>
      <vt:lpstr>新潟県</vt:lpstr>
      <vt:lpstr>神奈川県</vt:lpstr>
      <vt:lpstr>青森県</vt:lpstr>
      <vt:lpstr>静岡県</vt:lpstr>
      <vt:lpstr>石川県</vt:lpstr>
      <vt:lpstr>千葉県</vt:lpstr>
      <vt:lpstr>大阪府</vt:lpstr>
      <vt:lpstr>大分県</vt:lpstr>
      <vt:lpstr>地域平均</vt:lpstr>
      <vt:lpstr>長崎県</vt:lpstr>
      <vt:lpstr>長野県</vt:lpstr>
      <vt:lpstr>鳥取県</vt:lpstr>
      <vt:lpstr>都道府県</vt:lpstr>
      <vt:lpstr>島根県</vt:lpstr>
      <vt:lpstr>東京都</vt:lpstr>
      <vt:lpstr>徳島県</vt:lpstr>
      <vt:lpstr>栃木県</vt:lpstr>
      <vt:lpstr>奈良県</vt:lpstr>
      <vt:lpstr>富山県</vt:lpstr>
      <vt:lpstr>福井県</vt:lpstr>
      <vt:lpstr>福岡県</vt:lpstr>
      <vt:lpstr>福島県</vt:lpstr>
      <vt:lpstr>兵庫県</vt:lpstr>
      <vt:lpstr>北海道</vt:lpstr>
      <vt:lpstr>和歌山県</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2006-09-16T00:00:00Z</dcterms:created>
  <dcterms:modified xsi:type="dcterms:W3CDTF">2019-11-11T04:22:03Z</dcterms:modified>
</cp:coreProperties>
</file>